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galy\Desktop\"/>
    </mc:Choice>
  </mc:AlternateContent>
  <xr:revisionPtr revIDLastSave="0" documentId="13_ncr:1_{9D11A04B-6F80-4C6E-8E91-8B2D8EBF3012}" xr6:coauthVersionLast="47" xr6:coauthVersionMax="47" xr10:uidLastSave="{00000000-0000-0000-0000-000000000000}"/>
  <bookViews>
    <workbookView xWindow="-108" yWindow="-108" windowWidth="23256" windowHeight="12456" xr2:uid="{6D0755A0-7AE7-4C22-826D-AE7B60C6F1B3}"/>
  </bookViews>
  <sheets>
    <sheet name="pivot table" sheetId="3" r:id="rId1"/>
    <sheet name="sales &amp; profit trend analysis" sheetId="1" r:id="rId2"/>
    <sheet name="Sheet1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M19" i="1"/>
  <c r="M17" i="1"/>
  <c r="L11" i="1"/>
</calcChain>
</file>

<file path=xl/sharedStrings.xml><?xml version="1.0" encoding="utf-8"?>
<sst xmlns="http://schemas.openxmlformats.org/spreadsheetml/2006/main" count="10559" uniqueCount="53">
  <si>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</si>
  <si>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</si>
  <si>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</si>
  <si>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</si>
  <si>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</si>
  <si>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</si>
  <si>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</si>
  <si>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</si>
  <si>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</si>
  <si>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</si>
  <si>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</si>
  <si>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</si>
  <si>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</si>
  <si>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</si>
  <si>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</si>
  <si>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</si>
  <si>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</si>
  <si>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</si>
  <si>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</si>
  <si>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</si>
  <si>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</si>
  <si>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</si>
  <si>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</si>
  <si>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</si>
  <si>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From</t>
  </si>
  <si>
    <t>To</t>
  </si>
  <si>
    <t>sales total</t>
  </si>
  <si>
    <t>Profit %</t>
  </si>
  <si>
    <t>total sales of average</t>
  </si>
  <si>
    <t>Minimum Sales of Product</t>
  </si>
  <si>
    <t>Maxsimum Sales of Product</t>
  </si>
  <si>
    <t>Column Labels</t>
  </si>
  <si>
    <t>Grand Total</t>
  </si>
  <si>
    <t>2022</t>
  </si>
  <si>
    <t>2023</t>
  </si>
  <si>
    <t>2024</t>
  </si>
  <si>
    <t>Sum of Sales</t>
  </si>
  <si>
    <t>Row Labels</t>
  </si>
  <si>
    <t>Sum of Profit</t>
  </si>
  <si>
    <t>Profit Status</t>
  </si>
  <si>
    <t>Region wise  Profit  analysis</t>
  </si>
  <si>
    <t>Year wise cetagory  sales  analysis</t>
  </si>
  <si>
    <t>Sum of Profit %</t>
  </si>
  <si>
    <t>Product sales wise Profit %  Analysis</t>
  </si>
  <si>
    <t>I have create a new column in profit  mergin %</t>
  </si>
  <si>
    <t>I have   create a currency format</t>
  </si>
  <si>
    <t>I have create a  conditional formatting in category  column in office</t>
  </si>
  <si>
    <t>1 .  Year wise Analysis in  sales</t>
  </si>
  <si>
    <t xml:space="preserve">2. create a new column  named in profit % </t>
  </si>
  <si>
    <t>3. Format the data type of the Profit %  &amp; sales column to a currency format</t>
  </si>
  <si>
    <t>4. create a custom rule for conditional formatting in the "category" column to highlight cells where the category is " office</t>
  </si>
  <si>
    <t>5. create a new column named in profit status</t>
  </si>
  <si>
    <t>I have create a profit satus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</si>
</sst>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0" applyNumberFormat="1" applyFont="1"/>
    <xf numFmtId="0" fontId="18" fillId="34" borderId="0" xfId="0" applyFont="1" applyFill="1"/>
    <xf numFmtId="14" fontId="18" fillId="34" borderId="0" xfId="0" applyNumberFormat="1" applyFont="1" applyFill="1"/>
    <xf numFmtId="0" fontId="18" fillId="0" borderId="0" xfId="0" applyFont="1"/>
    <xf numFmtId="164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35" borderId="0" xfId="0" applyFill="1"/>
    <xf numFmtId="0" fontId="18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&amp; handling sales &amp; profit trend analysis  data.xlsx]pivot table!PivotTable1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53915135608052"/>
          <c:y val="0.17851414406532518"/>
          <c:w val="0.49204418197725286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table'!$B$6:$B$10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table'!$A$11:$A$14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'pivot table'!$B$11:$B$14</c:f>
              <c:numCache>
                <c:formatCode>"₹"\ #,##0.00</c:formatCode>
                <c:ptCount val="3"/>
                <c:pt idx="0">
                  <c:v>1329731</c:v>
                </c:pt>
                <c:pt idx="1">
                  <c:v>1616149</c:v>
                </c:pt>
                <c:pt idx="2">
                  <c:v>310090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1-473A-A6C9-410F6C8020CD}"/>
            </c:ext>
          </c:extLst>
        </c:ser>
        <c:ser>
          <c:idx val="1"/>
          <c:order val="1"/>
          <c:tx>
            <c:strRef>
              <c:f>'pivot table'!$C$6:$C$10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table'!$A$11:$A$14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'pivot table'!$C$11:$C$14</c:f>
              <c:numCache>
                <c:formatCode>"₹"\ #,##0.00</c:formatCode>
                <c:ptCount val="3"/>
                <c:pt idx="0">
                  <c:v>1495723</c:v>
                </c:pt>
                <c:pt idx="1">
                  <c:v>1881367</c:v>
                </c:pt>
                <c:pt idx="2">
                  <c:v>409502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1-473A-A6C9-410F6C8020CD}"/>
            </c:ext>
          </c:extLst>
        </c:ser>
        <c:ser>
          <c:idx val="2"/>
          <c:order val="2"/>
          <c:tx>
            <c:strRef>
              <c:f>'pivot table'!$D$6:$D$10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table'!$A$11:$A$14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'pivot table'!$D$11:$D$14</c:f>
              <c:numCache>
                <c:formatCode>"₹"\ #,##0.00</c:formatCode>
                <c:ptCount val="3"/>
                <c:pt idx="0">
                  <c:v>1422137</c:v>
                </c:pt>
                <c:pt idx="1">
                  <c:v>1828558</c:v>
                </c:pt>
                <c:pt idx="2">
                  <c:v>374624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11-473A-A6C9-410F6C802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035423"/>
        <c:axId val="1870035903"/>
      </c:barChart>
      <c:catAx>
        <c:axId val="187003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35903"/>
        <c:crosses val="autoZero"/>
        <c:auto val="1"/>
        <c:lblAlgn val="ctr"/>
        <c:lblOffset val="100"/>
        <c:noMultiLvlLbl val="0"/>
      </c:catAx>
      <c:valAx>
        <c:axId val="187003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3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&amp; handling sales &amp; profit trend analysis  data.xlsx]pivot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table'!$H$8:$H$12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'pivot table'!$I$8:$I$12</c:f>
              <c:numCache>
                <c:formatCode>General</c:formatCode>
                <c:ptCount val="4"/>
                <c:pt idx="0">
                  <c:v>495358.72999999917</c:v>
                </c:pt>
                <c:pt idx="1">
                  <c:v>458103.27000000008</c:v>
                </c:pt>
                <c:pt idx="2">
                  <c:v>426314.74999999924</c:v>
                </c:pt>
                <c:pt idx="3">
                  <c:v>464888.46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B-49D7-A691-A4D4D60C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3697247"/>
        <c:axId val="1873696767"/>
        <c:axId val="0"/>
      </c:bar3DChart>
      <c:catAx>
        <c:axId val="187369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96767"/>
        <c:crosses val="autoZero"/>
        <c:auto val="1"/>
        <c:lblAlgn val="ctr"/>
        <c:lblOffset val="100"/>
        <c:noMultiLvlLbl val="0"/>
      </c:catAx>
      <c:valAx>
        <c:axId val="187369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&amp; handling sales &amp; profit trend analysis  data.xlsx]pivot table!PivotTable2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'pivot table'!$P$8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5-4AA6-BEED-1D2B9638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F5-4AA6-BEED-1D2B9638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F5-4AA6-BEED-1D2B9638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F5-4AA6-BEED-1D2B963855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F5-4AA6-BEED-1D2B963855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F5-4AA6-BEED-1D2B963855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F5-4AA6-BEED-1D2B963855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F5-4AA6-BEED-1D2B963855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AF5-4AA6-BEED-1D2B963855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AF5-4AA6-BEED-1D2B963855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AF5-4AA6-BEED-1D2B96385550}"/>
              </c:ext>
            </c:extLst>
          </c:dPt>
          <c:cat>
            <c:strRef>
              <c:f>'pivot table'!$O$9:$O$19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'pivot table'!$P$9:$P$19</c:f>
              <c:numCache>
                <c:formatCode>"₹"\ #,##0.00</c:formatCode>
                <c:ptCount val="10"/>
                <c:pt idx="0">
                  <c:v>1177381</c:v>
                </c:pt>
                <c:pt idx="1">
                  <c:v>988638</c:v>
                </c:pt>
                <c:pt idx="2">
                  <c:v>1024507</c:v>
                </c:pt>
                <c:pt idx="3">
                  <c:v>1005873</c:v>
                </c:pt>
                <c:pt idx="4">
                  <c:v>1160048</c:v>
                </c:pt>
                <c:pt idx="5">
                  <c:v>1074398</c:v>
                </c:pt>
                <c:pt idx="6">
                  <c:v>1094216</c:v>
                </c:pt>
                <c:pt idx="7">
                  <c:v>1069681</c:v>
                </c:pt>
                <c:pt idx="8">
                  <c:v>1049211</c:v>
                </c:pt>
                <c:pt idx="9">
                  <c:v>1023928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E-4882-AAC6-86F832CA514A}"/>
            </c:ext>
          </c:extLst>
        </c:ser>
        <c:ser>
          <c:idx val="1"/>
          <c:order val="1"/>
          <c:tx>
            <c:strRef>
              <c:f>'pivot table'!$Q$8</c:f>
              <c:strCache>
                <c:ptCount val="1"/>
                <c:pt idx="0">
                  <c:v>Sum of Profit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AF5-4AA6-BEED-1D2B96385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AF5-4AA6-BEED-1D2B963855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AF5-4AA6-BEED-1D2B963855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AF5-4AA6-BEED-1D2B963855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AF5-4AA6-BEED-1D2B963855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AF5-4AA6-BEED-1D2B963855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AF5-4AA6-BEED-1D2B963855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AF5-4AA6-BEED-1D2B963855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AF5-4AA6-BEED-1D2B963855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AF5-4AA6-BEED-1D2B963855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AF5-4AA6-BEED-1D2B96385550}"/>
              </c:ext>
            </c:extLst>
          </c:dPt>
          <c:cat>
            <c:strRef>
              <c:f>'pivot table'!$O$9:$O$19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'pivot table'!$Q$9:$Q$19</c:f>
              <c:numCache>
                <c:formatCode>"₹"\ #,##0.00</c:formatCode>
                <c:ptCount val="10"/>
                <c:pt idx="0">
                  <c:v>64.678408420871122</c:v>
                </c:pt>
                <c:pt idx="1">
                  <c:v>59.214721326984218</c:v>
                </c:pt>
                <c:pt idx="2">
                  <c:v>60.415149453242172</c:v>
                </c:pt>
                <c:pt idx="3">
                  <c:v>59.5766284078816</c:v>
                </c:pt>
                <c:pt idx="4">
                  <c:v>63.074310940722079</c:v>
                </c:pt>
                <c:pt idx="5">
                  <c:v>60.134980528530818</c:v>
                </c:pt>
                <c:pt idx="6">
                  <c:v>61.703418890471475</c:v>
                </c:pt>
                <c:pt idx="7">
                  <c:v>56.726750422128738</c:v>
                </c:pt>
                <c:pt idx="8">
                  <c:v>62.990468902903764</c:v>
                </c:pt>
                <c:pt idx="9">
                  <c:v>59.432332853343603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E-4882-AAC6-86F832CA5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15</xdr:row>
      <xdr:rowOff>152400</xdr:rowOff>
    </xdr:from>
    <xdr:to>
      <xdr:col>5</xdr:col>
      <xdr:colOff>556260</xdr:colOff>
      <xdr:row>37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CDD406-6B9E-D741-4BD0-22BB6A71A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13</xdr:row>
      <xdr:rowOff>53340</xdr:rowOff>
    </xdr:from>
    <xdr:to>
      <xdr:col>11</xdr:col>
      <xdr:colOff>944880</xdr:colOff>
      <xdr:row>31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65F68D-5B45-253A-9B95-7A95FD68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861060</xdr:colOff>
      <xdr:row>22</xdr:row>
      <xdr:rowOff>53340</xdr:rowOff>
    </xdr:from>
    <xdr:to>
      <xdr:col>23</xdr:col>
      <xdr:colOff>358140</xdr:colOff>
      <xdr:row>38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71D26-ACE3-6D5D-0CBC-D5C6BAFCD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 s" refreshedDate="46208.53809224537" createdVersion="8" refreshedVersion="8" minRefreshableVersion="3" recordCount="3500" xr:uid="{B648E70A-01CC-4C5E-ACB6-497BA393F373}">
  <cacheSource type="worksheet">
    <worksheetSource name="Table1"/>
  </cacheSource>
  <cacheFields count="11">
    <cacheField name="Order Date" numFmtId="14">
      <sharedItems containsSemiMixedTypes="0" containsNonDate="0" containsDate="1" containsString="0" minDate="2022-01-01T00:00:00" maxDate="2025-01-01T00:00:00" count="1051">
        <d v="2024-12-31T00:00:00"/>
        <d v="2022-11-27T00:00:00"/>
        <d v="2022-05-11T00:00:00"/>
        <d v="2024-03-16T00:00:00"/>
        <d v="2022-09-10T00:00:00"/>
        <d v="2023-12-01T00:00:00"/>
        <d v="2023-10-09T00:00:00"/>
        <d v="2022-01-14T00:00:00"/>
        <d v="2022-04-02T00:00:00"/>
        <d v="2024-10-22T00:00:00"/>
        <d v="2023-12-04T00:00:00"/>
        <d v="2022-09-27T00:00:00"/>
        <d v="2023-12-21T00:00:00"/>
        <d v="2024-02-03T00:00:00"/>
        <d v="2023-10-10T00:00:00"/>
        <d v="2022-10-16T00:00:00"/>
        <d v="2022-05-15T00:00:00"/>
        <d v="2023-02-11T00:00:00"/>
        <d v="2023-12-27T00:00:00"/>
        <d v="2023-10-05T00:00:00"/>
        <d v="2024-03-05T00:00:00"/>
        <d v="2023-07-18T00:00:00"/>
        <d v="2023-06-25T00:00:00"/>
        <d v="2023-11-13T00:00:00"/>
        <d v="2022-07-09T00:00:00"/>
        <d v="2023-12-11T00:00:00"/>
        <d v="2023-03-18T00:00:00"/>
        <d v="2024-08-09T00:00:00"/>
        <d v="2024-05-04T00:00:00"/>
        <d v="2022-09-04T00:00:00"/>
        <d v="2022-10-21T00:00:00"/>
        <d v="2024-01-22T00:00:00"/>
        <d v="2023-04-09T00:00:00"/>
        <d v="2023-02-07T00:00:00"/>
        <d v="2023-05-04T00:00:00"/>
        <d v="2023-04-18T00:00:00"/>
        <d v="2022-12-12T00:00:00"/>
        <d v="2022-09-11T00:00:00"/>
        <d v="2024-03-26T00:00:00"/>
        <d v="2023-09-20T00:00:00"/>
        <d v="2023-05-25T00:00:00"/>
        <d v="2022-12-04T00:00:00"/>
        <d v="2022-06-10T00:00:00"/>
        <d v="2023-02-05T00:00:00"/>
        <d v="2024-01-20T00:00:00"/>
        <d v="2022-01-27T00:00:00"/>
        <d v="2023-03-29T00:00:00"/>
        <d v="2022-01-17T00:00:00"/>
        <d v="2024-11-26T00:00:00"/>
        <d v="2024-09-19T00:00:00"/>
        <d v="2023-07-20T00:00:00"/>
        <d v="2024-05-03T00:00:00"/>
        <d v="2022-09-03T00:00:00"/>
        <d v="2024-07-09T00:00:00"/>
        <d v="2022-11-17T00:00:00"/>
        <d v="2023-12-28T00:00:00"/>
        <d v="2022-05-30T00:00:00"/>
        <d v="2024-04-17T00:00:00"/>
        <d v="2024-09-30T00:00:00"/>
        <d v="2024-06-02T00:00:00"/>
        <d v="2022-09-26T00:00:00"/>
        <d v="2024-12-17T00:00:00"/>
        <d v="2024-10-09T00:00:00"/>
        <d v="2023-07-14T00:00:00"/>
        <d v="2023-12-05T00:00:00"/>
        <d v="2022-06-03T00:00:00"/>
        <d v="2024-12-28T00:00:00"/>
        <d v="2022-08-06T00:00:00"/>
        <d v="2023-06-06T00:00:00"/>
        <d v="2024-02-01T00:00:00"/>
        <d v="2023-05-31T00:00:00"/>
        <d v="2024-06-14T00:00:00"/>
        <d v="2024-08-14T00:00:00"/>
        <d v="2023-02-01T00:00:00"/>
        <d v="2024-04-28T00:00:00"/>
        <d v="2024-04-05T00:00:00"/>
        <d v="2024-01-31T00:00:00"/>
        <d v="2024-01-09T00:00:00"/>
        <d v="2022-04-06T00:00:00"/>
        <d v="2024-05-22T00:00:00"/>
        <d v="2023-12-30T00:00:00"/>
        <d v="2022-03-17T00:00:00"/>
        <d v="2022-05-24T00:00:00"/>
        <d v="2024-06-09T00:00:00"/>
        <d v="2024-12-01T00:00:00"/>
        <d v="2023-10-20T00:00:00"/>
        <d v="2022-12-05T00:00:00"/>
        <d v="2022-08-05T00:00:00"/>
        <d v="2023-03-21T00:00:00"/>
        <d v="2022-02-08T00:00:00"/>
        <d v="2023-04-01T00:00:00"/>
        <d v="2022-12-14T00:00:00"/>
        <d v="2022-05-14T00:00:00"/>
        <d v="2022-02-16T00:00:00"/>
        <d v="2024-08-28T00:00:00"/>
        <d v="2023-10-30T00:00:00"/>
        <d v="2023-06-24T00:00:00"/>
        <d v="2023-05-17T00:00:00"/>
        <d v="2023-04-06T00:00:00"/>
        <d v="2023-03-26T00:00:00"/>
        <d v="2024-10-12T00:00:00"/>
        <d v="2022-06-26T00:00:00"/>
        <d v="2022-04-15T00:00:00"/>
        <d v="2023-12-10T00:00:00"/>
        <d v="2024-09-23T00:00:00"/>
        <d v="2022-01-01T00:00:00"/>
        <d v="2022-02-03T00:00:00"/>
        <d v="2023-03-14T00:00:00"/>
        <d v="2022-08-24T00:00:00"/>
        <d v="2024-07-07T00:00:00"/>
        <d v="2022-04-13T00:00:00"/>
        <d v="2024-05-08T00:00:00"/>
        <d v="2024-09-10T00:00:00"/>
        <d v="2024-06-18T00:00:00"/>
        <d v="2022-05-06T00:00:00"/>
        <d v="2023-10-29T00:00:00"/>
        <d v="2022-08-21T00:00:00"/>
        <d v="2024-03-04T00:00:00"/>
        <d v="2022-04-17T00:00:00"/>
        <d v="2023-12-20T00:00:00"/>
        <d v="2022-03-19T00:00:00"/>
        <d v="2023-04-30T00:00:00"/>
        <d v="2024-03-22T00:00:00"/>
        <d v="2022-03-08T00:00:00"/>
        <d v="2023-09-15T00:00:00"/>
        <d v="2023-03-01T00:00:00"/>
        <d v="2023-10-24T00:00:00"/>
        <d v="2024-04-22T00:00:00"/>
        <d v="2023-06-27T00:00:00"/>
        <d v="2023-04-13T00:00:00"/>
        <d v="2023-05-19T00:00:00"/>
        <d v="2024-11-15T00:00:00"/>
        <d v="2023-12-25T00:00:00"/>
        <d v="2022-03-31T00:00:00"/>
        <d v="2024-04-24T00:00:00"/>
        <d v="2022-01-10T00:00:00"/>
        <d v="2024-06-29T00:00:00"/>
        <d v="2022-11-14T00:00:00"/>
        <d v="2023-08-11T00:00:00"/>
        <d v="2022-10-23T00:00:00"/>
        <d v="2023-02-26T00:00:00"/>
        <d v="2024-10-03T00:00:00"/>
        <d v="2022-07-17T00:00:00"/>
        <d v="2024-11-04T00:00:00"/>
        <d v="2023-02-24T00:00:00"/>
        <d v="2024-08-08T00:00:00"/>
        <d v="2024-05-14T00:00:00"/>
        <d v="2022-01-15T00:00:00"/>
        <d v="2022-05-10T00:00:00"/>
        <d v="2022-03-10T00:00:00"/>
        <d v="2022-01-23T00:00:00"/>
        <d v="2024-06-06T00:00:00"/>
        <d v="2024-10-10T00:00:00"/>
        <d v="2024-03-24T00:00:00"/>
        <d v="2023-07-21T00:00:00"/>
        <d v="2022-07-21T00:00:00"/>
        <d v="2022-09-01T00:00:00"/>
        <d v="2023-04-20T00:00:00"/>
        <d v="2024-09-29T00:00:00"/>
        <d v="2023-11-20T00:00:00"/>
        <d v="2023-07-15T00:00:00"/>
        <d v="2023-12-24T00:00:00"/>
        <d v="2023-08-13T00:00:00"/>
        <d v="2022-04-24T00:00:00"/>
        <d v="2024-07-13T00:00:00"/>
        <d v="2022-06-11T00:00:00"/>
        <d v="2024-10-28T00:00:00"/>
        <d v="2022-11-24T00:00:00"/>
        <d v="2024-06-28T00:00:00"/>
        <d v="2022-05-31T00:00:00"/>
        <d v="2024-03-25T00:00:00"/>
        <d v="2023-01-31T00:00:00"/>
        <d v="2024-06-23T00:00:00"/>
        <d v="2023-08-16T00:00:00"/>
        <d v="2023-06-10T00:00:00"/>
        <d v="2023-05-09T00:00:00"/>
        <d v="2022-05-08T00:00:00"/>
        <d v="2024-11-06T00:00:00"/>
        <d v="2022-12-08T00:00:00"/>
        <d v="2022-09-25T00:00:00"/>
        <d v="2024-07-10T00:00:00"/>
        <d v="2024-03-29T00:00:00"/>
        <d v="2022-01-11T00:00:00"/>
        <d v="2022-04-08T00:00:00"/>
        <d v="2024-01-21T00:00:00"/>
        <d v="2023-04-27T00:00:00"/>
        <d v="2022-10-02T00:00:00"/>
        <d v="2022-01-12T00:00:00"/>
        <d v="2023-01-09T00:00:00"/>
        <d v="2024-09-07T00:00:00"/>
        <d v="2022-05-17T00:00:00"/>
        <d v="2023-08-17T00:00:00"/>
        <d v="2023-09-07T00:00:00"/>
        <d v="2023-05-12T00:00:00"/>
        <d v="2023-05-08T00:00:00"/>
        <d v="2023-02-18T00:00:00"/>
        <d v="2022-01-29T00:00:00"/>
        <d v="2023-01-12T00:00:00"/>
        <d v="2022-01-03T00:00:00"/>
        <d v="2022-10-20T00:00:00"/>
        <d v="2024-08-21T00:00:00"/>
        <d v="2022-08-14T00:00:00"/>
        <d v="2024-06-03T00:00:00"/>
        <d v="2024-01-23T00:00:00"/>
        <d v="2022-03-03T00:00:00"/>
        <d v="2024-02-20T00:00:00"/>
        <d v="2022-06-19T00:00:00"/>
        <d v="2024-09-01T00:00:00"/>
        <d v="2024-08-30T00:00:00"/>
        <d v="2022-08-12T00:00:00"/>
        <d v="2022-08-04T00:00:00"/>
        <d v="2024-11-20T00:00:00"/>
        <d v="2023-08-12T00:00:00"/>
        <d v="2023-04-12T00:00:00"/>
        <d v="2023-07-26T00:00:00"/>
        <d v="2024-01-01T00:00:00"/>
        <d v="2023-12-06T00:00:00"/>
        <d v="2024-10-27T00:00:00"/>
        <d v="2024-08-04T00:00:00"/>
        <d v="2022-03-25T00:00:00"/>
        <d v="2024-10-05T00:00:00"/>
        <d v="2024-12-19T00:00:00"/>
        <d v="2022-07-18T00:00:00"/>
        <d v="2023-06-11T00:00:00"/>
        <d v="2024-10-13T00:00:00"/>
        <d v="2023-08-07T00:00:00"/>
        <d v="2024-02-18T00:00:00"/>
        <d v="2024-12-05T00:00:00"/>
        <d v="2023-12-15T00:00:00"/>
        <d v="2024-05-20T00:00:00"/>
        <d v="2024-06-05T00:00:00"/>
        <d v="2022-01-09T00:00:00"/>
        <d v="2023-12-17T00:00:00"/>
        <d v="2022-09-08T00:00:00"/>
        <d v="2022-01-22T00:00:00"/>
        <d v="2024-09-04T00:00:00"/>
        <d v="2022-11-03T00:00:00"/>
        <d v="2023-07-03T00:00:00"/>
        <d v="2024-01-25T00:00:00"/>
        <d v="2024-05-11T00:00:00"/>
        <d v="2024-01-02T00:00:00"/>
        <d v="2024-07-20T00:00:00"/>
        <d v="2023-06-14T00:00:00"/>
        <d v="2022-04-10T00:00:00"/>
        <d v="2024-10-01T00:00:00"/>
        <d v="2022-01-28T00:00:00"/>
        <d v="2023-04-05T00:00:00"/>
        <d v="2023-09-22T00:00:00"/>
        <d v="2024-08-29T00:00:00"/>
        <d v="2023-11-18T00:00:00"/>
        <d v="2023-09-12T00:00:00"/>
        <d v="2023-05-26T00:00:00"/>
        <d v="2024-11-01T00:00:00"/>
        <d v="2023-05-10T00:00:00"/>
        <d v="2022-11-04T00:00:00"/>
        <d v="2022-05-09T00:00:00"/>
        <d v="2022-11-07T00:00:00"/>
        <d v="2024-10-21T00:00:00"/>
        <d v="2024-10-06T00:00:00"/>
        <d v="2023-08-08T00:00:00"/>
        <d v="2022-01-19T00:00:00"/>
        <d v="2024-04-30T00:00:00"/>
        <d v="2023-12-26T00:00:00"/>
        <d v="2024-04-07T00:00:00"/>
        <d v="2022-10-18T00:00:00"/>
        <d v="2024-04-21T00:00:00"/>
        <d v="2022-10-31T00:00:00"/>
        <d v="2023-03-03T00:00:00"/>
        <d v="2023-02-03T00:00:00"/>
        <d v="2023-04-15T00:00:00"/>
        <d v="2022-01-02T00:00:00"/>
        <d v="2024-11-28T00:00:00"/>
        <d v="2022-02-05T00:00:00"/>
        <d v="2022-02-19T00:00:00"/>
        <d v="2024-05-06T00:00:00"/>
        <d v="2023-08-04T00:00:00"/>
        <d v="2023-09-23T00:00:00"/>
        <d v="2024-09-14T00:00:00"/>
        <d v="2023-03-17T00:00:00"/>
        <d v="2023-09-29T00:00:00"/>
        <d v="2023-09-13T00:00:00"/>
        <d v="2022-03-14T00:00:00"/>
        <d v="2022-05-29T00:00:00"/>
        <d v="2023-01-16T00:00:00"/>
        <d v="2023-09-06T00:00:00"/>
        <d v="2023-11-01T00:00:00"/>
        <d v="2022-08-25T00:00:00"/>
        <d v="2022-12-30T00:00:00"/>
        <d v="2024-01-08T00:00:00"/>
        <d v="2022-12-27T00:00:00"/>
        <d v="2024-04-14T00:00:00"/>
        <d v="2023-02-10T00:00:00"/>
        <d v="2024-07-19T00:00:00"/>
        <d v="2024-03-03T00:00:00"/>
        <d v="2024-04-12T00:00:00"/>
        <d v="2024-06-20T00:00:00"/>
        <d v="2023-06-21T00:00:00"/>
        <d v="2023-01-25T00:00:00"/>
        <d v="2024-02-17T00:00:00"/>
        <d v="2024-09-09T00:00:00"/>
        <d v="2023-09-01T00:00:00"/>
        <d v="2024-03-30T00:00:00"/>
        <d v="2024-12-22T00:00:00"/>
        <d v="2024-09-08T00:00:00"/>
        <d v="2023-01-21T00:00:00"/>
        <d v="2023-10-12T00:00:00"/>
        <d v="2022-08-01T00:00:00"/>
        <d v="2023-11-03T00:00:00"/>
        <d v="2023-06-30T00:00:00"/>
        <d v="2023-12-16T00:00:00"/>
        <d v="2022-03-20T00:00:00"/>
        <d v="2024-07-28T00:00:00"/>
        <d v="2022-03-28T00:00:00"/>
        <d v="2023-01-01T00:00:00"/>
        <d v="2024-09-18T00:00:00"/>
        <d v="2024-08-19T00:00:00"/>
        <d v="2022-06-18T00:00:00"/>
        <d v="2022-06-09T00:00:00"/>
        <d v="2023-05-03T00:00:00"/>
        <d v="2023-11-17T00:00:00"/>
        <d v="2023-10-23T00:00:00"/>
        <d v="2024-05-09T00:00:00"/>
        <d v="2023-03-12T00:00:00"/>
        <d v="2022-10-05T00:00:00"/>
        <d v="2024-05-23T00:00:00"/>
        <d v="2024-07-11T00:00:00"/>
        <d v="2022-08-22T00:00:00"/>
        <d v="2024-11-03T00:00:00"/>
        <d v="2024-10-11T00:00:00"/>
        <d v="2024-11-09T00:00:00"/>
        <d v="2024-04-01T00:00:00"/>
        <d v="2022-07-07T00:00:00"/>
        <d v="2023-05-15T00:00:00"/>
        <d v="2022-06-08T00:00:00"/>
        <d v="2023-06-26T00:00:00"/>
        <d v="2024-04-10T00:00:00"/>
        <d v="2023-07-01T00:00:00"/>
        <d v="2022-02-18T00:00:00"/>
        <d v="2023-09-30T00:00:00"/>
        <d v="2023-09-04T00:00:00"/>
        <d v="2024-07-14T00:00:00"/>
        <d v="2024-04-20T00:00:00"/>
        <d v="2024-05-24T00:00:00"/>
        <d v="2024-12-29T00:00:00"/>
        <d v="2023-05-07T00:00:00"/>
        <d v="2023-05-05T00:00:00"/>
        <d v="2023-07-27T00:00:00"/>
        <d v="2023-06-13T00:00:00"/>
        <d v="2024-05-02T00:00:00"/>
        <d v="2023-07-25T00:00:00"/>
        <d v="2023-01-26T00:00:00"/>
        <d v="2023-01-11T00:00:00"/>
        <d v="2024-09-27T00:00:00"/>
        <d v="2024-12-03T00:00:00"/>
        <d v="2023-08-24T00:00:00"/>
        <d v="2022-06-13T00:00:00"/>
        <d v="2022-08-26T00:00:00"/>
        <d v="2023-01-22T00:00:00"/>
        <d v="2022-08-08T00:00:00"/>
        <d v="2023-11-19T00:00:00"/>
        <d v="2023-06-28T00:00:00"/>
        <d v="2024-07-18T00:00:00"/>
        <d v="2022-09-22T00:00:00"/>
        <d v="2024-07-31T00:00:00"/>
        <d v="2023-04-21T00:00:00"/>
        <d v="2022-09-30T00:00:00"/>
        <d v="2024-12-25T00:00:00"/>
        <d v="2023-03-30T00:00:00"/>
        <d v="2023-10-02T00:00:00"/>
        <d v="2022-05-23T00:00:00"/>
        <d v="2023-10-08T00:00:00"/>
        <d v="2022-05-22T00:00:00"/>
        <d v="2023-08-19T00:00:00"/>
        <d v="2024-06-17T00:00:00"/>
        <d v="2023-02-02T00:00:00"/>
        <d v="2022-10-13T00:00:00"/>
        <d v="2024-03-31T00:00:00"/>
        <d v="2023-05-29T00:00:00"/>
        <d v="2024-12-21T00:00:00"/>
        <d v="2023-12-29T00:00:00"/>
        <d v="2022-11-28T00:00:00"/>
        <d v="2022-05-12T00:00:00"/>
        <d v="2022-08-02T00:00:00"/>
        <d v="2023-12-31T00:00:00"/>
        <d v="2022-04-03T00:00:00"/>
        <d v="2024-01-19T00:00:00"/>
        <d v="2023-01-17T00:00:00"/>
        <d v="2024-05-05T00:00:00"/>
        <d v="2023-06-04T00:00:00"/>
        <d v="2024-09-16T00:00:00"/>
        <d v="2023-02-16T00:00:00"/>
        <d v="2023-10-17T00:00:00"/>
        <d v="2024-02-10T00:00:00"/>
        <d v="2024-09-12T00:00:00"/>
        <d v="2022-10-04T00:00:00"/>
        <d v="2024-04-26T00:00:00"/>
        <d v="2023-11-10T00:00:00"/>
        <d v="2024-04-16T00:00:00"/>
        <d v="2023-07-11T00:00:00"/>
        <d v="2022-09-19T00:00:00"/>
        <d v="2024-02-25T00:00:00"/>
        <d v="2023-03-07T00:00:00"/>
        <d v="2022-03-09T00:00:00"/>
        <d v="2022-12-31T00:00:00"/>
        <d v="2024-04-15T00:00:00"/>
        <d v="2024-05-15T00:00:00"/>
        <d v="2022-04-14T00:00:00"/>
        <d v="2024-09-25T00:00:00"/>
        <d v="2022-03-05T00:00:00"/>
        <d v="2023-08-27T00:00:00"/>
        <d v="2024-05-30T00:00:00"/>
        <d v="2023-11-14T00:00:00"/>
        <d v="2023-11-27T00:00:00"/>
        <d v="2024-12-24T00:00:00"/>
        <d v="2022-05-21T00:00:00"/>
        <d v="2022-09-14T00:00:00"/>
        <d v="2024-03-12T00:00:00"/>
        <d v="2022-11-18T00:00:00"/>
        <d v="2022-10-22T00:00:00"/>
        <d v="2024-11-16T00:00:00"/>
        <d v="2023-03-13T00:00:00"/>
        <d v="2024-10-30T00:00:00"/>
        <d v="2024-11-19T00:00:00"/>
        <d v="2024-04-29T00:00:00"/>
        <d v="2023-11-22T00:00:00"/>
        <d v="2023-09-24T00:00:00"/>
        <d v="2024-07-17T00:00:00"/>
        <d v="2023-06-17T00:00:00"/>
        <d v="2024-06-10T00:00:00"/>
        <d v="2022-01-31T00:00:00"/>
        <d v="2022-10-01T00:00:00"/>
        <d v="2023-07-19T00:00:00"/>
        <d v="2024-05-17T00:00:00"/>
        <d v="2024-01-10T00:00:00"/>
        <d v="2023-04-10T00:00:00"/>
        <d v="2023-10-27T00:00:00"/>
        <d v="2024-12-04T00:00:00"/>
        <d v="2022-06-06T00:00:00"/>
        <d v="2023-01-28T00:00:00"/>
        <d v="2022-12-28T00:00:00"/>
        <d v="2022-09-24T00:00:00"/>
        <d v="2023-05-06T00:00:00"/>
        <d v="2023-07-13T00:00:00"/>
        <d v="2022-01-05T00:00:00"/>
        <d v="2024-08-03T00:00:00"/>
        <d v="2023-08-21T00:00:00"/>
        <d v="2024-05-12T00:00:00"/>
        <d v="2024-11-08T00:00:00"/>
        <d v="2024-04-27T00:00:00"/>
        <d v="2022-01-08T00:00:00"/>
        <d v="2024-01-24T00:00:00"/>
        <d v="2022-06-20T00:00:00"/>
        <d v="2024-08-01T00:00:00"/>
        <d v="2023-12-19T00:00:00"/>
        <d v="2022-11-20T00:00:00"/>
        <d v="2022-11-11T00:00:00"/>
        <d v="2024-01-03T00:00:00"/>
        <d v="2022-11-23T00:00:00"/>
        <d v="2024-03-01T00:00:00"/>
        <d v="2023-07-07T00:00:00"/>
        <d v="2022-02-09T00:00:00"/>
        <d v="2022-10-17T00:00:00"/>
        <d v="2022-07-31T00:00:00"/>
        <d v="2024-05-18T00:00:00"/>
        <d v="2022-09-29T00:00:00"/>
        <d v="2024-09-03T00:00:00"/>
        <d v="2023-07-17T00:00:00"/>
        <d v="2022-06-16T00:00:00"/>
        <d v="2024-05-13T00:00:00"/>
        <d v="2024-09-26T00:00:00"/>
        <d v="2023-03-28T00:00:00"/>
        <d v="2024-04-19T00:00:00"/>
        <d v="2022-04-23T00:00:00"/>
        <d v="2023-06-01T00:00:00"/>
        <d v="2022-08-03T00:00:00"/>
        <d v="2024-01-30T00:00:00"/>
        <d v="2023-07-23T00:00:00"/>
        <d v="2023-11-12T00:00:00"/>
        <d v="2024-10-15T00:00:00"/>
        <d v="2023-08-09T00:00:00"/>
        <d v="2022-08-18T00:00:00"/>
        <d v="2022-09-15T00:00:00"/>
        <d v="2022-09-23T00:00:00"/>
        <d v="2022-02-15T00:00:00"/>
        <d v="2022-02-23T00:00:00"/>
        <d v="2023-01-14T00:00:00"/>
        <d v="2024-12-06T00:00:00"/>
        <d v="2023-10-01T00:00:00"/>
        <d v="2023-12-22T00:00:00"/>
        <d v="2024-03-06T00:00:00"/>
        <d v="2024-02-11T00:00:00"/>
        <d v="2024-04-02T00:00:00"/>
        <d v="2024-11-27T00:00:00"/>
        <d v="2022-08-30T00:00:00"/>
        <d v="2022-07-15T00:00:00"/>
        <d v="2022-02-21T00:00:00"/>
        <d v="2023-09-14T00:00:00"/>
        <d v="2024-04-08T00:00:00"/>
        <d v="2023-04-16T00:00:00"/>
        <d v="2023-10-15T00:00:00"/>
        <d v="2023-08-20T00:00:00"/>
        <d v="2024-07-26T00:00:00"/>
        <d v="2024-10-31T00:00:00"/>
        <d v="2022-04-28T00:00:00"/>
        <d v="2024-08-15T00:00:00"/>
        <d v="2024-09-28T00:00:00"/>
        <d v="2022-11-01T00:00:00"/>
        <d v="2023-02-20T00:00:00"/>
        <d v="2023-05-20T00:00:00"/>
        <d v="2022-07-04T00:00:00"/>
        <d v="2022-03-23T00:00:00"/>
        <d v="2022-11-19T00:00:00"/>
        <d v="2022-02-28T00:00:00"/>
        <d v="2023-09-11T00:00:00"/>
        <d v="2022-11-13T00:00:00"/>
        <d v="2024-03-17T00:00:00"/>
        <d v="2022-02-13T00:00:00"/>
        <d v="2024-05-07T00:00:00"/>
        <d v="2024-08-12T00:00:00"/>
        <d v="2023-01-06T00:00:00"/>
        <d v="2022-03-02T00:00:00"/>
        <d v="2022-12-06T00:00:00"/>
        <d v="2023-06-18T00:00:00"/>
        <d v="2023-11-21T00:00:00"/>
        <d v="2023-03-31T00:00:00"/>
        <d v="2024-06-11T00:00:00"/>
        <d v="2023-04-25T00:00:00"/>
        <d v="2022-12-17T00:00:00"/>
        <d v="2024-07-05T00:00:00"/>
        <d v="2023-04-07T00:00:00"/>
        <d v="2022-07-26T00:00:00"/>
        <d v="2022-05-18T00:00:00"/>
        <d v="2022-03-15T00:00:00"/>
        <d v="2023-10-13T00:00:00"/>
        <d v="2024-06-19T00:00:00"/>
        <d v="2022-07-12T00:00:00"/>
        <d v="2023-03-06T00:00:00"/>
        <d v="2023-01-10T00:00:00"/>
        <d v="2024-05-25T00:00:00"/>
        <d v="2024-07-30T00:00:00"/>
        <d v="2022-03-29T00:00:00"/>
        <d v="2024-03-20T00:00:00"/>
        <d v="2024-02-02T00:00:00"/>
        <d v="2022-02-25T00:00:00"/>
        <d v="2024-02-29T00:00:00"/>
        <d v="2024-09-17T00:00:00"/>
        <d v="2024-11-21T00:00:00"/>
        <d v="2022-07-20T00:00:00"/>
        <d v="2022-08-15T00:00:00"/>
        <d v="2024-04-09T00:00:00"/>
        <d v="2023-05-01T00:00:00"/>
        <d v="2024-01-28T00:00:00"/>
        <d v="2024-04-06T00:00:00"/>
        <d v="2022-12-03T00:00:00"/>
        <d v="2023-11-30T00:00:00"/>
        <d v="2022-01-13T00:00:00"/>
        <d v="2023-08-29T00:00:00"/>
        <d v="2024-08-31T00:00:00"/>
        <d v="2022-02-27T00:00:00"/>
        <d v="2022-07-29T00:00:00"/>
        <d v="2023-04-17T00:00:00"/>
        <d v="2024-06-30T00:00:00"/>
        <d v="2024-07-04T00:00:00"/>
        <d v="2023-03-10T00:00:00"/>
        <d v="2023-01-03T00:00:00"/>
        <d v="2023-03-22T00:00:00"/>
        <d v="2022-09-07T00:00:00"/>
        <d v="2024-06-08T00:00:00"/>
        <d v="2022-07-11T00:00:00"/>
        <d v="2023-03-19T00:00:00"/>
        <d v="2022-12-26T00:00:00"/>
        <d v="2024-08-17T00:00:00"/>
        <d v="2023-11-05T00:00:00"/>
        <d v="2023-07-06T00:00:00"/>
        <d v="2023-11-25T00:00:00"/>
        <d v="2022-06-15T00:00:00"/>
        <d v="2022-03-13T00:00:00"/>
        <d v="2023-11-06T00:00:00"/>
        <d v="2024-03-02T00:00:00"/>
        <d v="2023-08-31T00:00:00"/>
        <d v="2023-03-23T00:00:00"/>
        <d v="2022-08-13T00:00:00"/>
        <d v="2022-05-05T00:00:00"/>
        <d v="2024-11-14T00:00:00"/>
        <d v="2022-04-09T00:00:00"/>
        <d v="2024-06-12T00:00:00"/>
        <d v="2023-10-18T00:00:00"/>
        <d v="2023-07-29T00:00:00"/>
        <d v="2024-03-07T00:00:00"/>
        <d v="2024-08-22T00:00:00"/>
        <d v="2023-04-23T00:00:00"/>
        <d v="2022-10-15T00:00:00"/>
        <d v="2022-11-02T00:00:00"/>
        <d v="2023-09-10T00:00:00"/>
        <d v="2024-03-28T00:00:00"/>
        <d v="2022-07-01T00:00:00"/>
        <d v="2023-07-08T00:00:00"/>
        <d v="2022-12-29T00:00:00"/>
        <d v="2023-08-01T00:00:00"/>
        <d v="2024-11-11T00:00:00"/>
        <d v="2024-07-29T00:00:00"/>
        <d v="2022-11-22T00:00:00"/>
        <d v="2024-09-13T00:00:00"/>
        <d v="2024-05-26T00:00:00"/>
        <d v="2023-03-11T00:00:00"/>
        <d v="2022-04-26T00:00:00"/>
        <d v="2023-06-07T00:00:00"/>
        <d v="2024-01-17T00:00:00"/>
        <d v="2023-05-22T00:00:00"/>
        <d v="2023-11-04T00:00:00"/>
        <d v="2023-04-02T00:00:00"/>
        <d v="2024-01-26T00:00:00"/>
        <d v="2022-08-10T00:00:00"/>
        <d v="2023-08-05T00:00:00"/>
        <d v="2023-08-30T00:00:00"/>
        <d v="2022-09-16T00:00:00"/>
        <d v="2023-01-13T00:00:00"/>
        <d v="2023-03-05T00:00:00"/>
        <d v="2024-12-26T00:00:00"/>
        <d v="2024-07-25T00:00:00"/>
        <d v="2022-06-28T00:00:00"/>
        <d v="2023-04-26T00:00:00"/>
        <d v="2023-01-02T00:00:00"/>
        <d v="2023-06-22T00:00:00"/>
        <d v="2024-07-27T00:00:00"/>
        <d v="2023-08-15T00:00:00"/>
        <d v="2023-02-23T00:00:00"/>
        <d v="2022-03-26T00:00:00"/>
        <d v="2024-03-23T00:00:00"/>
        <d v="2024-12-09T00:00:00"/>
        <d v="2023-09-21T00:00:00"/>
        <d v="2024-04-13T00:00:00"/>
        <d v="2023-05-23T00:00:00"/>
        <d v="2022-01-21T00:00:00"/>
        <d v="2022-10-14T00:00:00"/>
        <d v="2023-08-23T00:00:00"/>
        <d v="2023-06-09T00:00:00"/>
        <d v="2022-07-10T00:00:00"/>
        <d v="2024-01-05T00:00:00"/>
        <d v="2023-11-29T00:00:00"/>
        <d v="2024-09-05T00:00:00"/>
        <d v="2023-08-18T00:00:00"/>
        <d v="2023-06-02T00:00:00"/>
        <d v="2024-12-18T00:00:00"/>
        <d v="2023-12-09T00:00:00"/>
        <d v="2022-10-10T00:00:00"/>
        <d v="2022-06-14T00:00:00"/>
        <d v="2023-09-03T00:00:00"/>
        <d v="2024-06-07T00:00:00"/>
        <d v="2024-02-04T00:00:00"/>
        <d v="2023-03-24T00:00:00"/>
        <d v="2024-06-13T00:00:00"/>
        <d v="2023-09-17T00:00:00"/>
        <d v="2022-08-17T00:00:00"/>
        <d v="2023-05-14T00:00:00"/>
        <d v="2022-03-12T00:00:00"/>
        <d v="2023-06-16T00:00:00"/>
        <d v="2023-06-20T00:00:00"/>
        <d v="2022-05-02T00:00:00"/>
        <d v="2022-08-07T00:00:00"/>
        <d v="2022-03-06T00:00:00"/>
        <d v="2023-11-24T00:00:00"/>
        <d v="2023-10-14T00:00:00"/>
        <d v="2023-05-16T00:00:00"/>
        <d v="2023-06-19T00:00:00"/>
        <d v="2023-08-06T00:00:00"/>
        <d v="2022-02-01T00:00:00"/>
        <d v="2022-02-10T00:00:00"/>
        <d v="2023-10-19T00:00:00"/>
        <d v="2022-06-17T00:00:00"/>
        <d v="2022-05-28T00:00:00"/>
        <d v="2024-08-20T00:00:00"/>
        <d v="2022-10-09T00:00:00"/>
        <d v="2023-09-26T00:00:00"/>
        <d v="2024-02-19T00:00:00"/>
        <d v="2022-12-18T00:00:00"/>
        <d v="2022-01-25T00:00:00"/>
        <d v="2022-12-09T00:00:00"/>
        <d v="2024-05-31T00:00:00"/>
        <d v="2022-07-13T00:00:00"/>
        <d v="2022-02-26T00:00:00"/>
        <d v="2024-07-12T00:00:00"/>
        <d v="2023-06-08T00:00:00"/>
        <d v="2022-07-16T00:00:00"/>
        <d v="2023-07-24T00:00:00"/>
        <d v="2024-03-14T00:00:00"/>
        <d v="2024-11-17T00:00:00"/>
        <d v="2023-11-28T00:00:00"/>
        <d v="2022-08-19T00:00:00"/>
        <d v="2024-06-15T00:00:00"/>
        <d v="2023-01-08T00:00:00"/>
        <d v="2022-02-11T00:00:00"/>
        <d v="2022-07-23T00:00:00"/>
        <d v="2022-09-09T00:00:00"/>
        <d v="2023-02-13T00:00:00"/>
        <d v="2023-11-09T00:00:00"/>
        <d v="2022-05-20T00:00:00"/>
        <d v="2024-06-26T00:00:00"/>
        <d v="2023-05-18T00:00:00"/>
        <d v="2022-02-14T00:00:00"/>
        <d v="2023-12-18T00:00:00"/>
        <d v="2024-12-15T00:00:00"/>
        <d v="2024-04-25T00:00:00"/>
        <d v="2024-02-09T00:00:00"/>
        <d v="2023-04-19T00:00:00"/>
        <d v="2024-04-18T00:00:00"/>
        <d v="2023-12-12T00:00:00"/>
        <d v="2023-10-04T00:00:00"/>
        <d v="2023-10-22T00:00:00"/>
        <d v="2022-04-07T00:00:00"/>
        <d v="2024-10-02T00:00:00"/>
        <d v="2022-09-28T00:00:00"/>
        <d v="2024-06-04T00:00:00"/>
        <d v="2023-07-31T00:00:00"/>
        <d v="2022-01-16T00:00:00"/>
        <d v="2024-08-24T00:00:00"/>
        <d v="2022-10-03T00:00:00"/>
        <d v="2022-12-23T00:00:00"/>
        <d v="2022-06-30T00:00:00"/>
        <d v="2024-11-10T00:00:00"/>
        <d v="2024-02-24T00:00:00"/>
        <d v="2022-04-11T00:00:00"/>
        <d v="2023-05-21T00:00:00"/>
        <d v="2024-11-18T00:00:00"/>
        <d v="2022-11-16T00:00:00"/>
        <d v="2024-02-07T00:00:00"/>
        <d v="2024-03-21T00:00:00"/>
        <d v="2022-10-08T00:00:00"/>
        <d v="2022-05-13T00:00:00"/>
        <d v="2024-03-08T00:00:00"/>
        <d v="2022-03-11T00:00:00"/>
        <d v="2024-12-11T00:00:00"/>
        <d v="2024-03-13T00:00:00"/>
        <d v="2022-12-22T00:00:00"/>
        <d v="2023-11-11T00:00:00"/>
        <d v="2023-09-09T00:00:00"/>
        <d v="2022-02-07T00:00:00"/>
        <d v="2024-01-07T00:00:00"/>
        <d v="2023-07-05T00:00:00"/>
        <d v="2024-01-27T00:00:00"/>
        <d v="2024-03-19T00:00:00"/>
        <d v="2024-02-08T00:00:00"/>
        <d v="2023-05-11T00:00:00"/>
        <d v="2022-03-27T00:00:00"/>
        <d v="2023-01-23T00:00:00"/>
        <d v="2023-03-15T00:00:00"/>
        <d v="2022-03-16T00:00:00"/>
        <d v="2023-01-07T00:00:00"/>
        <d v="2023-05-27T00:00:00"/>
        <d v="2023-07-10T00:00:00"/>
        <d v="2024-01-16T00:00:00"/>
        <d v="2024-07-24T00:00:00"/>
        <d v="2022-02-22T00:00:00"/>
        <d v="2022-06-22T00:00:00"/>
        <d v="2022-04-29T00:00:00"/>
        <d v="2022-10-11T00:00:00"/>
        <d v="2024-10-26T00:00:00"/>
        <d v="2022-10-25T00:00:00"/>
        <d v="2024-04-04T00:00:00"/>
        <d v="2024-06-25T00:00:00"/>
        <d v="2023-01-27T00:00:00"/>
        <d v="2022-01-20T00:00:00"/>
        <d v="2023-02-06T00:00:00"/>
        <d v="2022-08-09T00:00:00"/>
        <d v="2024-12-13T00:00:00"/>
        <d v="2024-05-21T00:00:00"/>
        <d v="2024-07-02T00:00:00"/>
        <d v="2024-09-15T00:00:00"/>
        <d v="2022-12-19T00:00:00"/>
        <d v="2024-09-21T00:00:00"/>
        <d v="2024-08-23T00:00:00"/>
        <d v="2022-11-10T00:00:00"/>
        <d v="2023-05-02T00:00:00"/>
        <d v="2024-12-30T00:00:00"/>
        <d v="2024-10-29T00:00:00"/>
        <d v="2024-09-20T00:00:00"/>
        <d v="2022-04-20T00:00:00"/>
        <d v="2022-06-27T00:00:00"/>
        <d v="2024-01-29T00:00:00"/>
        <d v="2022-05-25T00:00:00"/>
        <d v="2023-10-28T00:00:00"/>
        <d v="2022-10-24T00:00:00"/>
        <d v="2022-07-05T00:00:00"/>
        <d v="2022-08-11T00:00:00"/>
        <d v="2024-10-23T00:00:00"/>
        <d v="2022-11-06T00:00:00"/>
        <d v="2023-08-02T00:00:00"/>
        <d v="2022-12-15T00:00:00"/>
        <d v="2022-11-25T00:00:00"/>
        <d v="2022-10-06T00:00:00"/>
        <d v="2024-01-06T00:00:00"/>
        <d v="2024-01-13T00:00:00"/>
        <d v="2024-02-13T00:00:00"/>
        <d v="2022-12-25T00:00:00"/>
        <d v="2022-07-30T00:00:00"/>
        <d v="2024-11-02T00:00:00"/>
        <d v="2023-09-18T00:00:00"/>
        <d v="2024-08-16T00:00:00"/>
        <d v="2022-07-24T00:00:00"/>
        <d v="2022-03-01T00:00:00"/>
        <d v="2024-04-23T00:00:00"/>
        <d v="2023-02-21T00:00:00"/>
        <d v="2022-04-22T00:00:00"/>
        <d v="2022-04-25T00:00:00"/>
        <d v="2022-01-07T00:00:00"/>
        <d v="2024-02-05T00:00:00"/>
        <d v="2022-05-03T00:00:00"/>
        <d v="2024-09-22T00:00:00"/>
        <d v="2022-10-12T00:00:00"/>
        <d v="2023-10-25T00:00:00"/>
        <d v="2023-06-12T00:00:00"/>
        <d v="2024-03-09T00:00:00"/>
        <d v="2022-04-16T00:00:00"/>
        <d v="2022-09-21T00:00:00"/>
        <d v="2022-01-04T00:00:00"/>
        <d v="2022-12-11T00:00:00"/>
        <d v="2022-09-17T00:00:00"/>
        <d v="2023-02-19T00:00:00"/>
        <d v="2022-11-26T00:00:00"/>
        <d v="2024-02-21T00:00:00"/>
        <d v="2024-12-07T00:00:00"/>
        <d v="2024-06-16T00:00:00"/>
        <d v="2022-10-30T00:00:00"/>
        <d v="2022-01-24T00:00:00"/>
        <d v="2022-06-04T00:00:00"/>
        <d v="2024-07-23T00:00:00"/>
        <d v="2023-11-08T00:00:00"/>
        <d v="2024-07-01T00:00:00"/>
        <d v="2024-05-28T00:00:00"/>
        <d v="2022-05-07T00:00:00"/>
        <d v="2022-07-27T00:00:00"/>
        <d v="2023-02-15T00:00:00"/>
        <d v="2023-04-11T00:00:00"/>
        <d v="2022-01-26T00:00:00"/>
        <d v="2022-10-19T00:00:00"/>
        <d v="2023-02-14T00:00:00"/>
        <d v="2024-10-20T00:00:00"/>
        <d v="2022-07-06T00:00:00"/>
        <d v="2024-02-23T00:00:00"/>
        <d v="2022-06-24T00:00:00"/>
        <d v="2024-04-03T00:00:00"/>
        <d v="2023-12-13T00:00:00"/>
        <d v="2022-01-18T00:00:00"/>
        <d v="2023-07-22T00:00:00"/>
        <d v="2023-06-05T00:00:00"/>
        <d v="2023-10-26T00:00:00"/>
        <d v="2023-07-28T00:00:00"/>
        <d v="2022-12-07T00:00:00"/>
        <d v="2023-02-25T00:00:00"/>
        <d v="2024-05-19T00:00:00"/>
        <d v="2023-09-27T00:00:00"/>
        <d v="2022-09-02T00:00:00"/>
        <d v="2024-08-07T00:00:00"/>
        <d v="2022-11-21T00:00:00"/>
        <d v="2022-09-12T00:00:00"/>
        <d v="2023-10-03T00:00:00"/>
        <d v="2023-12-08T00:00:00"/>
        <d v="2022-02-24T00:00:00"/>
        <d v="2023-08-22T00:00:00"/>
        <d v="2024-10-14T00:00:00"/>
        <d v="2022-11-30T00:00:00"/>
        <d v="2022-11-05T00:00:00"/>
        <d v="2024-11-23T00:00:00"/>
        <d v="2023-12-07T00:00:00"/>
        <d v="2024-01-15T00:00:00"/>
        <d v="2023-07-12T00:00:00"/>
        <d v="2022-08-27T00:00:00"/>
        <d v="2023-03-16T00:00:00"/>
        <d v="2023-10-16T00:00:00"/>
        <d v="2023-04-28T00:00:00"/>
        <d v="2024-05-10T00:00:00"/>
        <d v="2023-08-03T00:00:00"/>
        <d v="2022-11-15T00:00:00"/>
        <d v="2024-08-26T00:00:00"/>
        <d v="2024-12-27T00:00:00"/>
        <d v="2023-01-05T00:00:00"/>
        <d v="2024-10-25T00:00:00"/>
        <d v="2024-12-16T00:00:00"/>
        <d v="2024-03-15T00:00:00"/>
        <d v="2022-07-25T00:00:00"/>
        <d v="2024-11-13T00:00:00"/>
        <d v="2022-04-30T00:00:00"/>
        <d v="2023-06-23T00:00:00"/>
        <d v="2024-10-04T00:00:00"/>
        <d v="2024-08-13T00:00:00"/>
        <d v="2023-03-02T00:00:00"/>
        <d v="2023-11-15T00:00:00"/>
        <d v="2024-06-24T00:00:00"/>
        <d v="2024-12-20T00:00:00"/>
        <d v="2023-09-25T00:00:00"/>
        <d v="2024-11-25T00:00:00"/>
        <d v="2022-08-29T00:00:00"/>
        <d v="2024-10-17T00:00:00"/>
        <d v="2023-10-11T00:00:00"/>
        <d v="2023-01-30T00:00:00"/>
        <d v="2024-02-06T00:00:00"/>
        <d v="2024-04-11T00:00:00"/>
        <d v="2023-04-03T00:00:00"/>
        <d v="2024-10-16T00:00:00"/>
        <d v="2022-12-02T00:00:00"/>
        <d v="2022-11-12T00:00:00"/>
        <d v="2022-12-10T00:00:00"/>
        <d v="2024-09-24T00:00:00"/>
        <d v="2024-07-15T00:00:00"/>
        <d v="2023-03-20T00:00:00"/>
        <d v="2022-08-28T00:00:00"/>
        <d v="2022-12-01T00:00:00"/>
        <d v="2023-07-02T00:00:00"/>
        <d v="2024-10-24T00:00:00"/>
        <d v="2024-07-16T00:00:00"/>
        <d v="2023-09-19T00:00:00"/>
        <d v="2022-04-05T00:00:00"/>
        <d v="2023-09-08T00:00:00"/>
        <d v="2022-05-19T00:00:00"/>
        <d v="2022-02-02T00:00:00"/>
        <d v="2022-04-21T00:00:00"/>
        <d v="2024-11-12T00:00:00"/>
        <d v="2022-12-20T00:00:00"/>
        <d v="2022-06-05T00:00:00"/>
        <d v="2024-03-11T00:00:00"/>
        <d v="2023-05-13T00:00:00"/>
        <d v="2024-02-14T00:00:00"/>
        <d v="2022-09-13T00:00:00"/>
        <d v="2024-08-02T00:00:00"/>
        <d v="2023-07-30T00:00:00"/>
        <d v="2022-06-21T00:00:00"/>
        <d v="2022-07-08T00:00:00"/>
        <d v="2024-01-18T00:00:00"/>
        <d v="2022-06-02T00:00:00"/>
        <d v="2023-02-08T00:00:00"/>
        <d v="2022-10-27T00:00:00"/>
        <d v="2022-10-26T00:00:00"/>
        <d v="2024-02-22T00:00:00"/>
        <d v="2024-08-06T00:00:00"/>
        <d v="2022-10-28T00:00:00"/>
        <d v="2022-06-07T00:00:00"/>
        <d v="2024-06-22T00:00:00"/>
        <d v="2023-06-03T00:00:00"/>
        <d v="2023-12-02T00:00:00"/>
        <d v="2023-08-14T00:00:00"/>
        <d v="2023-07-16T00:00:00"/>
        <d v="2024-10-18T00:00:00"/>
        <d v="2024-09-06T00:00:00"/>
        <d v="2024-10-07T00:00:00"/>
        <d v="2022-04-27T00:00:00"/>
        <d v="2023-01-15T00:00:00"/>
        <d v="2023-02-27T00:00:00"/>
        <d v="2023-05-24T00:00:00"/>
        <d v="2024-05-16T00:00:00"/>
        <d v="2023-11-02T00:00:00"/>
        <d v="2024-07-22T00:00:00"/>
        <d v="2024-03-10T00:00:00"/>
        <d v="2022-10-29T00:00:00"/>
        <d v="2024-01-11T00:00:00"/>
        <d v="2022-02-04T00:00:00"/>
        <d v="2023-01-24T00:00:00"/>
        <d v="2023-03-04T00:00:00"/>
        <d v="2024-05-01T00:00:00"/>
        <d v="2022-02-17T00:00:00"/>
        <d v="2024-02-16T00:00:00"/>
        <d v="2024-11-29T00:00:00"/>
        <d v="2023-01-18T00:00:00"/>
        <d v="2023-11-23T00:00:00"/>
        <d v="2023-12-03T00:00:00"/>
        <d v="2023-04-29T00:00:00"/>
        <d v="2024-08-05T00:00:00"/>
        <d v="2023-08-10T00:00:00"/>
        <d v="2022-05-16T00:00:00"/>
        <d v="2023-02-04T00:00:00"/>
        <d v="2022-03-04T00:00:00"/>
        <d v="2024-02-28T00:00:00"/>
        <d v="2023-03-08T00:00:00"/>
        <d v="2023-11-07T00:00:00"/>
        <d v="2023-11-26T00:00:00"/>
        <d v="2023-11-16T00:00:00"/>
        <d v="2024-10-19T00:00:00"/>
        <d v="2024-12-02T00:00:00"/>
        <d v="2023-02-09T00:00:00"/>
        <d v="2022-06-12T00:00:00"/>
        <d v="2022-09-06T00:00:00"/>
        <d v="2023-01-04T00:00:00"/>
        <d v="2022-12-21T00:00:00"/>
        <d v="2024-12-08T00:00:00"/>
        <d v="2024-07-06T00:00:00"/>
        <d v="2023-04-08T00:00:00"/>
        <d v="2023-05-30T00:00:00"/>
        <d v="2023-04-22T00:00:00"/>
        <d v="2022-11-09T00:00:00"/>
        <d v="2024-11-22T00:00:00"/>
        <d v="2024-12-10T00:00:00"/>
        <d v="2024-01-04T00:00:00"/>
        <d v="2023-09-16T00:00:00"/>
        <d v="2022-07-14T00:00:00"/>
        <d v="2023-02-28T00:00:00"/>
        <d v="2022-06-23T00:00:00"/>
        <d v="2022-07-03T00:00:00"/>
        <d v="2022-03-21T00:00:00"/>
        <d v="2022-12-24T00:00:00"/>
        <d v="2022-02-12T00:00:00"/>
        <d v="2024-02-26T00:00:00"/>
        <d v="2024-02-12T00:00:00"/>
        <d v="2024-06-01T00:00:00"/>
        <d v="2023-03-25T00:00:00"/>
        <d v="2024-12-14T00:00:00"/>
        <d v="2022-06-25T00:00:00"/>
        <d v="2024-05-29T00:00:00"/>
        <d v="2022-09-05T00:00:00"/>
        <d v="2023-03-09T00:00:00"/>
        <d v="2022-03-07T00:00:00"/>
        <d v="2023-04-24T00:00:00"/>
        <d v="2023-06-15T00:00:00"/>
        <d v="2022-07-19T00:00:00"/>
        <d v="2022-03-24T00:00:00"/>
        <d v="2023-01-20T00:00:00"/>
        <d v="2022-03-18T00:00:00"/>
        <d v="2024-07-08T00:00:00"/>
        <d v="2024-11-24T00:00:00"/>
        <d v="2022-11-29T00:00:00"/>
        <d v="2022-05-26T00:00:00"/>
        <d v="2024-12-12T00:00:00"/>
        <d v="2023-12-14T00:00:00"/>
        <d v="2022-06-29T00:00:00"/>
        <d v="2023-08-28T00:00:00"/>
        <d v="2022-07-28T00:00:00"/>
        <d v="2023-02-22T00:00:00"/>
        <d v="2024-08-18T00:00:00"/>
        <d v="2022-09-18T00:00:00"/>
        <d v="2024-01-12T00:00:00"/>
        <d v="2023-09-05T00:00:00"/>
        <d v="2024-01-14T00:00:00"/>
        <d v="2023-02-12T00:00:00"/>
        <d v="2022-08-16T00:00:00"/>
        <d v="2022-08-23T00:00:00"/>
        <d v="2022-11-08T00:00:00"/>
        <d v="2022-04-04T00:00:00"/>
        <d v="2022-04-18T00:00:00"/>
        <d v="2024-07-21T00:00:00"/>
        <d v="2024-11-30T00:00:00"/>
        <d v="2022-10-07T00:00:00"/>
        <d v="2023-08-26T00:00:00"/>
        <d v="2022-08-31T00:00:00"/>
        <d v="2022-06-01T00:00:00"/>
        <d v="2022-07-02T00:00:00"/>
        <d v="2022-01-30T00:00:00"/>
        <d v="2022-01-06T00:00:00"/>
        <d v="2024-02-27T00:00:00"/>
        <d v="2024-11-05T00:00:00"/>
        <d v="2022-12-16T00:00:00"/>
        <d v="2022-09-20T00:00:00"/>
        <d v="2023-10-06T00:00:00"/>
        <d v="2022-04-12T00:00:00"/>
      </sharedItems>
      <fieldGroup par="10"/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 count="9">
        <n v="4"/>
        <n v="7"/>
        <n v="5"/>
        <n v="2"/>
        <n v="1"/>
        <n v="9"/>
        <n v="8"/>
        <n v="6"/>
        <n v="3"/>
      </sharedItems>
    </cacheField>
    <cacheField name="Sales" numFmtId="164">
      <sharedItems containsSemiMixedTypes="0" containsString="0" containsNumber="1" containsInteger="1" minValue="51" maxValue="10782" count="2377">
        <n v="3640"/>
        <n v="1197"/>
        <n v="5865"/>
        <n v="786"/>
        <n v="509"/>
        <n v="524"/>
        <n v="6167"/>
        <n v="3059"/>
        <n v="5526"/>
        <n v="672"/>
        <n v="7074"/>
        <n v="502"/>
        <n v="7462"/>
        <n v="4205"/>
        <n v="570"/>
        <n v="441"/>
        <n v="7469"/>
        <n v="2212"/>
        <n v="740"/>
        <n v="662"/>
        <n v="5712"/>
        <n v="2739"/>
        <n v="1400"/>
        <n v="3477"/>
        <n v="3475"/>
        <n v="6138"/>
        <n v="3665"/>
        <n v="2372"/>
        <n v="1382"/>
        <n v="1126"/>
        <n v="1376"/>
        <n v="988"/>
        <n v="10773"/>
        <n v="3252"/>
        <n v="2709"/>
        <n v="936"/>
        <n v="3720"/>
        <n v="5320"/>
        <n v="804"/>
        <n v="1224"/>
        <n v="8667"/>
        <n v="3018"/>
        <n v="4325"/>
        <n v="1557"/>
        <n v="3672"/>
        <n v="333"/>
        <n v="2384"/>
        <n v="888"/>
        <n v="3280"/>
        <n v="1239"/>
        <n v="5880"/>
        <n v="1668"/>
        <n v="4109"/>
        <n v="595"/>
        <n v="8155"/>
        <n v="1872"/>
        <n v="2124"/>
        <n v="5210"/>
        <n v="5761"/>
        <n v="6895"/>
        <n v="2118"/>
        <n v="830"/>
        <n v="851"/>
        <n v="4730"/>
        <n v="5460"/>
        <n v="5795"/>
        <n v="2008"/>
        <n v="2842"/>
        <n v="3404"/>
        <n v="1065"/>
        <n v="2149"/>
        <n v="5912"/>
        <n v="3348"/>
        <n v="2409"/>
        <n v="328"/>
        <n v="6224"/>
        <n v="2530"/>
        <n v="4108"/>
        <n v="1640"/>
        <n v="111"/>
        <n v="445"/>
        <n v="3600"/>
        <n v="1335"/>
        <n v="3090"/>
        <n v="3910"/>
        <n v="219"/>
        <n v="390"/>
        <n v="3294"/>
        <n v="4572"/>
        <n v="980"/>
        <n v="2262"/>
        <n v="7518"/>
        <n v="873"/>
        <n v="1512"/>
        <n v="705"/>
        <n v="3256"/>
        <n v="556"/>
        <n v="7101"/>
        <n v="8802"/>
        <n v="5592"/>
        <n v="1852"/>
        <n v="195"/>
        <n v="7884"/>
        <n v="4360"/>
        <n v="4920"/>
        <n v="3474"/>
        <n v="930"/>
        <n v="1421"/>
        <n v="634"/>
        <n v="673"/>
        <n v="3135"/>
        <n v="882"/>
        <n v="1192"/>
        <n v="834"/>
        <n v="612"/>
        <n v="8073"/>
        <n v="2640"/>
        <n v="3234"/>
        <n v="4435"/>
        <n v="2302"/>
        <n v="1728"/>
        <n v="228"/>
        <n v="3450"/>
        <n v="7456"/>
        <n v="4728"/>
        <n v="945"/>
        <n v="296"/>
        <n v="640"/>
        <n v="797"/>
        <n v="1456"/>
        <n v="4038"/>
        <n v="5656"/>
        <n v="3876"/>
        <n v="1002"/>
        <n v="2187"/>
        <n v="7146"/>
        <n v="189"/>
        <n v="940"/>
        <n v="951"/>
        <n v="124"/>
        <n v="7506"/>
        <n v="8176"/>
        <n v="2125"/>
        <n v="967"/>
        <n v="270"/>
        <n v="10035"/>
        <n v="6792"/>
        <n v="714"/>
        <n v="765"/>
        <n v="4221"/>
        <n v="2108"/>
        <n v="10530"/>
        <n v="3396"/>
        <n v="1060"/>
        <n v="480"/>
        <n v="2529"/>
        <n v="4792"/>
        <n v="8056"/>
        <n v="4228"/>
        <n v="653"/>
        <n v="7452"/>
        <n v="4128"/>
        <n v="5090"/>
        <n v="4930"/>
        <n v="2610"/>
        <n v="2139"/>
        <n v="226"/>
        <n v="2244"/>
        <n v="3150"/>
        <n v="3388"/>
        <n v="8736"/>
        <n v="1102"/>
        <n v="2547"/>
        <n v="728"/>
        <n v="3444"/>
        <n v="3140"/>
        <n v="435"/>
        <n v="856"/>
        <n v="112"/>
        <n v="2247"/>
        <n v="4915"/>
        <n v="572"/>
        <n v="1708"/>
        <n v="360"/>
        <n v="3822"/>
        <n v="4680"/>
        <n v="2520"/>
        <n v="2138"/>
        <n v="236"/>
        <n v="2730"/>
        <n v="3021"/>
        <n v="244"/>
        <n v="453"/>
        <n v="379"/>
        <n v="2130"/>
        <n v="4120"/>
        <n v="2688"/>
        <n v="1752"/>
        <n v="7308"/>
        <n v="2007"/>
        <n v="7224"/>
        <n v="6939"/>
        <n v="5516"/>
        <n v="2224"/>
        <n v="3985"/>
        <n v="2723"/>
        <n v="746"/>
        <n v="3170"/>
        <n v="550"/>
        <n v="3284"/>
        <n v="1748"/>
        <n v="824"/>
        <n v="627"/>
        <n v="5661"/>
        <n v="2910"/>
        <n v="9036"/>
        <n v="4815"/>
        <n v="1187"/>
        <n v="3339"/>
        <n v="620"/>
        <n v="2025"/>
        <n v="3030"/>
        <n v="655"/>
        <n v="2238"/>
        <n v="3312"/>
        <n v="9387"/>
        <n v="5790"/>
        <n v="2700"/>
        <n v="2072"/>
        <n v="2991"/>
        <n v="5568"/>
        <n v="5509"/>
        <n v="5922"/>
        <n v="4380"/>
        <n v="1760"/>
        <n v="5571"/>
        <n v="1082"/>
        <n v="569"/>
        <n v="3416"/>
        <n v="3300"/>
        <n v="2584"/>
        <n v="7650"/>
        <n v="846"/>
        <n v="51"/>
        <n v="7056"/>
        <n v="384"/>
        <n v="2928"/>
        <n v="1904"/>
        <n v="2314"/>
        <n v="1028"/>
        <n v="8307"/>
        <n v="1539"/>
        <n v="2506"/>
        <n v="5778"/>
        <n v="10188"/>
        <n v="952"/>
        <n v="3624"/>
        <n v="7968"/>
        <n v="1254"/>
        <n v="916"/>
        <n v="848"/>
        <n v="2240"/>
        <n v="1550"/>
        <n v="2352"/>
        <n v="1638"/>
        <n v="7164"/>
        <n v="205"/>
        <n v="766"/>
        <n v="168"/>
        <n v="1058"/>
        <n v="1455"/>
        <n v="7567"/>
        <n v="704"/>
        <n v="7767"/>
        <n v="2050"/>
        <n v="10458"/>
        <n v="4700"/>
        <n v="892"/>
        <n v="6968"/>
        <n v="1344"/>
        <n v="354"/>
        <n v="3051"/>
        <n v="402"/>
        <n v="3570"/>
        <n v="3829"/>
        <n v="4676"/>
        <n v="1119"/>
        <n v="1240"/>
        <n v="3591"/>
        <n v="3952"/>
        <n v="3648"/>
        <n v="3875"/>
        <n v="908"/>
        <n v="4532"/>
        <n v="4168"/>
        <n v="3543"/>
        <n v="5124"/>
        <n v="5751"/>
        <n v="624"/>
        <n v="508"/>
        <n v="3216"/>
        <n v="2844"/>
        <n v="2385"/>
        <n v="928"/>
        <n v="4656"/>
        <n v="330"/>
        <n v="1799"/>
        <n v="1029"/>
        <n v="5432"/>
        <n v="5785"/>
        <n v="1062"/>
        <n v="163"/>
        <n v="9162"/>
        <n v="1440"/>
        <n v="1465"/>
        <n v="366"/>
        <n v="630"/>
        <n v="213"/>
        <n v="3792"/>
        <n v="1932"/>
        <n v="4152"/>
        <n v="3612"/>
        <n v="2258"/>
        <n v="594"/>
        <n v="8071"/>
        <n v="5838"/>
        <n v="692"/>
        <n v="1704"/>
        <n v="3235"/>
        <n v="4746"/>
        <n v="7600"/>
        <n v="1935"/>
        <n v="4824"/>
        <n v="1193"/>
        <n v="562"/>
        <n v="6200"/>
        <n v="5405"/>
        <n v="1371"/>
        <n v="1405"/>
        <n v="1644"/>
        <n v="3414"/>
        <n v="3272"/>
        <n v="2655"/>
        <n v="1673"/>
        <n v="985"/>
        <n v="7551"/>
        <n v="855"/>
        <n v="396"/>
        <n v="2296"/>
        <n v="1180"/>
        <n v="411"/>
        <n v="745"/>
        <n v="10656"/>
        <n v="1494"/>
        <n v="1755"/>
        <n v="4941"/>
        <n v="6510"/>
        <n v="5465"/>
        <n v="3522"/>
        <n v="1656"/>
        <n v="1255"/>
        <n v="1925"/>
        <n v="1688"/>
        <n v="260"/>
        <n v="4880"/>
        <n v="1134"/>
        <n v="9621"/>
        <n v="2836"/>
        <n v="5859"/>
        <n v="2044"/>
        <n v="1890"/>
        <n v="1960"/>
        <n v="4410"/>
        <n v="8272"/>
        <n v="1524"/>
        <n v="5160"/>
        <n v="2956"/>
        <n v="7944"/>
        <n v="1815"/>
        <n v="2706"/>
        <n v="1356"/>
        <n v="6384"/>
        <n v="4248"/>
        <n v="3954"/>
        <n v="7110"/>
        <n v="8113"/>
        <n v="1830"/>
        <n v="3732"/>
        <n v="4062"/>
        <n v="496"/>
        <n v="1104"/>
        <n v="2274"/>
        <n v="4456"/>
        <n v="4928"/>
        <n v="1740"/>
        <n v="178"/>
        <n v="5296"/>
        <n v="4156"/>
        <n v="3892"/>
        <n v="1620"/>
        <n v="2250"/>
        <n v="1390"/>
        <n v="5155"/>
        <n v="1025"/>
        <n v="1785"/>
        <n v="2952"/>
        <n v="773"/>
        <n v="1017"/>
        <n v="1964"/>
        <n v="2994"/>
        <n v="8046"/>
        <n v="1874"/>
        <n v="6008"/>
        <n v="7240"/>
        <n v="1188"/>
        <n v="2997"/>
        <n v="7524"/>
        <n v="3625"/>
        <n v="6952"/>
        <n v="1053"/>
        <n v="6696"/>
        <n v="1420"/>
        <n v="9972"/>
        <n v="3136"/>
        <n v="225"/>
        <n v="1662"/>
        <n v="500"/>
        <n v="3168"/>
        <n v="622"/>
        <n v="1233"/>
        <n v="573"/>
        <n v="702"/>
        <n v="4832"/>
        <n v="3765"/>
        <n v="6928"/>
        <n v="1624"/>
        <n v="68"/>
        <n v="651"/>
        <n v="6293"/>
        <n v="1068"/>
        <n v="381"/>
        <n v="2016"/>
        <n v="2180"/>
        <n v="2853"/>
        <n v="272"/>
        <n v="488"/>
        <n v="9184"/>
        <n v="280"/>
        <n v="2889"/>
        <n v="625"/>
        <n v="3936"/>
        <n v="2472"/>
        <n v="3480"/>
        <n v="158"/>
        <n v="3186"/>
        <n v="6972"/>
        <n v="1745"/>
        <n v="4256"/>
        <n v="1674"/>
        <n v="6488"/>
        <n v="3530"/>
        <n v="632"/>
        <n v="3675"/>
        <n v="6432"/>
        <n v="3069"/>
        <n v="2898"/>
        <n v="3960"/>
        <n v="1476"/>
        <n v="1215"/>
        <n v="204"/>
        <n v="4137"/>
        <n v="250"/>
        <n v="1185"/>
        <n v="1504"/>
        <n v="6888"/>
        <n v="3588"/>
        <n v="1477"/>
        <n v="1280"/>
        <n v="7161"/>
        <n v="1850"/>
        <n v="3378"/>
        <n v="7672"/>
        <n v="4254"/>
        <n v="2285"/>
        <n v="5775"/>
        <n v="9360"/>
        <n v="6936"/>
        <n v="5634"/>
        <n v="2644"/>
        <n v="247"/>
        <n v="1869"/>
        <n v="1988"/>
        <n v="1920"/>
        <n v="2577"/>
        <n v="828"/>
        <n v="1580"/>
        <n v="9009"/>
        <n v="7425"/>
        <n v="2945"/>
        <n v="294"/>
        <n v="5875"/>
        <n v="1308"/>
        <n v="2360"/>
        <n v="1008"/>
        <n v="5635"/>
        <n v="4088"/>
        <n v="2192"/>
        <n v="1952"/>
        <n v="3955"/>
        <n v="5256"/>
        <n v="1163"/>
        <n v="5004"/>
        <n v="9128"/>
        <n v="1686"/>
        <n v="2510"/>
        <n v="3117"/>
        <n v="380"/>
        <n v="3654"/>
        <n v="5610"/>
        <n v="668"/>
        <n v="3983"/>
        <n v="1112"/>
        <n v="4230"/>
        <n v="2968"/>
        <n v="4690"/>
        <n v="4296"/>
        <n v="7203"/>
        <n v="1131"/>
        <n v="3627"/>
        <n v="3546"/>
        <n v="2270"/>
        <n v="1354"/>
        <n v="6811"/>
        <n v="1410"/>
        <n v="1170"/>
        <n v="4739"/>
        <n v="7866"/>
        <n v="3645"/>
        <n v="5358"/>
        <n v="1775"/>
        <n v="4905"/>
        <n v="4260"/>
        <n v="1632"/>
        <n v="3324"/>
        <n v="4590"/>
        <n v="8496"/>
        <n v="6444"/>
        <n v="812"/>
        <n v="1764"/>
        <n v="1012"/>
        <n v="836"/>
        <n v="723"/>
        <n v="5628"/>
        <n v="1660"/>
        <n v="2295"/>
        <n v="2190"/>
        <n v="3500"/>
        <n v="1098"/>
        <n v="5622"/>
        <n v="2325"/>
        <n v="1157"/>
        <n v="531"/>
        <n v="371"/>
        <n v="1896"/>
        <n v="514"/>
        <n v="1876"/>
        <n v="1182"/>
        <n v="4255"/>
        <n v="1341"/>
        <n v="644"/>
        <n v="1827"/>
        <n v="528"/>
        <n v="4236"/>
        <n v="1664"/>
        <n v="2727"/>
        <n v="522"/>
        <n v="8288"/>
        <n v="1140"/>
        <n v="3488"/>
        <n v="5920"/>
        <n v="3096"/>
        <n v="3490"/>
        <n v="4374"/>
        <n v="3366"/>
        <n v="822"/>
        <n v="340"/>
        <n v="763"/>
        <n v="3408"/>
        <n v="2282"/>
        <n v="4151"/>
        <n v="6279"/>
        <n v="474"/>
        <n v="680"/>
        <n v="7826"/>
        <n v="4014"/>
        <n v="687"/>
        <n v="2943"/>
        <n v="5649"/>
        <n v="3296"/>
        <n v="1137"/>
        <n v="4405"/>
        <n v="120"/>
        <n v="1176"/>
        <n v="1770"/>
        <n v="4302"/>
        <n v="2988"/>
        <n v="3033"/>
        <n v="6363"/>
        <n v="3402"/>
        <n v="3496"/>
        <n v="1080"/>
        <n v="1530"/>
        <n v="3568"/>
        <n v="954"/>
        <n v="1196"/>
        <n v="2136"/>
        <n v="7280"/>
        <n v="4935"/>
        <n v="9056"/>
        <n v="563"/>
        <n v="1570"/>
        <n v="2181"/>
        <n v="3808"/>
        <n v="6552"/>
        <n v="6544"/>
        <n v="2631"/>
        <n v="760"/>
        <n v="1392"/>
        <n v="1242"/>
        <n v="3183"/>
        <n v="1041"/>
        <n v="1692"/>
        <n v="4484"/>
        <n v="4123"/>
        <n v="5201"/>
        <n v="3100"/>
        <n v="5292"/>
        <n v="5952"/>
        <n v="3486"/>
        <n v="4324"/>
        <n v="2708"/>
        <n v="684"/>
        <n v="5904"/>
        <n v="4970"/>
        <n v="2288"/>
        <n v="4662"/>
        <n v="2532"/>
        <n v="9328"/>
        <n v="686"/>
        <n v="1290"/>
        <n v="1205"/>
        <n v="7966"/>
        <n v="1085"/>
        <n v="6633"/>
        <n v="5096"/>
        <n v="1479"/>
        <n v="1652"/>
        <n v="4580"/>
        <n v="2152"/>
        <n v="4566"/>
        <n v="2622"/>
        <n v="325"/>
        <n v="960"/>
        <n v="2639"/>
        <n v="1924"/>
        <n v="2600"/>
        <n v="2792"/>
        <n v="378"/>
        <n v="968"/>
        <n v="564"/>
        <n v="2365"/>
        <n v="276"/>
        <n v="1398"/>
        <n v="904"/>
        <n v="1178"/>
        <n v="2535"/>
        <n v="3888"/>
        <n v="4921"/>
        <n v="4472"/>
        <n v="603"/>
        <n v="1899"/>
        <n v="544"/>
        <n v="6471"/>
        <n v="677"/>
        <n v="1372"/>
        <n v="7542"/>
        <n v="924"/>
        <n v="3940"/>
        <n v="374"/>
        <n v="1800"/>
        <n v="5362"/>
        <n v="5976"/>
        <n v="8514"/>
        <n v="810"/>
        <n v="71"/>
        <n v="1245"/>
        <n v="464"/>
        <n v="5175"/>
        <n v="513"/>
        <n v="2276"/>
        <n v="3428"/>
        <n v="7077"/>
        <n v="9225"/>
        <n v="1995"/>
        <n v="385"/>
        <n v="4316"/>
        <n v="1169"/>
        <n v="199"/>
        <n v="375"/>
        <n v="8010"/>
        <n v="316"/>
        <n v="5895"/>
        <n v="388"/>
        <n v="3670"/>
        <n v="7731"/>
        <n v="1596"/>
        <n v="4192"/>
        <n v="5264"/>
        <n v="425"/>
        <n v="3380"/>
        <n v="8379"/>
        <n v="2040"/>
        <n v="1336"/>
        <n v="1934"/>
        <n v="1560"/>
        <n v="4446"/>
        <n v="1893"/>
        <n v="4492"/>
        <n v="6228"/>
        <n v="4403"/>
        <n v="4176"/>
        <n v="486"/>
        <n v="265"/>
        <n v="9448"/>
        <n v="1617"/>
        <n v="1486"/>
        <n v="7152"/>
        <n v="1404"/>
        <n v="122"/>
        <n v="7533"/>
        <n v="870"/>
        <n v="1446"/>
        <n v="510"/>
        <n v="2840"/>
        <n v="2562"/>
        <n v="790"/>
        <n v="4170"/>
        <n v="1360"/>
        <n v="5316"/>
        <n v="3956"/>
        <n v="726"/>
        <n v="2628"/>
        <n v="606"/>
        <n v="7256"/>
        <n v="1956"/>
        <n v="2804"/>
        <n v="5850"/>
        <n v="56"/>
        <n v="10143"/>
        <n v="8964"/>
        <n v="1758"/>
        <n v="6348"/>
        <n v="1582"/>
        <n v="7752"/>
        <n v="1114"/>
        <n v="1765"/>
        <n v="6834"/>
        <n v="1520"/>
        <n v="8141"/>
        <n v="5176"/>
        <n v="738"/>
        <n v="4086"/>
        <n v="442"/>
        <n v="2478"/>
        <n v="1860"/>
        <n v="4968"/>
        <n v="1722"/>
        <n v="6573"/>
        <n v="2481"/>
        <n v="3828"/>
        <n v="7623"/>
        <n v="3384"/>
        <n v="1296"/>
        <n v="1540"/>
        <n v="1414"/>
        <n v="8328"/>
        <n v="744"/>
        <n v="1773"/>
        <n v="6034"/>
        <n v="756"/>
        <n v="2256"/>
        <n v="875"/>
        <n v="1208"/>
        <n v="352"/>
        <n v="4266"/>
        <n v="1841"/>
        <n v="712"/>
        <n v="724"/>
        <n v="5832"/>
        <n v="4188"/>
        <n v="392"/>
        <n v="963"/>
        <n v="5706"/>
        <n v="1365"/>
        <n v="202"/>
        <n v="2430"/>
        <n v="2670"/>
        <n v="2758"/>
        <n v="7245"/>
        <n v="1284"/>
        <n v="512"/>
        <n v="9729"/>
        <n v="976"/>
        <n v="1824"/>
        <n v="3188"/>
        <n v="5467"/>
        <n v="5406"/>
        <n v="2984"/>
        <n v="919"/>
        <n v="4165"/>
        <n v="1281"/>
        <n v="2829"/>
        <n v="2211"/>
        <n v="4740"/>
        <n v="718"/>
        <n v="1716"/>
        <n v="1547"/>
        <n v="739"/>
        <n v="819"/>
        <n v="5696"/>
        <n v="1706"/>
        <n v="2066"/>
        <n v="256"/>
        <n v="2872"/>
        <n v="1366"/>
        <n v="1253"/>
        <n v="2618"/>
        <n v="6822"/>
        <n v="5286"/>
        <n v="579"/>
        <n v="2493"/>
        <n v="6461"/>
        <n v="1152"/>
        <n v="1750"/>
        <n v="4417"/>
        <n v="3724"/>
        <n v="2220"/>
        <n v="9104"/>
        <n v="3093"/>
        <n v="3048"/>
        <n v="161"/>
        <n v="7238"/>
        <n v="3561"/>
        <n v="584"/>
        <n v="2556"/>
        <n v="348"/>
        <n v="1602"/>
        <n v="1024"/>
        <n v="4485"/>
        <n v="436"/>
        <n v="2232"/>
        <n v="315"/>
        <n v="358"/>
        <n v="3451"/>
        <n v="1350"/>
        <n v="3320"/>
        <n v="8442"/>
        <n v="166"/>
        <n v="1090"/>
        <n v="9783"/>
        <n v="2432"/>
        <n v="4060"/>
        <n v="387"/>
        <n v="966"/>
        <n v="7833"/>
        <n v="610"/>
        <n v="4288"/>
        <n v="7740"/>
        <n v="894"/>
        <n v="7544"/>
        <n v="6360"/>
        <n v="2428"/>
        <n v="574"/>
        <n v="6744"/>
        <n v="798"/>
        <n v="2860"/>
        <n v="5410"/>
        <n v="4445"/>
        <n v="7536"/>
        <n v="310"/>
        <n v="2170"/>
        <n v="2832"/>
        <n v="3945"/>
        <n v="2104"/>
        <n v="2060"/>
        <n v="1562"/>
        <n v="5337"/>
        <n v="212"/>
        <n v="2704"/>
        <n v="3225"/>
        <n v="1342"/>
        <n v="3395"/>
        <n v="3968"/>
        <n v="4555"/>
        <n v="2132"/>
        <n v="6516"/>
        <n v="6126"/>
        <n v="520"/>
        <n v="4470"/>
        <n v="5504"/>
        <n v="3036"/>
        <n v="2725"/>
        <n v="4080"/>
        <n v="3080"/>
        <n v="1525"/>
        <n v="1332"/>
        <n v="4669"/>
        <n v="5310"/>
        <n v="9392"/>
        <n v="300"/>
        <n v="4575"/>
        <n v="9304"/>
        <n v="1928"/>
        <n v="1042"/>
        <n v="2214"/>
        <n v="3024"/>
        <n v="6056"/>
        <n v="5295"/>
        <n v="3668"/>
        <n v="4293"/>
        <n v="5789"/>
        <n v="4440"/>
        <n v="5515"/>
        <n v="784"/>
        <n v="576"/>
        <n v="4458"/>
        <n v="6780"/>
        <n v="3970"/>
        <n v="5131"/>
        <n v="8337"/>
        <n v="9810"/>
        <n v="2658"/>
        <n v="473"/>
        <n v="2205"/>
        <n v="6948"/>
        <n v="774"/>
        <n v="6587"/>
        <n v="7266"/>
        <n v="6867"/>
        <n v="4887"/>
        <n v="864"/>
        <n v="5190"/>
        <n v="2128"/>
        <n v="1718"/>
        <n v="1270"/>
        <n v="2569"/>
        <n v="1518"/>
        <n v="1210"/>
        <n v="1128"/>
        <n v="1077"/>
        <n v="1608"/>
        <n v="3685"/>
        <n v="404"/>
        <n v="1738"/>
        <n v="4344"/>
        <n v="1130"/>
        <n v="1698"/>
        <n v="844"/>
        <n v="2286"/>
        <n v="1026"/>
        <n v="6984"/>
        <n v="1672"/>
        <n v="1092"/>
        <n v="4298"/>
        <n v="4116"/>
        <n v="70"/>
        <n v="344"/>
        <n v="518"/>
        <n v="2763"/>
        <n v="2298"/>
        <n v="5572"/>
        <n v="1252"/>
        <n v="4959"/>
        <n v="8162"/>
        <n v="1370"/>
        <n v="3111"/>
        <n v="7805"/>
        <n v="10314"/>
        <n v="10782"/>
        <n v="4375"/>
        <n v="2265"/>
        <n v="7217"/>
        <n v="1767"/>
        <n v="2883"/>
        <n v="1338"/>
        <n v="9459"/>
        <n v="4536"/>
        <n v="4404"/>
        <n v="2004"/>
        <n v="468"/>
        <n v="6097"/>
        <n v="4752"/>
        <n v="1172"/>
        <n v="7595"/>
        <n v="1142"/>
        <n v="116"/>
        <n v="3951"/>
        <n v="1606"/>
        <n v="2006"/>
        <n v="9423"/>
        <n v="2718"/>
        <n v="214"/>
        <n v="2092"/>
        <n v="859"/>
        <n v="2070"/>
        <n v="3240"/>
        <n v="2080"/>
        <n v="2193"/>
        <n v="5070"/>
        <n v="469"/>
        <n v="802"/>
        <n v="495"/>
        <n v="4938"/>
        <n v="1300"/>
        <n v="2100"/>
        <n v="2248"/>
        <n v="7096"/>
        <n v="1992"/>
        <n v="4056"/>
        <n v="1986"/>
        <n v="1635"/>
        <n v="3132"/>
        <n v="7064"/>
        <n v="907"/>
        <n v="7938"/>
        <n v="826"/>
        <n v="1011"/>
        <n v="807"/>
        <n v="1840"/>
        <n v="4550"/>
        <n v="8793"/>
        <n v="1143"/>
        <n v="9441"/>
        <n v="3520"/>
        <n v="3219"/>
        <n v="450"/>
        <n v="1146"/>
        <n v="7264"/>
        <n v="1385"/>
        <n v="4556"/>
        <n v="456"/>
        <n v="1984"/>
        <n v="5178"/>
        <n v="281"/>
        <n v="1107"/>
        <n v="266"/>
        <n v="648"/>
        <n v="5724"/>
        <n v="5440"/>
        <n v="7994"/>
        <n v="3780"/>
        <n v="1578"/>
        <n v="912"/>
        <n v="2632"/>
        <n v="6582"/>
        <n v="3432"/>
        <n v="1030"/>
        <n v="7083"/>
        <n v="3528"/>
        <n v="777"/>
        <n v="3368"/>
        <n v="4240"/>
        <n v="3285"/>
        <n v="4872"/>
        <n v="2466"/>
        <n v="2465"/>
        <n v="1088"/>
        <n v="1626"/>
        <n v="6486"/>
        <n v="357"/>
        <n v="454"/>
        <n v="3582"/>
        <n v="3762"/>
        <n v="6642"/>
        <n v="408"/>
        <n v="105"/>
        <n v="2682"/>
        <n v="497"/>
        <n v="4823"/>
        <n v="4048"/>
        <n v="4096"/>
        <n v="3297"/>
        <n v="5960"/>
        <n v="386"/>
        <n v="1275"/>
        <n v="5949"/>
        <n v="5159"/>
        <n v="1100"/>
        <n v="290"/>
        <n v="7144"/>
        <n v="4200"/>
        <n v="5022"/>
        <n v="2354"/>
        <n v="2032"/>
        <n v="9528"/>
        <n v="2703"/>
        <n v="1264"/>
        <n v="2976"/>
        <n v="4998"/>
        <n v="98"/>
        <n v="4102"/>
        <n v="1016"/>
        <n v="2751"/>
        <n v="4032"/>
        <n v="5978"/>
        <n v="8050"/>
        <n v="4648"/>
        <n v="2178"/>
        <n v="918"/>
        <n v="6903"/>
        <n v="4855"/>
        <n v="2158"/>
        <n v="3592"/>
        <n v="1214"/>
        <n v="7200"/>
        <n v="1808"/>
        <n v="7182"/>
        <n v="5532"/>
        <n v="351"/>
        <n v="1200"/>
        <n v="1593"/>
        <n v="2580"/>
        <n v="1298"/>
        <n v="4585"/>
        <n v="516"/>
        <n v="1780"/>
        <n v="365"/>
        <n v="3896"/>
        <n v="636"/>
        <n v="637"/>
        <n v="1302"/>
        <n v="719"/>
        <n v="5106"/>
        <n v="1791"/>
        <n v="6255"/>
        <n v="5990"/>
        <n v="847"/>
        <n v="688"/>
        <n v="3101"/>
        <n v="8703"/>
        <n v="9324"/>
        <n v="749"/>
        <n v="3224"/>
        <n v="459"/>
        <n v="5726"/>
        <n v="616"/>
        <n v="1584"/>
        <n v="3205"/>
        <n v="958"/>
        <n v="5139"/>
        <n v="3795"/>
        <n v="3165"/>
        <n v="5935"/>
        <n v="3352"/>
        <n v="8343"/>
        <n v="2604"/>
        <n v="526"/>
        <n v="5220"/>
        <n v="1737"/>
        <n v="7014"/>
        <n v="3411"/>
        <n v="1700"/>
        <n v="2932"/>
        <n v="3604"/>
        <n v="4596"/>
        <n v="2790"/>
        <n v="962"/>
        <n v="92"/>
        <n v="6024"/>
        <n v="879"/>
        <n v="4644"/>
        <n v="607"/>
        <n v="770"/>
        <n v="711"/>
        <n v="4704"/>
        <n v="660"/>
        <n v="6797"/>
        <n v="558"/>
        <n v="4496"/>
        <n v="713"/>
        <n v="1310"/>
        <n v="2324"/>
        <n v="588"/>
        <n v="63"/>
        <n v="1037"/>
        <n v="373"/>
        <n v="4140"/>
        <n v="1038"/>
        <n v="2024"/>
        <n v="6624"/>
        <n v="5019"/>
        <n v="750"/>
        <n v="2946"/>
        <n v="618"/>
        <n v="1774"/>
        <n v="8586"/>
        <n v="2000"/>
        <n v="849"/>
        <n v="2536"/>
        <n v="1306"/>
        <n v="2508"/>
        <n v="1048"/>
        <n v="1516"/>
        <n v="2754"/>
        <n v="1234"/>
        <n v="7596"/>
        <n v="7252"/>
        <n v="732"/>
        <n v="173"/>
        <n v="2805"/>
        <n v="7048"/>
        <n v="4698"/>
        <n v="565"/>
        <n v="2455"/>
        <n v="1796"/>
        <n v="288"/>
        <n v="2160"/>
        <n v="7578"/>
        <n v="3752"/>
        <n v="1384"/>
        <n v="475"/>
        <n v="1116"/>
        <n v="137"/>
        <n v="1821"/>
        <n v="2592"/>
        <n v="996"/>
        <n v="693"/>
        <n v="5736"/>
        <n v="1458"/>
        <n v="5496"/>
        <n v="3990"/>
        <n v="582"/>
        <n v="3340"/>
        <n v="890"/>
        <n v="4890"/>
        <n v="2625"/>
        <n v="505"/>
        <n v="8192"/>
        <n v="8768"/>
        <n v="1304"/>
        <n v="8460"/>
        <n v="104"/>
        <n v="10665"/>
        <n v="984"/>
        <n v="2064"/>
        <n v="6016"/>
        <n v="2864"/>
        <n v="4098"/>
        <n v="338"/>
        <n v="9280"/>
        <n v="1790"/>
        <n v="8523"/>
        <n v="7776"/>
        <n v="3031"/>
        <n v="4851"/>
        <n v="4542"/>
        <n v="978"/>
        <n v="9378"/>
        <n v="9464"/>
        <n v="1720"/>
        <n v="4554"/>
        <n v="2392"/>
        <n v="3962"/>
        <n v="5831"/>
        <n v="5214"/>
        <n v="6705"/>
        <n v="426"/>
        <n v="2204"/>
        <n v="2652"/>
        <n v="5439"/>
        <n v="1910"/>
        <n v="1032"/>
        <n v="3264"/>
        <n v="877"/>
        <n v="417"/>
        <n v="2716"/>
        <n v="10134"/>
        <n v="5500"/>
        <n v="3255"/>
        <n v="5645"/>
        <n v="6282"/>
        <n v="2364"/>
        <n v="6880"/>
        <n v="3288"/>
        <n v="2457"/>
        <n v="309"/>
        <n v="6192"/>
        <n v="4235"/>
        <n v="7128"/>
        <n v="5660"/>
        <n v="787"/>
        <n v="6372"/>
        <n v="6258"/>
        <n v="3816"/>
        <n v="3868"/>
        <n v="1347"/>
        <n v="7272"/>
        <n v="312"/>
        <n v="1947"/>
        <n v="4158"/>
        <n v="85"/>
        <n v="4136"/>
        <n v="4332"/>
        <n v="1600"/>
        <n v="5075"/>
        <n v="3108"/>
        <n v="4270"/>
        <n v="2712"/>
        <n v="2896"/>
        <n v="1902"/>
        <n v="633"/>
        <n v="6209"/>
        <n v="7424"/>
        <n v="498"/>
        <n v="7520"/>
        <n v="182"/>
        <n v="5890"/>
        <n v="3244"/>
        <n v="5229"/>
        <n v="5202"/>
        <n v="438"/>
        <n v="6900"/>
        <n v="369"/>
        <n v="1086"/>
        <n v="2134"/>
        <n v="2748"/>
        <n v="3357"/>
        <n v="10206"/>
        <n v="2970"/>
        <n v="7040"/>
        <n v="3684"/>
        <n v="1262"/>
        <n v="3504"/>
        <n v="4464"/>
        <n v="1324"/>
        <n v="4624"/>
        <n v="4812"/>
        <n v="5640"/>
        <n v="2400"/>
        <n v="3072"/>
        <n v="2185"/>
        <n v="7664"/>
        <n v="1710"/>
        <n v="1878"/>
        <n v="1488"/>
        <n v="9918"/>
        <n v="432"/>
        <n v="9828"/>
        <n v="5105"/>
        <n v="1724"/>
        <n v="1940"/>
        <n v="356"/>
        <n v="1095"/>
        <n v="4064"/>
        <n v="5453"/>
        <n v="7104"/>
        <n v="2745"/>
        <n v="8973"/>
        <n v="794"/>
        <n v="2142"/>
        <n v="414"/>
        <n v="1416"/>
        <n v="2103"/>
        <n v="861"/>
        <n v="2367"/>
        <n v="2435"/>
        <n v="2456"/>
        <n v="8992"/>
        <n v="2067"/>
        <n v="3573"/>
        <n v="3912"/>
        <n v="552"/>
        <n v="1428"/>
        <n v="349"/>
        <n v="6402"/>
        <n v="657"/>
        <n v="5327"/>
        <n v="4196"/>
        <n v="2892"/>
        <n v="2772"/>
        <n v="4692"/>
        <n v="2742"/>
        <n v="8896"/>
        <n v="2344"/>
        <n v="4186"/>
        <n v="5238"/>
        <n v="2982"/>
        <n v="2675"/>
        <n v="2396"/>
        <n v="304"/>
        <n v="1230"/>
        <n v="6234"/>
        <n v="2349"/>
        <n v="5957"/>
        <n v="1989"/>
        <n v="1138"/>
        <n v="3321"/>
        <n v="4480"/>
        <n v="1533"/>
        <n v="109"/>
        <n v="2380"/>
        <n v="5112"/>
        <n v="2386"/>
        <n v="465"/>
        <n v="604"/>
        <n v="2216"/>
        <n v="1168"/>
        <n v="2597"/>
        <n v="2151"/>
        <n v="462"/>
        <n v="6978"/>
        <n v="282"/>
        <n v="157"/>
        <n v="3304"/>
        <n v="8082"/>
        <n v="3976"/>
        <n v="3924"/>
        <n v="2018"/>
        <n v="2043"/>
        <n v="1035"/>
        <n v="2724"/>
        <n v="1120"/>
        <n v="3438"/>
        <n v="1045"/>
        <n v="5312"/>
        <n v="4252"/>
        <n v="8057"/>
        <n v="2023"/>
        <n v="9416"/>
        <n v="7560"/>
        <n v="527"/>
        <n v="1160"/>
        <n v="5430"/>
        <n v="6874"/>
        <n v="8952"/>
        <n v="416"/>
        <n v="1680"/>
        <n v="4340"/>
        <n v="6328"/>
        <n v="1312"/>
        <n v="8055"/>
        <n v="840"/>
        <n v="6520"/>
        <n v="1950"/>
        <n v="5928"/>
        <n v="4809"/>
        <n v="7791"/>
        <n v="3857"/>
        <n v="3250"/>
        <n v="1194"/>
        <n v="1554"/>
        <n v="2601"/>
        <n v="3616"/>
        <n v="3350"/>
        <n v="2545"/>
        <n v="545"/>
        <n v="1470"/>
        <n v="3126"/>
        <n v="1368"/>
        <n v="1994"/>
        <n v="4716"/>
        <n v="975"/>
        <n v="9891"/>
        <n v="626"/>
        <n v="5632"/>
        <n v="2568"/>
        <n v="5285"/>
        <n v="8136"/>
        <n v="3445"/>
        <n v="5376"/>
        <n v="3006"/>
        <n v="3941"/>
        <n v="2019"/>
        <n v="2416"/>
        <n v="6160"/>
        <n v="2796"/>
        <n v="7700"/>
        <n v="2095"/>
        <n v="1206"/>
        <n v="1330"/>
        <n v="1001"/>
        <n v="7362"/>
        <n v="2284"/>
        <n v="2940"/>
        <n v="3068"/>
        <n v="735"/>
        <n v="2964"/>
        <n v="3699"/>
        <n v="1563"/>
        <n v="2624"/>
        <n v="1636"/>
        <n v="8200"/>
        <n v="5615"/>
        <n v="3085"/>
        <n v="3198"/>
        <n v="1848"/>
        <n v="652"/>
        <n v="1081"/>
        <n v="1926"/>
        <n v="8550"/>
        <n v="2468"/>
        <n v="801"/>
        <n v="3928"/>
        <n v="7695"/>
        <n v="1856"/>
        <n v="1519"/>
        <n v="3549"/>
        <n v="3730"/>
        <n v="1161"/>
        <n v="359"/>
        <n v="130"/>
        <n v="1825"/>
        <n v="876"/>
        <n v="9180"/>
        <n v="1881"/>
        <n v="720"/>
        <n v="2985"/>
        <n v="6276"/>
        <n v="455"/>
        <n v="5040"/>
        <n v="5230"/>
        <n v="4635"/>
        <n v="5508"/>
        <n v="258"/>
        <n v="4545"/>
        <n v="4370"/>
        <n v="372"/>
        <n v="3177"/>
        <n v="1659"/>
        <n v="3360"/>
        <n v="1132"/>
        <n v="4420"/>
        <n v="2989"/>
        <n v="3424"/>
        <n v="1226"/>
        <n v="6760"/>
        <n v="3275"/>
        <n v="1506"/>
        <n v="987"/>
        <n v="1645"/>
        <n v="3282"/>
        <n v="4914"/>
        <n v="420"/>
        <n v="1544"/>
        <n v="2046"/>
        <n v="1548"/>
        <n v="3184"/>
        <n v="3385"/>
        <n v="59"/>
        <n v="6584"/>
        <n v="2736"/>
        <n v="1064"/>
        <n v="2667"/>
        <n v="58"/>
        <n v="6102"/>
        <n v="9408"/>
        <n v="7875"/>
        <n v="9900"/>
        <n v="430"/>
        <n v="813"/>
        <n v="3084"/>
        <n v="8008"/>
        <n v="4608"/>
        <n v="4356"/>
        <n v="566"/>
        <n v="2200"/>
        <n v="3505"/>
        <n v="4795"/>
        <n v="10404"/>
        <n v="7029"/>
        <n v="664"/>
        <n v="1923"/>
        <n v="2471"/>
        <n v="3231"/>
        <n v="254"/>
        <n v="5930"/>
        <n v="920"/>
        <n v="5454"/>
        <n v="9512"/>
        <n v="2972"/>
        <n v="1004"/>
        <n v="1944"/>
        <n v="5055"/>
        <n v="128"/>
        <n v="2523"/>
        <n v="196"/>
        <n v="4212"/>
        <n v="2752"/>
        <n v="8032"/>
        <n v="3702"/>
        <n v="5355"/>
        <n v="972"/>
        <n v="3290"/>
        <n v="3336"/>
        <n v="2082"/>
        <n v="1340"/>
        <n v="1272"/>
        <n v="2817"/>
        <n v="1464"/>
        <n v="307"/>
        <n v="1147"/>
        <n v="2176"/>
        <n v="7616"/>
        <n v="1091"/>
        <n v="210"/>
        <n v="180"/>
        <n v="1218"/>
        <n v="2162"/>
        <n v="2223"/>
        <n v="4452"/>
        <n v="184"/>
        <n v="4025"/>
        <n v="4732"/>
        <n v="1897"/>
        <n v="6600"/>
        <n v="2362"/>
        <n v="2958"/>
        <n v="477"/>
        <n v="942"/>
        <n v="2084"/>
        <n v="4584"/>
        <n v="1118"/>
        <n v="4005"/>
        <n v="4610"/>
        <n v="551"/>
        <n v="75"/>
        <n v="6576"/>
        <n v="7763"/>
        <n v="5298"/>
        <n v="6728"/>
        <n v="490"/>
        <n v="2765"/>
        <n v="2680"/>
        <n v="2174"/>
        <n v="5562"/>
        <n v="9208"/>
        <n v="4512"/>
        <n v="7974"/>
        <n v="4944"/>
        <n v="1611"/>
        <n v="4599"/>
        <n v="2376"/>
        <n v="6588"/>
        <n v="3745"/>
        <n v="5305"/>
        <n v="4977"/>
        <n v="4529"/>
        <n v="2424"/>
        <n v="3594"/>
        <n v="944"/>
        <n v="6804"/>
        <n v="816"/>
        <n v="5916"/>
        <n v="5730"/>
        <n v="5031"/>
        <n v="1880"/>
        <n v="200"/>
        <n v="8440"/>
        <n v="608"/>
        <n v="183"/>
        <n v="3105"/>
        <n v="2450"/>
        <n v="3856"/>
        <n v="532"/>
        <n v="3152"/>
        <n v="1046"/>
        <n v="3452"/>
        <n v="2368"/>
        <n v="3735"/>
        <n v="2476"/>
        <n v="162"/>
        <n v="3524"/>
        <n v="6184"/>
        <n v="3750"/>
        <n v="8792"/>
        <n v="9232"/>
        <n v="1396"/>
        <n v="222"/>
        <n v="1328"/>
        <n v="5085"/>
        <n v="5553"/>
        <n v="4904"/>
        <n v="361"/>
        <n v="7290"/>
        <n v="2052"/>
        <n v="1842"/>
        <n v="10593"/>
        <n v="5154"/>
        <n v="1236"/>
        <n v="1179"/>
        <n v="2275"/>
        <n v="6188"/>
        <n v="2735"/>
        <n v="263"/>
        <n v="913"/>
        <n v="956"/>
        <n v="7301"/>
        <n v="5754"/>
        <n v="885"/>
        <n v="4312"/>
        <n v="5030"/>
        <n v="1438"/>
        <n v="419"/>
        <n v="3519"/>
        <n v="2912"/>
        <n v="2075"/>
        <n v="4284"/>
        <n v="1864"/>
        <n v="780"/>
        <n v="4396"/>
        <n v="1362"/>
        <n v="3843"/>
        <n v="2316"/>
        <n v="6507"/>
        <n v="400"/>
        <n v="2880"/>
        <n v="1574"/>
        <n v="8872"/>
        <n v="2320"/>
        <n v="171"/>
        <n v="4041"/>
        <n v="5665"/>
        <n v="6876"/>
        <n v="617"/>
        <n v="472"/>
        <n v="768"/>
        <n v="725"/>
        <n v="393"/>
        <n v="4797"/>
        <n v="3812"/>
        <n v="3695"/>
        <n v="1159"/>
        <n v="4149"/>
        <n v="355"/>
        <n v="3164"/>
        <n v="1315"/>
        <n v="5180"/>
        <n v="4045"/>
        <n v="7819"/>
        <n v="2919"/>
        <n v="1736"/>
        <n v="8370"/>
        <n v="3788"/>
        <n v="8296"/>
        <n v="2538"/>
        <n v="1151"/>
        <n v="717"/>
        <n v="3630"/>
        <n v="896"/>
        <n v="1981"/>
        <n v="7140"/>
        <n v="1015"/>
        <n v="1678"/>
        <n v="3260"/>
        <n v="1792"/>
        <n v="2646"/>
        <n v="1806"/>
        <n v="7281"/>
        <n v="3094"/>
        <n v="252"/>
        <n v="2691"/>
        <n v="990"/>
        <n v="3236"/>
        <n v="1076"/>
        <n v="1000"/>
        <n v="3429"/>
        <n v="6630"/>
        <n v="7420"/>
        <n v="2338"/>
        <n v="4039"/>
        <n v="733"/>
        <n v="2421"/>
        <n v="832"/>
        <n v="483"/>
        <n v="3208"/>
        <n v="541"/>
        <n v="2433"/>
        <n v="3375"/>
        <n v="6960"/>
        <n v="5823"/>
        <n v="7154"/>
        <n v="370"/>
        <n v="946"/>
        <n v="1467"/>
        <n v="2444"/>
        <n v="8640"/>
        <n v="3861"/>
        <n v="868"/>
        <n v="1746"/>
        <n v="915"/>
        <n v="5382"/>
        <n v="6377"/>
        <n v="1346"/>
        <n v="1266"/>
        <n v="140"/>
        <n v="245"/>
        <n v="504"/>
        <n v="2304"/>
        <n v="10629"/>
        <n v="706"/>
        <n v="977"/>
        <n v="776"/>
        <n v="3932"/>
        <n v="1263"/>
        <n v="4522"/>
        <n v="2009"/>
        <n v="2110"/>
        <n v="95"/>
        <n v="3471"/>
        <n v="2048"/>
        <n v="9296"/>
        <n v="5272"/>
        <n v="619"/>
        <n v="448"/>
        <n v="4095"/>
        <n v="4459"/>
        <n v="1084"/>
        <n v="4544"/>
        <n v="2595"/>
        <n v="2820"/>
        <n v="1018"/>
        <n v="10413"/>
        <n v="6108"/>
        <n v="1148"/>
        <n v="8824"/>
        <n v="10620"/>
        <n v="1671"/>
        <n v="2886"/>
        <n v="1868"/>
        <n v="1768"/>
        <n v="6937"/>
        <n v="3012"/>
        <n v="3212"/>
        <n v="4315"/>
        <n v="2895"/>
        <n v="4295"/>
        <n v="4434"/>
        <n v="6335"/>
        <n v="590"/>
        <n v="631"/>
        <n v="5100"/>
        <n v="534"/>
        <n v="8336"/>
        <n v="2031"/>
        <n v="2412"/>
        <n v="1039"/>
        <n v="696"/>
        <n v="447"/>
        <n v="3038"/>
        <n v="2490"/>
        <n v="635"/>
        <n v="1083"/>
        <n v="5845"/>
        <n v="835"/>
        <n v="6041"/>
        <n v="376"/>
        <n v="4144"/>
        <n v="2228"/>
        <n v="2505"/>
        <n v="589"/>
        <n v="2598"/>
        <n v="3576"/>
        <n v="1145"/>
        <n v="2116"/>
        <n v="707"/>
        <n v="5345"/>
        <n v="3840"/>
        <n v="575"/>
        <n v="9315"/>
        <n v="3423"/>
        <n v="3942"/>
        <n v="9090"/>
        <n v="1166"/>
        <n v="2925"/>
        <n v="3455"/>
        <n v="1614"/>
        <n v="1771"/>
        <n v="5658"/>
        <n v="2196"/>
        <n v="1696"/>
        <n v="6813"/>
        <n v="2936"/>
        <n v="5165"/>
        <n v="5940"/>
        <n v="2664"/>
        <n v="1198"/>
        <n v="9657"/>
        <n v="2260"/>
        <n v="7016"/>
        <n v="546"/>
        <n v="839"/>
        <n v="2097"/>
        <n v="4632"/>
        <n v="1314"/>
        <n v="7960"/>
        <n v="2856"/>
        <n v="3153"/>
        <n v="123"/>
        <n v="2379"/>
        <n v="6924"/>
        <n v="9054"/>
        <n v="9936"/>
        <n v="308"/>
        <n v="4900"/>
        <n v="927"/>
        <n v="4750"/>
        <n v="4350"/>
        <n v="6232"/>
        <n v="3864"/>
        <n v="2112"/>
        <n v="2408"/>
        <n v="722"/>
        <n v="586"/>
        <n v="3835"/>
        <n v="1415"/>
        <n v="1125"/>
        <n v="3399"/>
        <n v="5370"/>
        <n v="2331"/>
        <n v="10728"/>
        <n v="4581"/>
        <n v="1074"/>
        <n v="906"/>
        <n v="3306"/>
        <n v="3222"/>
        <n v="5621"/>
        <n v="964"/>
        <n v="4697"/>
        <n v="1232"/>
        <n v="1256"/>
        <n v="1162"/>
        <n v="2387"/>
        <n v="7792"/>
        <n v="3944"/>
        <n v="1962"/>
        <n v="1980"/>
        <n v="3996"/>
        <n v="663"/>
        <n v="187"/>
        <n v="6216"/>
        <n v="4382"/>
        <n v="1122"/>
        <n v="7497"/>
        <n v="7392"/>
        <n v="5682"/>
        <n v="8664"/>
        <n v="1887"/>
        <n v="6013"/>
        <n v="285"/>
        <n v="5448"/>
        <n v="9117"/>
        <n v="274"/>
        <n v="6408"/>
        <n v="5755"/>
        <n v="5128"/>
        <n v="1510"/>
        <n v="947"/>
        <n v="5427"/>
        <n v="4560"/>
        <n v="1054"/>
        <n v="7026"/>
        <n v="2516"/>
        <n v="6256"/>
        <n v="452"/>
        <n v="2495"/>
        <n v="8595"/>
        <n v="7777"/>
        <n v="596"/>
        <n v="4950"/>
        <n v="6144"/>
        <n v="2014"/>
        <n v="5047"/>
        <n v="5887"/>
        <n v="8224"/>
        <n v="2272"/>
        <n v="170"/>
        <n v="5283"/>
        <n v="2500"/>
        <n v="650"/>
        <n v="1538"/>
        <n v="3605"/>
        <n v="7072"/>
        <n v="5368"/>
        <n v="1326"/>
        <n v="730"/>
        <n v="4664"/>
        <n v="1497"/>
        <n v="1204"/>
        <n v="7119"/>
        <n v="1033"/>
        <n v="1942"/>
        <n v="5740"/>
        <n v="6435"/>
        <n v="862"/>
        <n v="4438"/>
        <n v="1816"/>
        <n v="1055"/>
        <n v="788"/>
        <n v="2760"/>
        <n v="593"/>
        <n v="1996"/>
        <n v="2525"/>
        <n v="858"/>
        <n v="535"/>
        <n v="7992"/>
        <n v="2637"/>
        <n v="5625"/>
        <n v="6030"/>
        <n v="1884"/>
        <n v="342"/>
        <n v="2440"/>
        <n v="192"/>
        <n v="772"/>
        <n v="646"/>
        <n v="2947"/>
        <n v="880"/>
        <n v="5874"/>
        <n v="2496"/>
        <n v="795"/>
        <n v="1833"/>
        <n v="814"/>
        <n v="4696"/>
        <n v="1190"/>
        <n v="591"/>
        <n v="8100"/>
        <n v="1500"/>
        <n v="2336"/>
        <n v="410"/>
        <n v="218"/>
        <n v="895"/>
        <n v="2828"/>
        <n v="99"/>
        <n v="7576"/>
        <n v="1317"/>
        <n v="957"/>
        <n v="1316"/>
        <n v="5346"/>
        <n v="2310"/>
        <n v="3028"/>
        <n v="3393"/>
        <n v="1209"/>
        <n v="5784"/>
        <n v="3078"/>
        <n v="2464"/>
        <n v="2445"/>
        <n v="1258"/>
        <n v="6468"/>
        <n v="1359"/>
        <n v="7728"/>
        <n v="2280"/>
        <n v="2484"/>
        <n v="1248"/>
        <n v="850"/>
        <n v="1412"/>
        <n v="293"/>
        <n v="9234"/>
        <n v="9477"/>
        <n v="6713"/>
        <n v="5700"/>
        <n v="4146"/>
        <n v="1983"/>
        <n v="268"/>
        <n v="6020"/>
        <n v="6720"/>
        <n v="1250"/>
        <n v="1295"/>
        <n v="995"/>
        <n v="5384"/>
        <n v="3534"/>
        <n v="460"/>
        <n v="910"/>
        <n v="5796"/>
        <n v="1050"/>
        <n v="1043"/>
        <n v="3330"/>
        <n v="5170"/>
        <n v="466"/>
        <n v="6032"/>
        <n v="4024"/>
        <n v="126"/>
        <n v="2665"/>
        <n v="186"/>
        <n v="5456"/>
        <n v="3766"/>
        <n v="4620"/>
        <n v="1184"/>
        <n v="113"/>
        <n v="4224"/>
        <n v="4400"/>
        <n v="5616"/>
        <n v="2370"/>
        <n v="4487"/>
        <n v="2960"/>
        <n v="897"/>
        <n v="3185"/>
        <n v="1836"/>
        <n v="6853"/>
        <n v="1492"/>
        <n v="1938"/>
        <n v="905"/>
        <n v="2571"/>
        <n v="8712"/>
        <n v="2648"/>
        <n v="3291"/>
        <n v="758"/>
        <n v="2436"/>
        <n v="560"/>
        <n v="5416"/>
        <n v="6309"/>
        <n v="3400"/>
        <n v="403"/>
        <n v="1274"/>
        <n v="1056"/>
        <n v="5247"/>
        <n v="6006"/>
        <n v="5415"/>
        <n v="857"/>
        <n v="169"/>
        <n v="1463"/>
        <n v="7528"/>
        <n v="1158"/>
        <n v="1514"/>
        <n v="5275"/>
        <n v="1719"/>
        <n v="1875"/>
        <n v="7496"/>
        <n v="4505"/>
        <n v="1916"/>
        <n v="1809"/>
        <n v="1227"/>
        <n v="6324"/>
        <n v="8776"/>
        <n v="970"/>
        <n v="1175"/>
        <n v="4860"/>
        <n v="2172"/>
        <n v="2261"/>
        <n v="3025"/>
        <n v="4428"/>
        <n v="7344"/>
        <n v="2236"/>
        <n v="536"/>
        <n v="428"/>
        <n v="914"/>
        <n v="8720"/>
        <n v="1212"/>
        <n v="2576"/>
        <n v="4800"/>
        <n v="10251"/>
        <n v="6993"/>
        <n v="4557"/>
        <n v="6534"/>
        <n v="3456"/>
        <n v="8163"/>
        <n v="8127"/>
        <n v="6417"/>
        <n v="3997"/>
        <n v="2415"/>
        <n v="1156"/>
        <n v="998"/>
        <n v="5766"/>
        <n v="3120"/>
        <n v="7020"/>
        <n v="5971"/>
        <n v="699"/>
        <n v="1998"/>
        <n v="235"/>
        <n v="322"/>
        <n v="2188"/>
        <n v="2934"/>
        <n v="9224"/>
        <n v="5484"/>
        <n v="3705"/>
        <n v="5580"/>
        <n v="909"/>
        <n v="106"/>
        <n v="6768"/>
        <n v="4265"/>
        <n v="314"/>
        <n v="2676"/>
        <n v="1832"/>
        <n v="4784"/>
        <n v="4527"/>
        <n v="1612"/>
        <n v="1918"/>
        <n v="179"/>
        <n v="3660"/>
        <n v="318"/>
        <n v="6774"/>
        <n v="6741"/>
        <n v="911"/>
        <n v="4280"/>
        <n v="5125"/>
        <n v="1575"/>
        <n v="4576"/>
        <n v="6559"/>
        <n v="2488"/>
        <n v="2334"/>
        <n v="4736"/>
        <n v="6345"/>
        <n v="7588"/>
        <n v="5232"/>
        <n v="7455"/>
        <n v="2859"/>
        <n v="311"/>
        <n v="1260"/>
        <n v="867"/>
        <n v="3032"/>
        <n v="6183"/>
        <n v="243"/>
        <n v="4563"/>
        <n v="628"/>
        <n v="5768"/>
        <n v="1123"/>
        <n v="231"/>
        <n v="4960"/>
        <n v="1377"/>
        <n v="1958"/>
        <n v="5607"/>
        <n v="796"/>
        <n v="6769"/>
        <n v="10080"/>
        <n v="3948"/>
        <n v="4476"/>
        <n v="2888"/>
        <n v="764"/>
        <n v="4000"/>
        <n v="8172"/>
        <n v="761"/>
        <n v="494"/>
        <n v="194"/>
        <n v="5820"/>
        <n v="1452"/>
        <n v="6237"/>
        <n v="1851"/>
        <n v="1630"/>
        <n v="61"/>
        <n v="7640"/>
        <n v="4540"/>
        <n v="8560"/>
        <n v="3405"/>
        <n v="4722"/>
        <n v="2150"/>
        <n v="3619"/>
        <n v="54"/>
        <n v="3850"/>
        <n v="3005"/>
        <n v="3415"/>
        <n v="5250"/>
        <n v="2443"/>
        <n v="5495"/>
        <n v="3696"/>
        <n v="4488"/>
        <n v="6846"/>
        <n v="6246"/>
        <n v="1900"/>
        <n v="3532"/>
        <n v="6528"/>
        <n v="743"/>
        <n v="989"/>
        <n v="6606"/>
        <n v="845"/>
        <n v="208"/>
        <n v="5551"/>
        <n v="423"/>
        <n v="5982"/>
        <n v="1810"/>
        <n v="5604"/>
        <n v="5168"/>
        <n v="6522"/>
        <n v="2001"/>
        <n v="3372"/>
        <n v="1309"/>
        <n v="1020"/>
        <n v="8240"/>
        <n v="853"/>
        <n v="4416"/>
        <n v="3832"/>
        <n v="2634"/>
        <n v="1027"/>
        <n v="1590"/>
        <n v="1408"/>
        <n v="4641"/>
        <n v="2611"/>
        <n v="3824"/>
        <n v="2042"/>
        <n v="6378"/>
        <n v="3075"/>
        <n v="1734"/>
        <n v="2268"/>
        <n v="4634"/>
        <n v="5136"/>
        <n v="1422"/>
        <n v="7896"/>
        <n v="134"/>
        <n v="3628"/>
        <n v="6706"/>
        <n v="321"/>
        <n v="5446"/>
        <n v="1946"/>
        <n v="6818"/>
        <n v="2317"/>
        <n v="2034"/>
        <n v="6080"/>
        <n v="1378"/>
        <n v="7864"/>
        <n v="1268"/>
        <n v="3774"/>
        <n v="146"/>
        <n v="1683"/>
        <n v="6076"/>
        <n v="2388"/>
        <n v="440"/>
        <n v="6462"/>
        <n v="4466"/>
        <n v="2010"/>
        <n v="5352"/>
        <n v="6336"/>
        <n v="5481"/>
        <n v="6366"/>
        <n v="623"/>
        <n v="237"/>
        <n v="4965"/>
        <n v="4347"/>
        <n v="3364"/>
        <n v="1628"/>
        <n v="1472"/>
        <n v="3753"/>
        <n v="2565"/>
        <n v="267"/>
        <n v="8145"/>
        <n v="232"/>
        <n v="190"/>
        <n v="7868"/>
        <n v="1394"/>
        <n v="7812"/>
        <n v="992"/>
        <n v="1756"/>
        <n v="3632"/>
        <n v="3123"/>
        <n v="700"/>
        <n v="2480"/>
        <n v="1351"/>
        <n v="4615"/>
        <n v="829"/>
        <n v="177"/>
        <n v="275"/>
        <n v="2656"/>
        <n v="4854"/>
        <n v="1527"/>
        <n v="5718"/>
        <n v="7679"/>
        <n v="1278"/>
        <n v="6592"/>
        <n v="3544"/>
        <n v="1959"/>
        <n v="10017"/>
        <n v="7931"/>
        <n v="9765"/>
        <n v="950"/>
        <n v="3584"/>
        <n v="2410"/>
        <n v="800"/>
        <n v="9702"/>
        <n v="5888"/>
        <n v="1022"/>
        <n v="1117"/>
      </sharedItems>
    </cacheField>
    <cacheField name="Profit" numFmtId="0">
      <sharedItems containsSemiMixedTypes="0" containsString="0" containsNumber="1" minValue="6.97" maxValue="2946.93"/>
    </cacheField>
    <cacheField name="Profit %" numFmtId="164">
      <sharedItems containsSemiMixedTypes="0" containsString="0" containsNumber="1" minValue="5.0046854082998665E-2" maxValue="0.2999511653718091"/>
    </cacheField>
    <cacheField name="Months (Order Date)" numFmtId="0" databaseField="0">
      <fieldGroup base="0">
        <rangePr groupBy="months" startDate="2022-01-01T00:00:00" endDate="2025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 Date)" numFmtId="0" databaseField="0">
      <fieldGroup base="0">
        <rangePr groupBy="quarters" startDate="2022-01-01T00:00:00" endDate="2025-01-01T00:00:00"/>
        <groupItems count="6">
          <s v="&lt;01-01-2022"/>
          <s v="Qtr1"/>
          <s v="Qtr2"/>
          <s v="Qtr3"/>
          <s v="Qtr4"/>
          <s v="&gt;01-01-2025"/>
        </groupItems>
      </fieldGroup>
    </cacheField>
    <cacheField name="Years (Order Date)" numFmtId="0" databaseField="0">
      <fieldGroup base="0">
        <rangePr groupBy="years" startDate="2022-01-01T00:00:00" endDate="2025-01-01T00:00:00"/>
        <groupItems count="6">
          <s v="&lt;01-01-2022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x v="0"/>
    <x v="0"/>
    <x v="0"/>
    <x v="0"/>
    <x v="0"/>
    <x v="0"/>
    <n v="348.93"/>
    <n v="9.5859890109890114E-2"/>
  </r>
  <r>
    <x v="1"/>
    <x v="1"/>
    <x v="1"/>
    <x v="1"/>
    <x v="1"/>
    <x v="1"/>
    <n v="106.53"/>
    <n v="8.8997493734335839E-2"/>
  </r>
  <r>
    <x v="2"/>
    <x v="2"/>
    <x v="2"/>
    <x v="2"/>
    <x v="2"/>
    <x v="2"/>
    <n v="502.73"/>
    <n v="8.5716965046888319E-2"/>
  </r>
  <r>
    <x v="3"/>
    <x v="1"/>
    <x v="1"/>
    <x v="2"/>
    <x v="3"/>
    <x v="3"/>
    <n v="202.87"/>
    <n v="0.25810432569974556"/>
  </r>
  <r>
    <x v="4"/>
    <x v="1"/>
    <x v="1"/>
    <x v="3"/>
    <x v="4"/>
    <x v="4"/>
    <n v="103.28"/>
    <n v="0.20290766208251473"/>
  </r>
  <r>
    <x v="5"/>
    <x v="3"/>
    <x v="2"/>
    <x v="3"/>
    <x v="4"/>
    <x v="5"/>
    <n v="106.35"/>
    <n v="0.20295801526717555"/>
  </r>
  <r>
    <x v="6"/>
    <x v="4"/>
    <x v="1"/>
    <x v="0"/>
    <x v="1"/>
    <x v="6"/>
    <n v="1027.98"/>
    <n v="0.16669044916491002"/>
  </r>
  <r>
    <x v="7"/>
    <x v="3"/>
    <x v="2"/>
    <x v="2"/>
    <x v="1"/>
    <x v="7"/>
    <n v="873.5"/>
    <n v="0.28555083360575351"/>
  </r>
  <r>
    <x v="8"/>
    <x v="5"/>
    <x v="2"/>
    <x v="1"/>
    <x v="5"/>
    <x v="8"/>
    <n v="595.28"/>
    <n v="0.10772348896127397"/>
  </r>
  <r>
    <x v="9"/>
    <x v="0"/>
    <x v="0"/>
    <x v="2"/>
    <x v="6"/>
    <x v="9"/>
    <n v="186.37"/>
    <n v="0.27733630952380955"/>
  </r>
  <r>
    <x v="10"/>
    <x v="6"/>
    <x v="1"/>
    <x v="2"/>
    <x v="7"/>
    <x v="10"/>
    <n v="1357.68"/>
    <n v="0.1919253604749788"/>
  </r>
  <r>
    <x v="11"/>
    <x v="5"/>
    <x v="2"/>
    <x v="1"/>
    <x v="3"/>
    <x v="11"/>
    <n v="137.4"/>
    <n v="0.27370517928286853"/>
  </r>
  <r>
    <x v="12"/>
    <x v="2"/>
    <x v="2"/>
    <x v="0"/>
    <x v="1"/>
    <x v="12"/>
    <n v="2166.17"/>
    <n v="0.2902934870008041"/>
  </r>
  <r>
    <x v="13"/>
    <x v="7"/>
    <x v="2"/>
    <x v="3"/>
    <x v="2"/>
    <x v="13"/>
    <n v="585.29"/>
    <n v="0.13918906064209274"/>
  </r>
  <r>
    <x v="14"/>
    <x v="3"/>
    <x v="2"/>
    <x v="3"/>
    <x v="4"/>
    <x v="14"/>
    <n v="138.54"/>
    <n v="0.24305263157894735"/>
  </r>
  <r>
    <x v="15"/>
    <x v="4"/>
    <x v="1"/>
    <x v="1"/>
    <x v="4"/>
    <x v="15"/>
    <n v="102.42"/>
    <n v="0.23224489795918368"/>
  </r>
  <r>
    <x v="16"/>
    <x v="1"/>
    <x v="1"/>
    <x v="0"/>
    <x v="1"/>
    <x v="16"/>
    <n v="589.80999999999995"/>
    <n v="7.8967733297630197E-2"/>
  </r>
  <r>
    <x v="17"/>
    <x v="2"/>
    <x v="2"/>
    <x v="2"/>
    <x v="3"/>
    <x v="17"/>
    <n v="145.75"/>
    <n v="6.5890596745027119E-2"/>
  </r>
  <r>
    <x v="18"/>
    <x v="2"/>
    <x v="2"/>
    <x v="1"/>
    <x v="2"/>
    <x v="18"/>
    <n v="146.38999999999999"/>
    <n v="0.19782432432432431"/>
  </r>
  <r>
    <x v="19"/>
    <x v="4"/>
    <x v="1"/>
    <x v="0"/>
    <x v="4"/>
    <x v="19"/>
    <n v="193.92"/>
    <n v="0.29293051359516614"/>
  </r>
  <r>
    <x v="20"/>
    <x v="1"/>
    <x v="1"/>
    <x v="0"/>
    <x v="1"/>
    <x v="20"/>
    <n v="651.27"/>
    <n v="0.11401785714285714"/>
  </r>
  <r>
    <x v="21"/>
    <x v="5"/>
    <x v="2"/>
    <x v="0"/>
    <x v="8"/>
    <x v="21"/>
    <n v="572.73"/>
    <n v="0.20910186199342826"/>
  </r>
  <r>
    <x v="22"/>
    <x v="8"/>
    <x v="1"/>
    <x v="3"/>
    <x v="2"/>
    <x v="22"/>
    <n v="213.63"/>
    <n v="0.15259285714285714"/>
  </r>
  <r>
    <x v="23"/>
    <x v="0"/>
    <x v="0"/>
    <x v="0"/>
    <x v="8"/>
    <x v="23"/>
    <n v="939.2"/>
    <n v="0.27011791774518262"/>
  </r>
  <r>
    <x v="24"/>
    <x v="3"/>
    <x v="2"/>
    <x v="0"/>
    <x v="2"/>
    <x v="24"/>
    <n v="570.36"/>
    <n v="0.16413237410071943"/>
  </r>
  <r>
    <x v="25"/>
    <x v="9"/>
    <x v="2"/>
    <x v="3"/>
    <x v="5"/>
    <x v="25"/>
    <n v="1562.14"/>
    <n v="0.25450309547083744"/>
  </r>
  <r>
    <x v="26"/>
    <x v="3"/>
    <x v="2"/>
    <x v="3"/>
    <x v="2"/>
    <x v="26"/>
    <n v="406.93"/>
    <n v="0.11103137789904502"/>
  </r>
  <r>
    <x v="27"/>
    <x v="0"/>
    <x v="0"/>
    <x v="0"/>
    <x v="3"/>
    <x v="27"/>
    <n v="206.42"/>
    <n v="8.7023608768971333E-2"/>
  </r>
  <r>
    <x v="28"/>
    <x v="9"/>
    <x v="2"/>
    <x v="0"/>
    <x v="3"/>
    <x v="28"/>
    <n v="211.11"/>
    <n v="0.15275687409551375"/>
  </r>
  <r>
    <x v="29"/>
    <x v="9"/>
    <x v="2"/>
    <x v="3"/>
    <x v="4"/>
    <x v="29"/>
    <n v="194.08"/>
    <n v="0.17236234458259325"/>
  </r>
  <r>
    <x v="30"/>
    <x v="0"/>
    <x v="0"/>
    <x v="3"/>
    <x v="6"/>
    <x v="30"/>
    <n v="152.1"/>
    <n v="0.11053779069767442"/>
  </r>
  <r>
    <x v="31"/>
    <x v="1"/>
    <x v="1"/>
    <x v="3"/>
    <x v="0"/>
    <x v="31"/>
    <n v="147.91"/>
    <n v="0.14970647773279352"/>
  </r>
  <r>
    <x v="32"/>
    <x v="9"/>
    <x v="2"/>
    <x v="0"/>
    <x v="5"/>
    <x v="32"/>
    <n v="1907.36"/>
    <n v="0.17705003248862897"/>
  </r>
  <r>
    <x v="33"/>
    <x v="4"/>
    <x v="1"/>
    <x v="2"/>
    <x v="0"/>
    <x v="33"/>
    <n v="713.46"/>
    <n v="0.21939114391143913"/>
  </r>
  <r>
    <x v="34"/>
    <x v="4"/>
    <x v="1"/>
    <x v="0"/>
    <x v="8"/>
    <x v="21"/>
    <n v="202.81"/>
    <n v="7.4045271997079221E-2"/>
  </r>
  <r>
    <x v="35"/>
    <x v="2"/>
    <x v="2"/>
    <x v="2"/>
    <x v="1"/>
    <x v="34"/>
    <n v="702.79"/>
    <n v="0.25942783314876339"/>
  </r>
  <r>
    <x v="36"/>
    <x v="0"/>
    <x v="0"/>
    <x v="3"/>
    <x v="8"/>
    <x v="35"/>
    <n v="201.24"/>
    <n v="0.215"/>
  </r>
  <r>
    <x v="37"/>
    <x v="3"/>
    <x v="2"/>
    <x v="3"/>
    <x v="0"/>
    <x v="36"/>
    <n v="410.92"/>
    <n v="0.11046236559139785"/>
  </r>
  <r>
    <x v="38"/>
    <x v="1"/>
    <x v="1"/>
    <x v="3"/>
    <x v="2"/>
    <x v="37"/>
    <n v="716.91"/>
    <n v="0.13475751879699246"/>
  </r>
  <r>
    <x v="39"/>
    <x v="4"/>
    <x v="1"/>
    <x v="1"/>
    <x v="0"/>
    <x v="38"/>
    <n v="121.51"/>
    <n v="0.15113184079601991"/>
  </r>
  <r>
    <x v="40"/>
    <x v="9"/>
    <x v="2"/>
    <x v="0"/>
    <x v="6"/>
    <x v="39"/>
    <n v="246.77"/>
    <n v="0.20160947712418301"/>
  </r>
  <r>
    <x v="41"/>
    <x v="4"/>
    <x v="1"/>
    <x v="2"/>
    <x v="5"/>
    <x v="40"/>
    <n v="781.78"/>
    <n v="9.0201915310949579E-2"/>
  </r>
  <r>
    <x v="42"/>
    <x v="6"/>
    <x v="1"/>
    <x v="3"/>
    <x v="8"/>
    <x v="41"/>
    <n v="320.11"/>
    <n v="0.10606693174287608"/>
  </r>
  <r>
    <x v="43"/>
    <x v="9"/>
    <x v="2"/>
    <x v="3"/>
    <x v="2"/>
    <x v="42"/>
    <n v="1023.39"/>
    <n v="0.23662196531791907"/>
  </r>
  <r>
    <x v="44"/>
    <x v="9"/>
    <x v="2"/>
    <x v="2"/>
    <x v="8"/>
    <x v="43"/>
    <n v="181.08"/>
    <n v="0.11630057803468209"/>
  </r>
  <r>
    <x v="45"/>
    <x v="6"/>
    <x v="1"/>
    <x v="2"/>
    <x v="7"/>
    <x v="44"/>
    <n v="1002.5"/>
    <n v="0.27301198257080611"/>
  </r>
  <r>
    <x v="46"/>
    <x v="1"/>
    <x v="1"/>
    <x v="3"/>
    <x v="4"/>
    <x v="45"/>
    <n v="72.34"/>
    <n v="0.21723723723723726"/>
  </r>
  <r>
    <x v="47"/>
    <x v="4"/>
    <x v="1"/>
    <x v="3"/>
    <x v="0"/>
    <x v="46"/>
    <n v="577.26"/>
    <n v="0.24213926174496644"/>
  </r>
  <r>
    <x v="48"/>
    <x v="1"/>
    <x v="1"/>
    <x v="3"/>
    <x v="7"/>
    <x v="47"/>
    <n v="210.39"/>
    <n v="0.23692567567567566"/>
  </r>
  <r>
    <x v="49"/>
    <x v="9"/>
    <x v="2"/>
    <x v="3"/>
    <x v="2"/>
    <x v="48"/>
    <n v="954.17"/>
    <n v="0.29090548780487802"/>
  </r>
  <r>
    <x v="50"/>
    <x v="1"/>
    <x v="1"/>
    <x v="2"/>
    <x v="1"/>
    <x v="49"/>
    <n v="177.39"/>
    <n v="0.14317191283292977"/>
  </r>
  <r>
    <x v="51"/>
    <x v="4"/>
    <x v="1"/>
    <x v="1"/>
    <x v="6"/>
    <x v="50"/>
    <n v="436.85"/>
    <n v="7.4294217687074837E-2"/>
  </r>
  <r>
    <x v="52"/>
    <x v="7"/>
    <x v="2"/>
    <x v="3"/>
    <x v="3"/>
    <x v="51"/>
    <n v="437.3"/>
    <n v="0.26217026378896885"/>
  </r>
  <r>
    <x v="53"/>
    <x v="0"/>
    <x v="0"/>
    <x v="3"/>
    <x v="1"/>
    <x v="52"/>
    <n v="1037.6400000000001"/>
    <n v="0.25252859576539305"/>
  </r>
  <r>
    <x v="54"/>
    <x v="5"/>
    <x v="2"/>
    <x v="3"/>
    <x v="1"/>
    <x v="53"/>
    <n v="148.5"/>
    <n v="0.24957983193277311"/>
  </r>
  <r>
    <x v="55"/>
    <x v="4"/>
    <x v="1"/>
    <x v="1"/>
    <x v="1"/>
    <x v="54"/>
    <n v="1587.91"/>
    <n v="0.1947161250766401"/>
  </r>
  <r>
    <x v="56"/>
    <x v="6"/>
    <x v="1"/>
    <x v="2"/>
    <x v="8"/>
    <x v="55"/>
    <n v="553.1"/>
    <n v="0.29545940170940171"/>
  </r>
  <r>
    <x v="57"/>
    <x v="5"/>
    <x v="2"/>
    <x v="1"/>
    <x v="7"/>
    <x v="56"/>
    <n v="126.03"/>
    <n v="5.9336158192090399E-2"/>
  </r>
  <r>
    <x v="58"/>
    <x v="6"/>
    <x v="1"/>
    <x v="3"/>
    <x v="2"/>
    <x v="57"/>
    <n v="1338.8"/>
    <n v="0.25696737044145873"/>
  </r>
  <r>
    <x v="59"/>
    <x v="1"/>
    <x v="1"/>
    <x v="2"/>
    <x v="1"/>
    <x v="58"/>
    <n v="362.48"/>
    <n v="6.2919632008331894E-2"/>
  </r>
  <r>
    <x v="60"/>
    <x v="4"/>
    <x v="1"/>
    <x v="2"/>
    <x v="1"/>
    <x v="59"/>
    <n v="1596.35"/>
    <n v="0.23152284263959388"/>
  </r>
  <r>
    <x v="61"/>
    <x v="5"/>
    <x v="2"/>
    <x v="1"/>
    <x v="8"/>
    <x v="60"/>
    <n v="317.08"/>
    <n v="0.14970727101038714"/>
  </r>
  <r>
    <x v="62"/>
    <x v="5"/>
    <x v="2"/>
    <x v="0"/>
    <x v="2"/>
    <x v="61"/>
    <n v="58.28"/>
    <n v="7.0216867469879513E-2"/>
  </r>
  <r>
    <x v="63"/>
    <x v="5"/>
    <x v="2"/>
    <x v="0"/>
    <x v="4"/>
    <x v="62"/>
    <n v="93.56"/>
    <n v="0.10994124559341951"/>
  </r>
  <r>
    <x v="64"/>
    <x v="2"/>
    <x v="2"/>
    <x v="1"/>
    <x v="2"/>
    <x v="63"/>
    <n v="1365.63"/>
    <n v="0.28871670190274845"/>
  </r>
  <r>
    <x v="65"/>
    <x v="1"/>
    <x v="1"/>
    <x v="3"/>
    <x v="7"/>
    <x v="64"/>
    <n v="845.75"/>
    <n v="0.1548992673992674"/>
  </r>
  <r>
    <x v="66"/>
    <x v="4"/>
    <x v="1"/>
    <x v="1"/>
    <x v="2"/>
    <x v="65"/>
    <n v="310.60000000000002"/>
    <n v="5.3597929249352895E-2"/>
  </r>
  <r>
    <x v="67"/>
    <x v="9"/>
    <x v="2"/>
    <x v="2"/>
    <x v="0"/>
    <x v="66"/>
    <n v="338.44"/>
    <n v="0.16854581673306773"/>
  </r>
  <r>
    <x v="68"/>
    <x v="1"/>
    <x v="1"/>
    <x v="2"/>
    <x v="1"/>
    <x v="67"/>
    <n v="425.24"/>
    <n v="0.14962702322308233"/>
  </r>
  <r>
    <x v="69"/>
    <x v="1"/>
    <x v="1"/>
    <x v="1"/>
    <x v="0"/>
    <x v="68"/>
    <n v="392.22"/>
    <n v="0.11522326674500588"/>
  </r>
  <r>
    <x v="70"/>
    <x v="5"/>
    <x v="2"/>
    <x v="3"/>
    <x v="4"/>
    <x v="69"/>
    <n v="228.63"/>
    <n v="0.21467605633802817"/>
  </r>
  <r>
    <x v="71"/>
    <x v="2"/>
    <x v="2"/>
    <x v="3"/>
    <x v="1"/>
    <x v="70"/>
    <n v="121.69"/>
    <n v="5.6626337831549557E-2"/>
  </r>
  <r>
    <x v="72"/>
    <x v="8"/>
    <x v="1"/>
    <x v="1"/>
    <x v="6"/>
    <x v="71"/>
    <n v="1143.04"/>
    <n v="0.1933423545331529"/>
  </r>
  <r>
    <x v="73"/>
    <x v="1"/>
    <x v="1"/>
    <x v="3"/>
    <x v="8"/>
    <x v="72"/>
    <n v="331.28"/>
    <n v="9.8948626045400237E-2"/>
  </r>
  <r>
    <x v="74"/>
    <x v="7"/>
    <x v="2"/>
    <x v="2"/>
    <x v="8"/>
    <x v="73"/>
    <n v="531.79"/>
    <n v="0.22075134910751348"/>
  </r>
  <r>
    <x v="75"/>
    <x v="2"/>
    <x v="2"/>
    <x v="0"/>
    <x v="3"/>
    <x v="74"/>
    <n v="39.51"/>
    <n v="0.12045731707317073"/>
  </r>
  <r>
    <x v="76"/>
    <x v="7"/>
    <x v="2"/>
    <x v="3"/>
    <x v="6"/>
    <x v="75"/>
    <n v="1561.42"/>
    <n v="0.25087082262210797"/>
  </r>
  <r>
    <x v="77"/>
    <x v="5"/>
    <x v="2"/>
    <x v="0"/>
    <x v="2"/>
    <x v="76"/>
    <n v="486.09"/>
    <n v="0.19213043478260869"/>
  </r>
  <r>
    <x v="78"/>
    <x v="4"/>
    <x v="1"/>
    <x v="3"/>
    <x v="0"/>
    <x v="77"/>
    <n v="462.17"/>
    <n v="0.11250486854917235"/>
  </r>
  <r>
    <x v="79"/>
    <x v="0"/>
    <x v="0"/>
    <x v="2"/>
    <x v="2"/>
    <x v="78"/>
    <n v="391.36"/>
    <n v="0.23863414634146343"/>
  </r>
  <r>
    <x v="80"/>
    <x v="9"/>
    <x v="2"/>
    <x v="2"/>
    <x v="4"/>
    <x v="79"/>
    <n v="19.329999999999998"/>
    <n v="0.17414414414414414"/>
  </r>
  <r>
    <x v="81"/>
    <x v="4"/>
    <x v="1"/>
    <x v="0"/>
    <x v="4"/>
    <x v="80"/>
    <n v="128.88999999999999"/>
    <n v="0.28964044943820222"/>
  </r>
  <r>
    <x v="82"/>
    <x v="0"/>
    <x v="0"/>
    <x v="0"/>
    <x v="0"/>
    <x v="81"/>
    <n v="623.72"/>
    <n v="0.17325555555555555"/>
  </r>
  <r>
    <x v="83"/>
    <x v="1"/>
    <x v="1"/>
    <x v="0"/>
    <x v="8"/>
    <x v="82"/>
    <n v="176.44"/>
    <n v="0.13216479400749062"/>
  </r>
  <r>
    <x v="84"/>
    <x v="8"/>
    <x v="1"/>
    <x v="2"/>
    <x v="2"/>
    <x v="83"/>
    <n v="242.15"/>
    <n v="7.8365695792880261E-2"/>
  </r>
  <r>
    <x v="85"/>
    <x v="0"/>
    <x v="0"/>
    <x v="1"/>
    <x v="2"/>
    <x v="84"/>
    <n v="538.52"/>
    <n v="0.13772890025575446"/>
  </r>
  <r>
    <x v="20"/>
    <x v="3"/>
    <x v="2"/>
    <x v="2"/>
    <x v="4"/>
    <x v="85"/>
    <n v="32.67"/>
    <n v="0.14917808219178083"/>
  </r>
  <r>
    <x v="86"/>
    <x v="7"/>
    <x v="2"/>
    <x v="3"/>
    <x v="2"/>
    <x v="86"/>
    <n v="27.77"/>
    <n v="7.1205128205128199E-2"/>
  </r>
  <r>
    <x v="87"/>
    <x v="9"/>
    <x v="2"/>
    <x v="0"/>
    <x v="7"/>
    <x v="87"/>
    <n v="359.61"/>
    <n v="0.1091712204007286"/>
  </r>
  <r>
    <x v="88"/>
    <x v="8"/>
    <x v="1"/>
    <x v="3"/>
    <x v="0"/>
    <x v="88"/>
    <n v="1038.05"/>
    <n v="0.2270450568678915"/>
  </r>
  <r>
    <x v="89"/>
    <x v="6"/>
    <x v="1"/>
    <x v="2"/>
    <x v="1"/>
    <x v="89"/>
    <n v="109.94"/>
    <n v="0.11218367346938775"/>
  </r>
  <r>
    <x v="90"/>
    <x v="4"/>
    <x v="1"/>
    <x v="0"/>
    <x v="3"/>
    <x v="90"/>
    <n v="532.12"/>
    <n v="0.23524314765694077"/>
  </r>
  <r>
    <x v="91"/>
    <x v="3"/>
    <x v="2"/>
    <x v="2"/>
    <x v="1"/>
    <x v="91"/>
    <n v="1655.91"/>
    <n v="0.22025937749401436"/>
  </r>
  <r>
    <x v="92"/>
    <x v="3"/>
    <x v="2"/>
    <x v="2"/>
    <x v="4"/>
    <x v="92"/>
    <n v="158.97"/>
    <n v="0.18209621993127148"/>
  </r>
  <r>
    <x v="93"/>
    <x v="1"/>
    <x v="1"/>
    <x v="0"/>
    <x v="7"/>
    <x v="93"/>
    <n v="423.03"/>
    <n v="0.27978174603174599"/>
  </r>
  <r>
    <x v="94"/>
    <x v="9"/>
    <x v="2"/>
    <x v="3"/>
    <x v="4"/>
    <x v="94"/>
    <n v="165.16"/>
    <n v="0.23426950354609929"/>
  </r>
  <r>
    <x v="95"/>
    <x v="5"/>
    <x v="2"/>
    <x v="0"/>
    <x v="6"/>
    <x v="95"/>
    <n v="533.70000000000005"/>
    <n v="0.16391277641277643"/>
  </r>
  <r>
    <x v="96"/>
    <x v="2"/>
    <x v="2"/>
    <x v="3"/>
    <x v="0"/>
    <x v="96"/>
    <n v="81.77"/>
    <n v="0.147068345323741"/>
  </r>
  <r>
    <x v="97"/>
    <x v="1"/>
    <x v="1"/>
    <x v="1"/>
    <x v="5"/>
    <x v="97"/>
    <n v="2105.8200000000002"/>
    <n v="0.29655259822560204"/>
  </r>
  <r>
    <x v="98"/>
    <x v="9"/>
    <x v="2"/>
    <x v="3"/>
    <x v="5"/>
    <x v="98"/>
    <n v="1344.96"/>
    <n v="0.15280163599182003"/>
  </r>
  <r>
    <x v="99"/>
    <x v="4"/>
    <x v="1"/>
    <x v="2"/>
    <x v="7"/>
    <x v="99"/>
    <n v="1294.1600000000001"/>
    <n v="0.23143061516452076"/>
  </r>
  <r>
    <x v="100"/>
    <x v="2"/>
    <x v="2"/>
    <x v="0"/>
    <x v="3"/>
    <x v="100"/>
    <n v="168.92"/>
    <n v="9.1209503239740808E-2"/>
  </r>
  <r>
    <x v="101"/>
    <x v="6"/>
    <x v="1"/>
    <x v="1"/>
    <x v="4"/>
    <x v="101"/>
    <n v="57.88"/>
    <n v="0.29682051282051286"/>
  </r>
  <r>
    <x v="102"/>
    <x v="1"/>
    <x v="1"/>
    <x v="1"/>
    <x v="5"/>
    <x v="102"/>
    <n v="2054.02"/>
    <n v="0.26053018772196856"/>
  </r>
  <r>
    <x v="103"/>
    <x v="9"/>
    <x v="2"/>
    <x v="1"/>
    <x v="2"/>
    <x v="103"/>
    <n v="1160.55"/>
    <n v="0.26618119266055046"/>
  </r>
  <r>
    <x v="104"/>
    <x v="1"/>
    <x v="1"/>
    <x v="0"/>
    <x v="7"/>
    <x v="104"/>
    <n v="929.18"/>
    <n v="0.18885772357723576"/>
  </r>
  <r>
    <x v="105"/>
    <x v="1"/>
    <x v="1"/>
    <x v="1"/>
    <x v="8"/>
    <x v="105"/>
    <n v="565"/>
    <n v="0.16263672999424295"/>
  </r>
  <r>
    <x v="106"/>
    <x v="8"/>
    <x v="1"/>
    <x v="3"/>
    <x v="4"/>
    <x v="106"/>
    <n v="222.5"/>
    <n v="0.239247311827957"/>
  </r>
  <r>
    <x v="107"/>
    <x v="2"/>
    <x v="2"/>
    <x v="2"/>
    <x v="1"/>
    <x v="107"/>
    <n v="248.02"/>
    <n v="0.1745390570021112"/>
  </r>
  <r>
    <x v="108"/>
    <x v="4"/>
    <x v="1"/>
    <x v="0"/>
    <x v="3"/>
    <x v="108"/>
    <n v="161.1"/>
    <n v="0.25410094637223973"/>
  </r>
  <r>
    <x v="109"/>
    <x v="3"/>
    <x v="2"/>
    <x v="1"/>
    <x v="4"/>
    <x v="109"/>
    <n v="114.42"/>
    <n v="0.17001485884101039"/>
  </r>
  <r>
    <x v="110"/>
    <x v="1"/>
    <x v="1"/>
    <x v="2"/>
    <x v="2"/>
    <x v="110"/>
    <n v="787.7"/>
    <n v="0.25125996810207341"/>
  </r>
  <r>
    <x v="111"/>
    <x v="7"/>
    <x v="2"/>
    <x v="1"/>
    <x v="7"/>
    <x v="111"/>
    <n v="184.48"/>
    <n v="0.2091609977324263"/>
  </r>
  <r>
    <x v="112"/>
    <x v="7"/>
    <x v="2"/>
    <x v="1"/>
    <x v="0"/>
    <x v="112"/>
    <n v="212.77"/>
    <n v="0.17849832214765102"/>
  </r>
  <r>
    <x v="113"/>
    <x v="0"/>
    <x v="0"/>
    <x v="2"/>
    <x v="8"/>
    <x v="86"/>
    <n v="112.08"/>
    <n v="0.28738461538461541"/>
  </r>
  <r>
    <x v="112"/>
    <x v="2"/>
    <x v="2"/>
    <x v="0"/>
    <x v="4"/>
    <x v="113"/>
    <n v="95.54"/>
    <n v="0.11455635491606715"/>
  </r>
  <r>
    <x v="114"/>
    <x v="7"/>
    <x v="2"/>
    <x v="1"/>
    <x v="7"/>
    <x v="114"/>
    <n v="83.75"/>
    <n v="0.13684640522875818"/>
  </r>
  <r>
    <x v="113"/>
    <x v="4"/>
    <x v="1"/>
    <x v="3"/>
    <x v="5"/>
    <x v="115"/>
    <n v="710.23"/>
    <n v="8.7975969280317104E-2"/>
  </r>
  <r>
    <x v="115"/>
    <x v="8"/>
    <x v="1"/>
    <x v="0"/>
    <x v="6"/>
    <x v="116"/>
    <n v="723.88"/>
    <n v="0.27419696969696972"/>
  </r>
  <r>
    <x v="23"/>
    <x v="7"/>
    <x v="2"/>
    <x v="0"/>
    <x v="8"/>
    <x v="117"/>
    <n v="440.7"/>
    <n v="0.13627087198515769"/>
  </r>
  <r>
    <x v="116"/>
    <x v="6"/>
    <x v="1"/>
    <x v="3"/>
    <x v="2"/>
    <x v="118"/>
    <n v="355.51"/>
    <n v="8.0160090191657263E-2"/>
  </r>
  <r>
    <x v="117"/>
    <x v="5"/>
    <x v="2"/>
    <x v="0"/>
    <x v="3"/>
    <x v="119"/>
    <n v="305.07"/>
    <n v="0.1325238922675934"/>
  </r>
  <r>
    <x v="118"/>
    <x v="3"/>
    <x v="2"/>
    <x v="1"/>
    <x v="7"/>
    <x v="120"/>
    <n v="307.44"/>
    <n v="0.17791666666666667"/>
  </r>
  <r>
    <x v="119"/>
    <x v="9"/>
    <x v="2"/>
    <x v="1"/>
    <x v="0"/>
    <x v="121"/>
    <n v="54.05"/>
    <n v="0.23706140350877192"/>
  </r>
  <r>
    <x v="120"/>
    <x v="2"/>
    <x v="2"/>
    <x v="3"/>
    <x v="7"/>
    <x v="122"/>
    <n v="705.74"/>
    <n v="0.20456231884057971"/>
  </r>
  <r>
    <x v="109"/>
    <x v="7"/>
    <x v="2"/>
    <x v="2"/>
    <x v="6"/>
    <x v="123"/>
    <n v="1702.48"/>
    <n v="0.22833690987124464"/>
  </r>
  <r>
    <x v="121"/>
    <x v="7"/>
    <x v="2"/>
    <x v="3"/>
    <x v="7"/>
    <x v="124"/>
    <n v="705.85"/>
    <n v="0.14929145516074452"/>
  </r>
  <r>
    <x v="122"/>
    <x v="5"/>
    <x v="2"/>
    <x v="0"/>
    <x v="1"/>
    <x v="125"/>
    <n v="124.62"/>
    <n v="0.13187301587301586"/>
  </r>
  <r>
    <x v="123"/>
    <x v="9"/>
    <x v="2"/>
    <x v="0"/>
    <x v="0"/>
    <x v="126"/>
    <n v="65.05"/>
    <n v="0.2197635135135135"/>
  </r>
  <r>
    <x v="124"/>
    <x v="7"/>
    <x v="2"/>
    <x v="3"/>
    <x v="0"/>
    <x v="127"/>
    <n v="149.88999999999999"/>
    <n v="0.23420312499999998"/>
  </r>
  <r>
    <x v="125"/>
    <x v="2"/>
    <x v="2"/>
    <x v="0"/>
    <x v="4"/>
    <x v="128"/>
    <n v="65.27"/>
    <n v="8.1894604767879547E-2"/>
  </r>
  <r>
    <x v="126"/>
    <x v="6"/>
    <x v="1"/>
    <x v="0"/>
    <x v="0"/>
    <x v="129"/>
    <n v="431.89"/>
    <n v="0.29662774725274726"/>
  </r>
  <r>
    <x v="127"/>
    <x v="6"/>
    <x v="1"/>
    <x v="2"/>
    <x v="7"/>
    <x v="130"/>
    <n v="364.11"/>
    <n v="9.0170876671619618E-2"/>
  </r>
  <r>
    <x v="128"/>
    <x v="2"/>
    <x v="2"/>
    <x v="3"/>
    <x v="1"/>
    <x v="131"/>
    <n v="355.81"/>
    <n v="6.2908415841584159E-2"/>
  </r>
  <r>
    <x v="129"/>
    <x v="1"/>
    <x v="1"/>
    <x v="3"/>
    <x v="0"/>
    <x v="132"/>
    <n v="302.37"/>
    <n v="7.801083591331269E-2"/>
  </r>
  <r>
    <x v="130"/>
    <x v="8"/>
    <x v="1"/>
    <x v="2"/>
    <x v="7"/>
    <x v="133"/>
    <n v="114.7"/>
    <n v="0.11447105788423154"/>
  </r>
  <r>
    <x v="131"/>
    <x v="4"/>
    <x v="1"/>
    <x v="1"/>
    <x v="5"/>
    <x v="134"/>
    <n v="413.76"/>
    <n v="0.18919067215363511"/>
  </r>
  <r>
    <x v="132"/>
    <x v="1"/>
    <x v="1"/>
    <x v="0"/>
    <x v="7"/>
    <x v="135"/>
    <n v="1627.42"/>
    <n v="0.22773859501819202"/>
  </r>
  <r>
    <x v="133"/>
    <x v="8"/>
    <x v="1"/>
    <x v="2"/>
    <x v="4"/>
    <x v="136"/>
    <n v="14.88"/>
    <n v="7.8730158730158734E-2"/>
  </r>
  <r>
    <x v="134"/>
    <x v="6"/>
    <x v="1"/>
    <x v="1"/>
    <x v="2"/>
    <x v="137"/>
    <n v="266.02"/>
    <n v="0.28299999999999997"/>
  </r>
  <r>
    <x v="135"/>
    <x v="4"/>
    <x v="1"/>
    <x v="0"/>
    <x v="4"/>
    <x v="138"/>
    <n v="127.58"/>
    <n v="0.13415352260778129"/>
  </r>
  <r>
    <x v="54"/>
    <x v="0"/>
    <x v="0"/>
    <x v="1"/>
    <x v="3"/>
    <x v="139"/>
    <n v="27.42"/>
    <n v="0.22112903225806452"/>
  </r>
  <r>
    <x v="136"/>
    <x v="1"/>
    <x v="1"/>
    <x v="3"/>
    <x v="5"/>
    <x v="140"/>
    <n v="594.28"/>
    <n v="7.917399413802291E-2"/>
  </r>
  <r>
    <x v="137"/>
    <x v="6"/>
    <x v="1"/>
    <x v="3"/>
    <x v="1"/>
    <x v="141"/>
    <n v="2308.7600000000002"/>
    <n v="0.28238258317025444"/>
  </r>
  <r>
    <x v="138"/>
    <x v="7"/>
    <x v="2"/>
    <x v="1"/>
    <x v="2"/>
    <x v="142"/>
    <n v="632.67999999999995"/>
    <n v="0.29773176470588231"/>
  </r>
  <r>
    <x v="79"/>
    <x v="4"/>
    <x v="1"/>
    <x v="0"/>
    <x v="4"/>
    <x v="143"/>
    <n v="59.98"/>
    <n v="6.2026887280248189E-2"/>
  </r>
  <r>
    <x v="120"/>
    <x v="4"/>
    <x v="1"/>
    <x v="2"/>
    <x v="2"/>
    <x v="144"/>
    <n v="29.41"/>
    <n v="0.10892592592592593"/>
  </r>
  <r>
    <x v="139"/>
    <x v="8"/>
    <x v="1"/>
    <x v="3"/>
    <x v="5"/>
    <x v="145"/>
    <n v="1486.3"/>
    <n v="0.14811160936721474"/>
  </r>
  <r>
    <x v="140"/>
    <x v="0"/>
    <x v="0"/>
    <x v="0"/>
    <x v="6"/>
    <x v="146"/>
    <n v="1125.23"/>
    <n v="0.16566990577149587"/>
  </r>
  <r>
    <x v="141"/>
    <x v="0"/>
    <x v="0"/>
    <x v="1"/>
    <x v="4"/>
    <x v="147"/>
    <n v="99.13"/>
    <n v="0.13883753501400559"/>
  </r>
  <r>
    <x v="142"/>
    <x v="7"/>
    <x v="2"/>
    <x v="2"/>
    <x v="2"/>
    <x v="148"/>
    <n v="157.63999999999999"/>
    <n v="0.20606535947712418"/>
  </r>
  <r>
    <x v="143"/>
    <x v="4"/>
    <x v="1"/>
    <x v="1"/>
    <x v="1"/>
    <x v="149"/>
    <n v="358.02"/>
    <n v="8.481876332622601E-2"/>
  </r>
  <r>
    <x v="144"/>
    <x v="9"/>
    <x v="2"/>
    <x v="0"/>
    <x v="0"/>
    <x v="150"/>
    <n v="576.48"/>
    <n v="0.27347248576850097"/>
  </r>
  <r>
    <x v="145"/>
    <x v="6"/>
    <x v="1"/>
    <x v="0"/>
    <x v="5"/>
    <x v="151"/>
    <n v="2387.63"/>
    <n v="0.22674548907882242"/>
  </r>
  <r>
    <x v="146"/>
    <x v="8"/>
    <x v="1"/>
    <x v="2"/>
    <x v="7"/>
    <x v="152"/>
    <n v="914.17"/>
    <n v="0.2691902237926973"/>
  </r>
  <r>
    <x v="147"/>
    <x v="6"/>
    <x v="1"/>
    <x v="0"/>
    <x v="0"/>
    <x v="153"/>
    <n v="213.05"/>
    <n v="0.20099056603773585"/>
  </r>
  <r>
    <x v="148"/>
    <x v="2"/>
    <x v="2"/>
    <x v="1"/>
    <x v="2"/>
    <x v="154"/>
    <n v="73.069999999999993"/>
    <n v="0.15222916666666667"/>
  </r>
  <r>
    <x v="149"/>
    <x v="4"/>
    <x v="1"/>
    <x v="3"/>
    <x v="8"/>
    <x v="155"/>
    <n v="285.64999999999998"/>
    <n v="0.11294978252273626"/>
  </r>
  <r>
    <x v="150"/>
    <x v="5"/>
    <x v="2"/>
    <x v="1"/>
    <x v="6"/>
    <x v="156"/>
    <n v="511.97"/>
    <n v="0.10683848080133557"/>
  </r>
  <r>
    <x v="49"/>
    <x v="5"/>
    <x v="2"/>
    <x v="1"/>
    <x v="6"/>
    <x v="157"/>
    <n v="605.79999999999995"/>
    <n v="7.519860973187685E-2"/>
  </r>
  <r>
    <x v="151"/>
    <x v="2"/>
    <x v="2"/>
    <x v="0"/>
    <x v="0"/>
    <x v="158"/>
    <n v="947.76"/>
    <n v="0.22416272469252602"/>
  </r>
  <r>
    <x v="152"/>
    <x v="2"/>
    <x v="2"/>
    <x v="1"/>
    <x v="4"/>
    <x v="159"/>
    <n v="93.78"/>
    <n v="0.14361408882082696"/>
  </r>
  <r>
    <x v="153"/>
    <x v="2"/>
    <x v="2"/>
    <x v="0"/>
    <x v="5"/>
    <x v="160"/>
    <n v="1212.51"/>
    <n v="0.16270933977455718"/>
  </r>
  <r>
    <x v="154"/>
    <x v="1"/>
    <x v="1"/>
    <x v="1"/>
    <x v="0"/>
    <x v="161"/>
    <n v="1156.71"/>
    <n v="0.28021075581395349"/>
  </r>
  <r>
    <x v="155"/>
    <x v="2"/>
    <x v="2"/>
    <x v="3"/>
    <x v="2"/>
    <x v="162"/>
    <n v="1201.56"/>
    <n v="0.23606286836935167"/>
  </r>
  <r>
    <x v="156"/>
    <x v="3"/>
    <x v="2"/>
    <x v="0"/>
    <x v="2"/>
    <x v="163"/>
    <n v="387.33"/>
    <n v="7.8565922920892498E-2"/>
  </r>
  <r>
    <x v="157"/>
    <x v="5"/>
    <x v="2"/>
    <x v="2"/>
    <x v="7"/>
    <x v="164"/>
    <n v="434.37"/>
    <n v="0.16642528735632184"/>
  </r>
  <r>
    <x v="25"/>
    <x v="9"/>
    <x v="2"/>
    <x v="0"/>
    <x v="8"/>
    <x v="165"/>
    <n v="415.84"/>
    <n v="0.19440860215053762"/>
  </r>
  <r>
    <x v="158"/>
    <x v="2"/>
    <x v="2"/>
    <x v="2"/>
    <x v="4"/>
    <x v="166"/>
    <n v="55.4"/>
    <n v="0.24513274336283186"/>
  </r>
  <r>
    <x v="159"/>
    <x v="5"/>
    <x v="2"/>
    <x v="3"/>
    <x v="3"/>
    <x v="167"/>
    <n v="212.08"/>
    <n v="9.450980392156863E-2"/>
  </r>
  <r>
    <x v="160"/>
    <x v="6"/>
    <x v="1"/>
    <x v="1"/>
    <x v="7"/>
    <x v="168"/>
    <n v="578.87"/>
    <n v="0.18376825396825397"/>
  </r>
  <r>
    <x v="161"/>
    <x v="9"/>
    <x v="2"/>
    <x v="2"/>
    <x v="1"/>
    <x v="169"/>
    <n v="347.19"/>
    <n v="0.10247638724911452"/>
  </r>
  <r>
    <x v="162"/>
    <x v="9"/>
    <x v="2"/>
    <x v="1"/>
    <x v="6"/>
    <x v="170"/>
    <n v="580.30999999999995"/>
    <n v="6.6427426739926729E-2"/>
  </r>
  <r>
    <x v="163"/>
    <x v="7"/>
    <x v="2"/>
    <x v="2"/>
    <x v="3"/>
    <x v="171"/>
    <n v="176.53"/>
    <n v="0.16019056261343012"/>
  </r>
  <r>
    <x v="164"/>
    <x v="6"/>
    <x v="1"/>
    <x v="1"/>
    <x v="8"/>
    <x v="116"/>
    <n v="199.97"/>
    <n v="7.5746212121212117E-2"/>
  </r>
  <r>
    <x v="165"/>
    <x v="0"/>
    <x v="0"/>
    <x v="3"/>
    <x v="8"/>
    <x v="172"/>
    <n v="300.74"/>
    <n v="0.11807616804083236"/>
  </r>
  <r>
    <x v="166"/>
    <x v="9"/>
    <x v="2"/>
    <x v="0"/>
    <x v="1"/>
    <x v="173"/>
    <n v="64.819999999999993"/>
    <n v="8.9038461538461525E-2"/>
  </r>
  <r>
    <x v="167"/>
    <x v="3"/>
    <x v="2"/>
    <x v="2"/>
    <x v="1"/>
    <x v="174"/>
    <n v="607.44000000000005"/>
    <n v="0.17637630662020906"/>
  </r>
  <r>
    <x v="141"/>
    <x v="3"/>
    <x v="2"/>
    <x v="3"/>
    <x v="2"/>
    <x v="175"/>
    <n v="853.66"/>
    <n v="0.27186624203821658"/>
  </r>
  <r>
    <x v="153"/>
    <x v="7"/>
    <x v="2"/>
    <x v="1"/>
    <x v="8"/>
    <x v="176"/>
    <n v="129.27000000000001"/>
    <n v="0.2971724137931035"/>
  </r>
  <r>
    <x v="168"/>
    <x v="8"/>
    <x v="1"/>
    <x v="1"/>
    <x v="0"/>
    <x v="177"/>
    <n v="72.989999999999995"/>
    <n v="8.5268691588785042E-2"/>
  </r>
  <r>
    <x v="169"/>
    <x v="0"/>
    <x v="0"/>
    <x v="0"/>
    <x v="3"/>
    <x v="178"/>
    <n v="23.33"/>
    <n v="0.20830357142857142"/>
  </r>
  <r>
    <x v="170"/>
    <x v="4"/>
    <x v="1"/>
    <x v="0"/>
    <x v="8"/>
    <x v="179"/>
    <n v="507.79"/>
    <n v="0.22598575878949712"/>
  </r>
  <r>
    <x v="171"/>
    <x v="8"/>
    <x v="1"/>
    <x v="3"/>
    <x v="3"/>
    <x v="93"/>
    <n v="298.73"/>
    <n v="0.19757275132275134"/>
  </r>
  <r>
    <x v="172"/>
    <x v="1"/>
    <x v="1"/>
    <x v="2"/>
    <x v="2"/>
    <x v="180"/>
    <n v="1196.5999999999999"/>
    <n v="0.24345879959308239"/>
  </r>
  <r>
    <x v="173"/>
    <x v="1"/>
    <x v="1"/>
    <x v="2"/>
    <x v="8"/>
    <x v="34"/>
    <n v="663.54"/>
    <n v="0.2449390919158361"/>
  </r>
  <r>
    <x v="174"/>
    <x v="2"/>
    <x v="2"/>
    <x v="0"/>
    <x v="1"/>
    <x v="49"/>
    <n v="118.36"/>
    <n v="9.5528652138821626E-2"/>
  </r>
  <r>
    <x v="175"/>
    <x v="2"/>
    <x v="2"/>
    <x v="3"/>
    <x v="3"/>
    <x v="181"/>
    <n v="86.16"/>
    <n v="0.15062937062937062"/>
  </r>
  <r>
    <x v="176"/>
    <x v="5"/>
    <x v="2"/>
    <x v="0"/>
    <x v="3"/>
    <x v="182"/>
    <n v="93.25"/>
    <n v="5.4596018735362996E-2"/>
  </r>
  <r>
    <x v="177"/>
    <x v="5"/>
    <x v="2"/>
    <x v="0"/>
    <x v="0"/>
    <x v="183"/>
    <n v="42.66"/>
    <n v="0.11849999999999999"/>
  </r>
  <r>
    <x v="178"/>
    <x v="3"/>
    <x v="2"/>
    <x v="0"/>
    <x v="7"/>
    <x v="184"/>
    <n v="388.34"/>
    <n v="0.10160648874934589"/>
  </r>
  <r>
    <x v="179"/>
    <x v="3"/>
    <x v="2"/>
    <x v="0"/>
    <x v="7"/>
    <x v="185"/>
    <n v="932.97"/>
    <n v="0.19935256410256411"/>
  </r>
  <r>
    <x v="180"/>
    <x v="3"/>
    <x v="2"/>
    <x v="0"/>
    <x v="2"/>
    <x v="186"/>
    <n v="487.18"/>
    <n v="0.19332539682539682"/>
  </r>
  <r>
    <x v="181"/>
    <x v="5"/>
    <x v="2"/>
    <x v="0"/>
    <x v="3"/>
    <x v="187"/>
    <n v="619.29"/>
    <n v="0.28965855940130963"/>
  </r>
  <r>
    <x v="182"/>
    <x v="8"/>
    <x v="1"/>
    <x v="3"/>
    <x v="8"/>
    <x v="155"/>
    <n v="169.6"/>
    <n v="6.7062079873467767E-2"/>
  </r>
  <r>
    <x v="183"/>
    <x v="8"/>
    <x v="1"/>
    <x v="1"/>
    <x v="4"/>
    <x v="188"/>
    <n v="29.33"/>
    <n v="0.12427966101694915"/>
  </r>
  <r>
    <x v="184"/>
    <x v="2"/>
    <x v="2"/>
    <x v="3"/>
    <x v="7"/>
    <x v="189"/>
    <n v="636.48"/>
    <n v="0.23314285714285715"/>
  </r>
  <r>
    <x v="185"/>
    <x v="4"/>
    <x v="1"/>
    <x v="0"/>
    <x v="8"/>
    <x v="190"/>
    <n v="872.49"/>
    <n v="0.28880834160873881"/>
  </r>
  <r>
    <x v="177"/>
    <x v="5"/>
    <x v="2"/>
    <x v="0"/>
    <x v="3"/>
    <x v="191"/>
    <n v="16.78"/>
    <n v="6.8770491803278697E-2"/>
  </r>
  <r>
    <x v="2"/>
    <x v="3"/>
    <x v="2"/>
    <x v="2"/>
    <x v="6"/>
    <x v="173"/>
    <n v="120.06"/>
    <n v="0.16491758241758242"/>
  </r>
  <r>
    <x v="186"/>
    <x v="1"/>
    <x v="1"/>
    <x v="0"/>
    <x v="8"/>
    <x v="192"/>
    <n v="89.49"/>
    <n v="0.19754966887417216"/>
  </r>
  <r>
    <x v="187"/>
    <x v="9"/>
    <x v="2"/>
    <x v="2"/>
    <x v="4"/>
    <x v="193"/>
    <n v="84.38"/>
    <n v="0.22263852242744062"/>
  </r>
  <r>
    <x v="188"/>
    <x v="2"/>
    <x v="2"/>
    <x v="3"/>
    <x v="8"/>
    <x v="194"/>
    <n v="510.69"/>
    <n v="0.23976056338028168"/>
  </r>
  <r>
    <x v="34"/>
    <x v="6"/>
    <x v="1"/>
    <x v="0"/>
    <x v="6"/>
    <x v="195"/>
    <n v="710.11"/>
    <n v="0.17235679611650487"/>
  </r>
  <r>
    <x v="189"/>
    <x v="5"/>
    <x v="2"/>
    <x v="2"/>
    <x v="1"/>
    <x v="168"/>
    <n v="299.7"/>
    <n v="9.514285714285714E-2"/>
  </r>
  <r>
    <x v="190"/>
    <x v="5"/>
    <x v="2"/>
    <x v="1"/>
    <x v="1"/>
    <x v="196"/>
    <n v="603.07000000000005"/>
    <n v="0.22435639880952382"/>
  </r>
  <r>
    <x v="191"/>
    <x v="2"/>
    <x v="2"/>
    <x v="1"/>
    <x v="3"/>
    <x v="197"/>
    <n v="501.19"/>
    <n v="0.28606735159817354"/>
  </r>
  <r>
    <x v="192"/>
    <x v="8"/>
    <x v="1"/>
    <x v="0"/>
    <x v="1"/>
    <x v="198"/>
    <n v="948.4"/>
    <n v="0.12977558839627804"/>
  </r>
  <r>
    <x v="2"/>
    <x v="2"/>
    <x v="2"/>
    <x v="0"/>
    <x v="8"/>
    <x v="199"/>
    <n v="160.84"/>
    <n v="8.0139511709018438E-2"/>
  </r>
  <r>
    <x v="193"/>
    <x v="2"/>
    <x v="2"/>
    <x v="3"/>
    <x v="1"/>
    <x v="200"/>
    <n v="479.23"/>
    <n v="6.6338593576965671E-2"/>
  </r>
  <r>
    <x v="194"/>
    <x v="6"/>
    <x v="1"/>
    <x v="2"/>
    <x v="5"/>
    <x v="201"/>
    <n v="1249.31"/>
    <n v="0.18004179276552817"/>
  </r>
  <r>
    <x v="195"/>
    <x v="7"/>
    <x v="2"/>
    <x v="1"/>
    <x v="1"/>
    <x v="202"/>
    <n v="1475.67"/>
    <n v="0.2675253807106599"/>
  </r>
  <r>
    <x v="196"/>
    <x v="0"/>
    <x v="0"/>
    <x v="2"/>
    <x v="3"/>
    <x v="203"/>
    <n v="116.47"/>
    <n v="5.2369604316546761E-2"/>
  </r>
  <r>
    <x v="197"/>
    <x v="9"/>
    <x v="2"/>
    <x v="2"/>
    <x v="2"/>
    <x v="204"/>
    <n v="824.4"/>
    <n v="0.20687578419071517"/>
  </r>
  <r>
    <x v="198"/>
    <x v="3"/>
    <x v="2"/>
    <x v="0"/>
    <x v="1"/>
    <x v="205"/>
    <n v="638.26"/>
    <n v="0.23439588688946014"/>
  </r>
  <r>
    <x v="199"/>
    <x v="2"/>
    <x v="2"/>
    <x v="0"/>
    <x v="3"/>
    <x v="206"/>
    <n v="170.75"/>
    <n v="0.22888739946380698"/>
  </r>
  <r>
    <x v="200"/>
    <x v="9"/>
    <x v="2"/>
    <x v="3"/>
    <x v="2"/>
    <x v="207"/>
    <n v="245.25"/>
    <n v="7.7365930599369082E-2"/>
  </r>
  <r>
    <x v="25"/>
    <x v="5"/>
    <x v="2"/>
    <x v="1"/>
    <x v="2"/>
    <x v="208"/>
    <n v="63.11"/>
    <n v="0.11474545454545454"/>
  </r>
  <r>
    <x v="201"/>
    <x v="2"/>
    <x v="2"/>
    <x v="0"/>
    <x v="6"/>
    <x v="154"/>
    <n v="132.44999999999999"/>
    <n v="0.2759375"/>
  </r>
  <r>
    <x v="202"/>
    <x v="0"/>
    <x v="0"/>
    <x v="1"/>
    <x v="0"/>
    <x v="209"/>
    <n v="354.4"/>
    <n v="0.10791717417783191"/>
  </r>
  <r>
    <x v="203"/>
    <x v="5"/>
    <x v="2"/>
    <x v="2"/>
    <x v="3"/>
    <x v="210"/>
    <n v="183.75"/>
    <n v="0.10512013729977117"/>
  </r>
  <r>
    <x v="159"/>
    <x v="4"/>
    <x v="1"/>
    <x v="0"/>
    <x v="6"/>
    <x v="211"/>
    <n v="240.84"/>
    <n v="0.29228155339805828"/>
  </r>
  <r>
    <x v="204"/>
    <x v="4"/>
    <x v="1"/>
    <x v="0"/>
    <x v="0"/>
    <x v="55"/>
    <n v="448.46"/>
    <n v="0.23956196581196579"/>
  </r>
  <r>
    <x v="205"/>
    <x v="2"/>
    <x v="2"/>
    <x v="3"/>
    <x v="8"/>
    <x v="212"/>
    <n v="103.98"/>
    <n v="0.16583732057416267"/>
  </r>
  <r>
    <x v="27"/>
    <x v="3"/>
    <x v="2"/>
    <x v="1"/>
    <x v="5"/>
    <x v="213"/>
    <n v="1104.02"/>
    <n v="0.19502208090443385"/>
  </r>
  <r>
    <x v="206"/>
    <x v="3"/>
    <x v="2"/>
    <x v="0"/>
    <x v="8"/>
    <x v="214"/>
    <n v="765.47"/>
    <n v="0.26304810996563577"/>
  </r>
  <r>
    <x v="207"/>
    <x v="2"/>
    <x v="2"/>
    <x v="2"/>
    <x v="5"/>
    <x v="215"/>
    <n v="1087.46"/>
    <n v="0.12034749889331563"/>
  </r>
  <r>
    <x v="208"/>
    <x v="2"/>
    <x v="2"/>
    <x v="3"/>
    <x v="2"/>
    <x v="216"/>
    <n v="338.31"/>
    <n v="7.0261682242990661E-2"/>
  </r>
  <r>
    <x v="209"/>
    <x v="1"/>
    <x v="1"/>
    <x v="2"/>
    <x v="4"/>
    <x v="217"/>
    <n v="206.28"/>
    <n v="0.17378264532434709"/>
  </r>
  <r>
    <x v="210"/>
    <x v="4"/>
    <x v="1"/>
    <x v="1"/>
    <x v="8"/>
    <x v="218"/>
    <n v="732.92"/>
    <n v="0.21950284516322252"/>
  </r>
  <r>
    <x v="205"/>
    <x v="2"/>
    <x v="2"/>
    <x v="1"/>
    <x v="4"/>
    <x v="219"/>
    <n v="165.43"/>
    <n v="0.26682258064516129"/>
  </r>
  <r>
    <x v="140"/>
    <x v="3"/>
    <x v="2"/>
    <x v="3"/>
    <x v="2"/>
    <x v="220"/>
    <n v="414.42"/>
    <n v="0.20465185185185186"/>
  </r>
  <r>
    <x v="211"/>
    <x v="0"/>
    <x v="0"/>
    <x v="1"/>
    <x v="2"/>
    <x v="221"/>
    <n v="811.92"/>
    <n v="0.26796039603960392"/>
  </r>
  <r>
    <x v="212"/>
    <x v="5"/>
    <x v="2"/>
    <x v="0"/>
    <x v="2"/>
    <x v="222"/>
    <n v="166.69"/>
    <n v="0.25448854961832063"/>
  </r>
  <r>
    <x v="47"/>
    <x v="0"/>
    <x v="0"/>
    <x v="3"/>
    <x v="3"/>
    <x v="223"/>
    <n v="294.54000000000002"/>
    <n v="0.13160857908847187"/>
  </r>
  <r>
    <x v="213"/>
    <x v="7"/>
    <x v="2"/>
    <x v="2"/>
    <x v="6"/>
    <x v="224"/>
    <n v="811.31"/>
    <n v="0.24496074879227051"/>
  </r>
  <r>
    <x v="214"/>
    <x v="0"/>
    <x v="0"/>
    <x v="1"/>
    <x v="5"/>
    <x v="225"/>
    <n v="1271.6400000000001"/>
    <n v="0.13546820070310003"/>
  </r>
  <r>
    <x v="215"/>
    <x v="1"/>
    <x v="1"/>
    <x v="3"/>
    <x v="7"/>
    <x v="226"/>
    <n v="1285.21"/>
    <n v="0.22197063903281519"/>
  </r>
  <r>
    <x v="216"/>
    <x v="9"/>
    <x v="2"/>
    <x v="2"/>
    <x v="7"/>
    <x v="227"/>
    <n v="527.97"/>
    <n v="0.19554444444444447"/>
  </r>
  <r>
    <x v="64"/>
    <x v="5"/>
    <x v="2"/>
    <x v="1"/>
    <x v="6"/>
    <x v="228"/>
    <n v="555.05999999999995"/>
    <n v="0.26788610038610033"/>
  </r>
  <r>
    <x v="217"/>
    <x v="8"/>
    <x v="1"/>
    <x v="0"/>
    <x v="8"/>
    <x v="229"/>
    <n v="716.54"/>
    <n v="0.23956536275493145"/>
  </r>
  <r>
    <x v="218"/>
    <x v="9"/>
    <x v="2"/>
    <x v="1"/>
    <x v="7"/>
    <x v="230"/>
    <n v="958.59"/>
    <n v="0.1721605603448276"/>
  </r>
  <r>
    <x v="73"/>
    <x v="5"/>
    <x v="2"/>
    <x v="0"/>
    <x v="1"/>
    <x v="231"/>
    <n v="1648.74"/>
    <n v="0.29928117625703393"/>
  </r>
  <r>
    <x v="59"/>
    <x v="0"/>
    <x v="0"/>
    <x v="3"/>
    <x v="1"/>
    <x v="232"/>
    <n v="1323.1"/>
    <n v="0.22342114150624787"/>
  </r>
  <r>
    <x v="74"/>
    <x v="7"/>
    <x v="2"/>
    <x v="2"/>
    <x v="0"/>
    <x v="233"/>
    <n v="362.81"/>
    <n v="8.2833333333333328E-2"/>
  </r>
  <r>
    <x v="219"/>
    <x v="2"/>
    <x v="2"/>
    <x v="2"/>
    <x v="2"/>
    <x v="234"/>
    <n v="272.68"/>
    <n v="0.1549318181818182"/>
  </r>
  <r>
    <x v="220"/>
    <x v="4"/>
    <x v="1"/>
    <x v="0"/>
    <x v="5"/>
    <x v="235"/>
    <n v="1523.81"/>
    <n v="0.27352539938969661"/>
  </r>
  <r>
    <x v="221"/>
    <x v="2"/>
    <x v="2"/>
    <x v="2"/>
    <x v="3"/>
    <x v="236"/>
    <n v="182.1"/>
    <n v="0.16829944547134934"/>
  </r>
  <r>
    <x v="222"/>
    <x v="3"/>
    <x v="2"/>
    <x v="1"/>
    <x v="4"/>
    <x v="237"/>
    <n v="138.11000000000001"/>
    <n v="0.24272407732864676"/>
  </r>
  <r>
    <x v="223"/>
    <x v="1"/>
    <x v="1"/>
    <x v="0"/>
    <x v="6"/>
    <x v="238"/>
    <n v="697.42"/>
    <n v="0.20416276346604215"/>
  </r>
  <r>
    <x v="224"/>
    <x v="0"/>
    <x v="0"/>
    <x v="3"/>
    <x v="4"/>
    <x v="14"/>
    <n v="57.07"/>
    <n v="0.10012280701754386"/>
  </r>
  <r>
    <x v="225"/>
    <x v="6"/>
    <x v="1"/>
    <x v="1"/>
    <x v="7"/>
    <x v="239"/>
    <n v="386.92"/>
    <n v="0.11724848484848485"/>
  </r>
  <r>
    <x v="41"/>
    <x v="9"/>
    <x v="2"/>
    <x v="2"/>
    <x v="6"/>
    <x v="240"/>
    <n v="568.77"/>
    <n v="0.22011222910216718"/>
  </r>
  <r>
    <x v="226"/>
    <x v="6"/>
    <x v="1"/>
    <x v="2"/>
    <x v="5"/>
    <x v="241"/>
    <n v="2204.44"/>
    <n v="0.28816209150326799"/>
  </r>
  <r>
    <x v="227"/>
    <x v="4"/>
    <x v="1"/>
    <x v="3"/>
    <x v="6"/>
    <x v="81"/>
    <n v="272.51"/>
    <n v="7.5697222222222221E-2"/>
  </r>
  <r>
    <x v="228"/>
    <x v="6"/>
    <x v="1"/>
    <x v="3"/>
    <x v="7"/>
    <x v="242"/>
    <n v="190.87"/>
    <n v="0.22561465721040189"/>
  </r>
  <r>
    <x v="212"/>
    <x v="7"/>
    <x v="2"/>
    <x v="3"/>
    <x v="4"/>
    <x v="243"/>
    <n v="9.36"/>
    <n v="0.18352941176470586"/>
  </r>
  <r>
    <x v="229"/>
    <x v="5"/>
    <x v="2"/>
    <x v="2"/>
    <x v="7"/>
    <x v="244"/>
    <n v="586.91"/>
    <n v="8.3178854875283439E-2"/>
  </r>
  <r>
    <x v="230"/>
    <x v="5"/>
    <x v="2"/>
    <x v="3"/>
    <x v="3"/>
    <x v="245"/>
    <n v="38.409999999999997"/>
    <n v="0.10002604166666666"/>
  </r>
  <r>
    <x v="231"/>
    <x v="9"/>
    <x v="2"/>
    <x v="2"/>
    <x v="6"/>
    <x v="246"/>
    <n v="663.54"/>
    <n v="0.22661885245901639"/>
  </r>
  <r>
    <x v="232"/>
    <x v="3"/>
    <x v="2"/>
    <x v="3"/>
    <x v="1"/>
    <x v="247"/>
    <n v="352.86"/>
    <n v="0.18532563025210086"/>
  </r>
  <r>
    <x v="233"/>
    <x v="2"/>
    <x v="2"/>
    <x v="1"/>
    <x v="3"/>
    <x v="248"/>
    <n v="312.07"/>
    <n v="0.13486171132238547"/>
  </r>
  <r>
    <x v="234"/>
    <x v="0"/>
    <x v="0"/>
    <x v="2"/>
    <x v="0"/>
    <x v="249"/>
    <n v="192.13"/>
    <n v="0.18689688715953306"/>
  </r>
  <r>
    <x v="235"/>
    <x v="4"/>
    <x v="1"/>
    <x v="2"/>
    <x v="5"/>
    <x v="250"/>
    <n v="1326.23"/>
    <n v="0.15965210063801613"/>
  </r>
  <r>
    <x v="44"/>
    <x v="0"/>
    <x v="0"/>
    <x v="3"/>
    <x v="5"/>
    <x v="251"/>
    <n v="203.54"/>
    <n v="0.13225471085120208"/>
  </r>
  <r>
    <x v="236"/>
    <x v="2"/>
    <x v="2"/>
    <x v="3"/>
    <x v="1"/>
    <x v="252"/>
    <n v="537.98"/>
    <n v="0.21467677573822827"/>
  </r>
  <r>
    <x v="237"/>
    <x v="7"/>
    <x v="2"/>
    <x v="3"/>
    <x v="7"/>
    <x v="253"/>
    <n v="1232.54"/>
    <n v="0.21331602630668051"/>
  </r>
  <r>
    <x v="238"/>
    <x v="2"/>
    <x v="2"/>
    <x v="1"/>
    <x v="5"/>
    <x v="254"/>
    <n v="2165.7800000000002"/>
    <n v="0.21258146839418926"/>
  </r>
  <r>
    <x v="239"/>
    <x v="6"/>
    <x v="1"/>
    <x v="0"/>
    <x v="4"/>
    <x v="255"/>
    <n v="157.69999999999999"/>
    <n v="0.16565126050420168"/>
  </r>
  <r>
    <x v="240"/>
    <x v="5"/>
    <x v="2"/>
    <x v="3"/>
    <x v="6"/>
    <x v="256"/>
    <n v="750.86"/>
    <n v="0.20719094922737308"/>
  </r>
  <r>
    <x v="144"/>
    <x v="8"/>
    <x v="1"/>
    <x v="2"/>
    <x v="6"/>
    <x v="257"/>
    <n v="1551.12"/>
    <n v="0.19466867469879517"/>
  </r>
  <r>
    <x v="241"/>
    <x v="1"/>
    <x v="1"/>
    <x v="2"/>
    <x v="3"/>
    <x v="258"/>
    <n v="250.09"/>
    <n v="0.19943381180223285"/>
  </r>
  <r>
    <x v="242"/>
    <x v="0"/>
    <x v="0"/>
    <x v="3"/>
    <x v="8"/>
    <x v="94"/>
    <n v="196.05"/>
    <n v="0.27808510638297873"/>
  </r>
  <r>
    <x v="243"/>
    <x v="1"/>
    <x v="1"/>
    <x v="3"/>
    <x v="4"/>
    <x v="259"/>
    <n v="223.5"/>
    <n v="0.24399563318777293"/>
  </r>
  <r>
    <x v="244"/>
    <x v="0"/>
    <x v="0"/>
    <x v="0"/>
    <x v="3"/>
    <x v="260"/>
    <n v="129.96"/>
    <n v="0.15325471698113208"/>
  </r>
  <r>
    <x v="148"/>
    <x v="6"/>
    <x v="1"/>
    <x v="1"/>
    <x v="6"/>
    <x v="261"/>
    <n v="313.17"/>
    <n v="0.13980803571428571"/>
  </r>
  <r>
    <x v="245"/>
    <x v="6"/>
    <x v="1"/>
    <x v="2"/>
    <x v="4"/>
    <x v="137"/>
    <n v="120.35"/>
    <n v="0.12803191489361701"/>
  </r>
  <r>
    <x v="246"/>
    <x v="4"/>
    <x v="1"/>
    <x v="3"/>
    <x v="2"/>
    <x v="262"/>
    <n v="203.51"/>
    <n v="0.13129677419354838"/>
  </r>
  <r>
    <x v="247"/>
    <x v="8"/>
    <x v="1"/>
    <x v="2"/>
    <x v="1"/>
    <x v="263"/>
    <n v="256.39999999999998"/>
    <n v="0.10901360544217686"/>
  </r>
  <r>
    <x v="248"/>
    <x v="5"/>
    <x v="2"/>
    <x v="0"/>
    <x v="5"/>
    <x v="264"/>
    <n v="183.75"/>
    <n v="0.11217948717948718"/>
  </r>
  <r>
    <x v="249"/>
    <x v="3"/>
    <x v="2"/>
    <x v="0"/>
    <x v="7"/>
    <x v="265"/>
    <n v="1442.72"/>
    <n v="0.20138470128419877"/>
  </r>
  <r>
    <x v="250"/>
    <x v="1"/>
    <x v="1"/>
    <x v="1"/>
    <x v="4"/>
    <x v="266"/>
    <n v="54.54"/>
    <n v="0.26604878048780489"/>
  </r>
  <r>
    <x v="251"/>
    <x v="8"/>
    <x v="1"/>
    <x v="0"/>
    <x v="3"/>
    <x v="267"/>
    <n v="49.23"/>
    <n v="6.4268929503916439E-2"/>
  </r>
  <r>
    <x v="121"/>
    <x v="8"/>
    <x v="1"/>
    <x v="0"/>
    <x v="4"/>
    <x v="268"/>
    <n v="17.84"/>
    <n v="0.1061904761904762"/>
  </r>
  <r>
    <x v="252"/>
    <x v="1"/>
    <x v="1"/>
    <x v="2"/>
    <x v="4"/>
    <x v="269"/>
    <n v="207.55"/>
    <n v="0.19617202268431003"/>
  </r>
  <r>
    <x v="114"/>
    <x v="8"/>
    <x v="1"/>
    <x v="2"/>
    <x v="2"/>
    <x v="270"/>
    <n v="423.81"/>
    <n v="0.29127835051546391"/>
  </r>
  <r>
    <x v="253"/>
    <x v="3"/>
    <x v="2"/>
    <x v="1"/>
    <x v="3"/>
    <x v="203"/>
    <n v="364.04"/>
    <n v="0.16368705035971223"/>
  </r>
  <r>
    <x v="254"/>
    <x v="7"/>
    <x v="2"/>
    <x v="3"/>
    <x v="1"/>
    <x v="22"/>
    <n v="80.489999999999995"/>
    <n v="5.7492857142857137E-2"/>
  </r>
  <r>
    <x v="255"/>
    <x v="7"/>
    <x v="2"/>
    <x v="1"/>
    <x v="1"/>
    <x v="271"/>
    <n v="2213.1799999999998"/>
    <n v="0.29247786441125939"/>
  </r>
  <r>
    <x v="256"/>
    <x v="2"/>
    <x v="2"/>
    <x v="1"/>
    <x v="7"/>
    <x v="152"/>
    <n v="987.68"/>
    <n v="0.29083627797408712"/>
  </r>
  <r>
    <x v="138"/>
    <x v="5"/>
    <x v="2"/>
    <x v="1"/>
    <x v="3"/>
    <x v="272"/>
    <n v="135.63"/>
    <n v="0.19265625"/>
  </r>
  <r>
    <x v="257"/>
    <x v="2"/>
    <x v="2"/>
    <x v="1"/>
    <x v="5"/>
    <x v="273"/>
    <n v="2172.19"/>
    <n v="0.27966911291360885"/>
  </r>
  <r>
    <x v="258"/>
    <x v="1"/>
    <x v="1"/>
    <x v="3"/>
    <x v="2"/>
    <x v="274"/>
    <n v="157.13"/>
    <n v="7.664878048780488E-2"/>
  </r>
  <r>
    <x v="259"/>
    <x v="6"/>
    <x v="1"/>
    <x v="0"/>
    <x v="5"/>
    <x v="275"/>
    <n v="2799.48"/>
    <n v="0.26768789443488239"/>
  </r>
  <r>
    <x v="260"/>
    <x v="3"/>
    <x v="2"/>
    <x v="2"/>
    <x v="0"/>
    <x v="276"/>
    <n v="619.26"/>
    <n v="0.13175744680851065"/>
  </r>
  <r>
    <x v="261"/>
    <x v="7"/>
    <x v="2"/>
    <x v="0"/>
    <x v="3"/>
    <x v="277"/>
    <n v="222.51"/>
    <n v="0.24945067264573989"/>
  </r>
  <r>
    <x v="262"/>
    <x v="9"/>
    <x v="2"/>
    <x v="1"/>
    <x v="6"/>
    <x v="278"/>
    <n v="1479.09"/>
    <n v="0.21226894374282432"/>
  </r>
  <r>
    <x v="263"/>
    <x v="9"/>
    <x v="2"/>
    <x v="0"/>
    <x v="1"/>
    <x v="279"/>
    <n v="300.88"/>
    <n v="0.22386904761904761"/>
  </r>
  <r>
    <x v="264"/>
    <x v="3"/>
    <x v="2"/>
    <x v="3"/>
    <x v="4"/>
    <x v="280"/>
    <n v="65.989999999999995"/>
    <n v="0.18641242937853106"/>
  </r>
  <r>
    <x v="265"/>
    <x v="6"/>
    <x v="1"/>
    <x v="2"/>
    <x v="8"/>
    <x v="281"/>
    <n v="662.23"/>
    <n v="0.21705342510652245"/>
  </r>
  <r>
    <x v="38"/>
    <x v="3"/>
    <x v="2"/>
    <x v="2"/>
    <x v="8"/>
    <x v="282"/>
    <n v="106.87"/>
    <n v="0.2658457711442786"/>
  </r>
  <r>
    <x v="266"/>
    <x v="6"/>
    <x v="1"/>
    <x v="0"/>
    <x v="2"/>
    <x v="283"/>
    <n v="517.82000000000005"/>
    <n v="0.14504761904761906"/>
  </r>
  <r>
    <x v="267"/>
    <x v="8"/>
    <x v="1"/>
    <x v="0"/>
    <x v="1"/>
    <x v="284"/>
    <n v="876.35"/>
    <n v="0.22887176808566206"/>
  </r>
  <r>
    <x v="268"/>
    <x v="1"/>
    <x v="1"/>
    <x v="0"/>
    <x v="1"/>
    <x v="285"/>
    <n v="242.64"/>
    <n v="5.189050470487596E-2"/>
  </r>
  <r>
    <x v="269"/>
    <x v="8"/>
    <x v="1"/>
    <x v="1"/>
    <x v="8"/>
    <x v="286"/>
    <n v="317.36"/>
    <n v="0.28361036639857018"/>
  </r>
  <r>
    <x v="175"/>
    <x v="7"/>
    <x v="2"/>
    <x v="1"/>
    <x v="0"/>
    <x v="158"/>
    <n v="764.3"/>
    <n v="0.18077105014191105"/>
  </r>
  <r>
    <x v="270"/>
    <x v="4"/>
    <x v="1"/>
    <x v="0"/>
    <x v="6"/>
    <x v="287"/>
    <n v="251.2"/>
    <n v="0.20258064516129032"/>
  </r>
  <r>
    <x v="271"/>
    <x v="8"/>
    <x v="1"/>
    <x v="0"/>
    <x v="5"/>
    <x v="288"/>
    <n v="342.18"/>
    <n v="9.528822055137845E-2"/>
  </r>
  <r>
    <x v="272"/>
    <x v="0"/>
    <x v="0"/>
    <x v="3"/>
    <x v="6"/>
    <x v="289"/>
    <n v="451.08"/>
    <n v="0.11413967611336032"/>
  </r>
  <r>
    <x v="230"/>
    <x v="8"/>
    <x v="1"/>
    <x v="2"/>
    <x v="7"/>
    <x v="290"/>
    <n v="1050.08"/>
    <n v="0.28785087719298241"/>
  </r>
  <r>
    <x v="131"/>
    <x v="6"/>
    <x v="1"/>
    <x v="0"/>
    <x v="2"/>
    <x v="291"/>
    <n v="768.74"/>
    <n v="0.19838451612903227"/>
  </r>
  <r>
    <x v="23"/>
    <x v="5"/>
    <x v="2"/>
    <x v="3"/>
    <x v="6"/>
    <x v="238"/>
    <n v="478.9"/>
    <n v="0.14019320843091335"/>
  </r>
  <r>
    <x v="273"/>
    <x v="2"/>
    <x v="2"/>
    <x v="3"/>
    <x v="4"/>
    <x v="292"/>
    <n v="222.58"/>
    <n v="0.24513215859030837"/>
  </r>
  <r>
    <x v="274"/>
    <x v="4"/>
    <x v="1"/>
    <x v="2"/>
    <x v="0"/>
    <x v="293"/>
    <n v="987.32"/>
    <n v="0.21785525154457194"/>
  </r>
  <r>
    <x v="275"/>
    <x v="4"/>
    <x v="1"/>
    <x v="1"/>
    <x v="0"/>
    <x v="294"/>
    <n v="650.15"/>
    <n v="0.15598608445297504"/>
  </r>
  <r>
    <x v="276"/>
    <x v="9"/>
    <x v="2"/>
    <x v="0"/>
    <x v="8"/>
    <x v="295"/>
    <n v="941.37"/>
    <n v="0.26569856054191365"/>
  </r>
  <r>
    <x v="277"/>
    <x v="9"/>
    <x v="2"/>
    <x v="1"/>
    <x v="7"/>
    <x v="296"/>
    <n v="1078.57"/>
    <n v="0.21049375487900077"/>
  </r>
  <r>
    <x v="278"/>
    <x v="5"/>
    <x v="2"/>
    <x v="2"/>
    <x v="5"/>
    <x v="297"/>
    <n v="1196.23"/>
    <n v="0.20800382542166579"/>
  </r>
  <r>
    <x v="279"/>
    <x v="3"/>
    <x v="2"/>
    <x v="1"/>
    <x v="3"/>
    <x v="298"/>
    <n v="139.63999999999999"/>
    <n v="0.22378205128205125"/>
  </r>
  <r>
    <x v="5"/>
    <x v="3"/>
    <x v="2"/>
    <x v="2"/>
    <x v="4"/>
    <x v="299"/>
    <n v="151.29"/>
    <n v="0.29781496062992124"/>
  </r>
  <r>
    <x v="280"/>
    <x v="4"/>
    <x v="1"/>
    <x v="2"/>
    <x v="0"/>
    <x v="276"/>
    <n v="914.6"/>
    <n v="0.19459574468085106"/>
  </r>
  <r>
    <x v="281"/>
    <x v="8"/>
    <x v="1"/>
    <x v="3"/>
    <x v="6"/>
    <x v="300"/>
    <n v="639.78"/>
    <n v="0.1989365671641791"/>
  </r>
  <r>
    <x v="160"/>
    <x v="9"/>
    <x v="2"/>
    <x v="3"/>
    <x v="7"/>
    <x v="301"/>
    <n v="581"/>
    <n v="0.20428973277074544"/>
  </r>
  <r>
    <x v="282"/>
    <x v="7"/>
    <x v="2"/>
    <x v="3"/>
    <x v="2"/>
    <x v="302"/>
    <n v="258.60000000000002"/>
    <n v="0.10842767295597486"/>
  </r>
  <r>
    <x v="283"/>
    <x v="6"/>
    <x v="1"/>
    <x v="2"/>
    <x v="6"/>
    <x v="303"/>
    <n v="170.05"/>
    <n v="0.18324353448275862"/>
  </r>
  <r>
    <x v="284"/>
    <x v="4"/>
    <x v="1"/>
    <x v="0"/>
    <x v="7"/>
    <x v="304"/>
    <n v="673.35"/>
    <n v="0.14461984536082476"/>
  </r>
  <r>
    <x v="46"/>
    <x v="4"/>
    <x v="1"/>
    <x v="0"/>
    <x v="3"/>
    <x v="305"/>
    <n v="21.46"/>
    <n v="6.5030303030303035E-2"/>
  </r>
  <r>
    <x v="285"/>
    <x v="3"/>
    <x v="2"/>
    <x v="0"/>
    <x v="1"/>
    <x v="306"/>
    <n v="274.11"/>
    <n v="0.15236798221234019"/>
  </r>
  <r>
    <x v="286"/>
    <x v="0"/>
    <x v="0"/>
    <x v="1"/>
    <x v="4"/>
    <x v="307"/>
    <n v="173.61"/>
    <n v="0.16871720116618077"/>
  </r>
  <r>
    <x v="287"/>
    <x v="4"/>
    <x v="1"/>
    <x v="0"/>
    <x v="6"/>
    <x v="308"/>
    <n v="1619.39"/>
    <n v="0.29812039764359355"/>
  </r>
  <r>
    <x v="235"/>
    <x v="3"/>
    <x v="2"/>
    <x v="3"/>
    <x v="2"/>
    <x v="309"/>
    <n v="1191.1099999999999"/>
    <n v="0.20589628349178909"/>
  </r>
  <r>
    <x v="288"/>
    <x v="0"/>
    <x v="0"/>
    <x v="0"/>
    <x v="4"/>
    <x v="310"/>
    <n v="272.42"/>
    <n v="0.25651600753295672"/>
  </r>
  <r>
    <x v="289"/>
    <x v="8"/>
    <x v="1"/>
    <x v="0"/>
    <x v="4"/>
    <x v="311"/>
    <n v="22.07"/>
    <n v="0.13539877300613498"/>
  </r>
  <r>
    <x v="290"/>
    <x v="7"/>
    <x v="2"/>
    <x v="3"/>
    <x v="5"/>
    <x v="312"/>
    <n v="1625.62"/>
    <n v="0.17743069198864875"/>
  </r>
  <r>
    <x v="291"/>
    <x v="0"/>
    <x v="0"/>
    <x v="1"/>
    <x v="0"/>
    <x v="313"/>
    <n v="130.24"/>
    <n v="9.0444444444444452E-2"/>
  </r>
  <r>
    <x v="160"/>
    <x v="6"/>
    <x v="1"/>
    <x v="2"/>
    <x v="2"/>
    <x v="314"/>
    <n v="149.62"/>
    <n v="0.1021296928327645"/>
  </r>
  <r>
    <x v="217"/>
    <x v="6"/>
    <x v="1"/>
    <x v="3"/>
    <x v="3"/>
    <x v="315"/>
    <n v="31.23"/>
    <n v="8.5327868852459021E-2"/>
  </r>
  <r>
    <x v="292"/>
    <x v="3"/>
    <x v="2"/>
    <x v="2"/>
    <x v="2"/>
    <x v="110"/>
    <n v="277.27999999999997"/>
    <n v="8.8446570972886759E-2"/>
  </r>
  <r>
    <x v="293"/>
    <x v="8"/>
    <x v="1"/>
    <x v="0"/>
    <x v="3"/>
    <x v="316"/>
    <n v="161.04"/>
    <n v="0.25561904761904758"/>
  </r>
  <r>
    <x v="294"/>
    <x v="6"/>
    <x v="1"/>
    <x v="2"/>
    <x v="4"/>
    <x v="317"/>
    <n v="42.94"/>
    <n v="0.20159624413145538"/>
  </r>
  <r>
    <x v="295"/>
    <x v="6"/>
    <x v="1"/>
    <x v="0"/>
    <x v="0"/>
    <x v="318"/>
    <n v="1092.8499999999999"/>
    <n v="0.28819883966244725"/>
  </r>
  <r>
    <x v="296"/>
    <x v="1"/>
    <x v="1"/>
    <x v="1"/>
    <x v="3"/>
    <x v="319"/>
    <n v="109.07"/>
    <n v="5.6454451345755691E-2"/>
  </r>
  <r>
    <x v="297"/>
    <x v="8"/>
    <x v="1"/>
    <x v="3"/>
    <x v="0"/>
    <x v="320"/>
    <n v="317.27999999999997"/>
    <n v="7.6416184971098255E-2"/>
  </r>
  <r>
    <x v="298"/>
    <x v="7"/>
    <x v="2"/>
    <x v="0"/>
    <x v="1"/>
    <x v="321"/>
    <n v="529.57000000000005"/>
    <n v="0.14661406423034332"/>
  </r>
  <r>
    <x v="299"/>
    <x v="7"/>
    <x v="2"/>
    <x v="1"/>
    <x v="3"/>
    <x v="322"/>
    <n v="280.76"/>
    <n v="0.12434012400354295"/>
  </r>
  <r>
    <x v="24"/>
    <x v="3"/>
    <x v="2"/>
    <x v="2"/>
    <x v="8"/>
    <x v="323"/>
    <n v="47.73"/>
    <n v="8.0353535353535344E-2"/>
  </r>
  <r>
    <x v="300"/>
    <x v="4"/>
    <x v="1"/>
    <x v="3"/>
    <x v="1"/>
    <x v="324"/>
    <n v="1799.06"/>
    <n v="0.22290422500309751"/>
  </r>
  <r>
    <x v="301"/>
    <x v="8"/>
    <x v="1"/>
    <x v="0"/>
    <x v="1"/>
    <x v="325"/>
    <n v="631.45000000000005"/>
    <n v="0.10816204179513533"/>
  </r>
  <r>
    <x v="302"/>
    <x v="8"/>
    <x v="1"/>
    <x v="0"/>
    <x v="0"/>
    <x v="326"/>
    <n v="181.31"/>
    <n v="0.26200867052023119"/>
  </r>
  <r>
    <x v="303"/>
    <x v="8"/>
    <x v="1"/>
    <x v="2"/>
    <x v="8"/>
    <x v="327"/>
    <n v="309.06"/>
    <n v="0.18137323943661973"/>
  </r>
  <r>
    <x v="304"/>
    <x v="0"/>
    <x v="0"/>
    <x v="2"/>
    <x v="2"/>
    <x v="328"/>
    <n v="941.24"/>
    <n v="0.29095517774343121"/>
  </r>
  <r>
    <x v="305"/>
    <x v="1"/>
    <x v="1"/>
    <x v="1"/>
    <x v="7"/>
    <x v="329"/>
    <n v="545.57000000000005"/>
    <n v="0.11495364517488413"/>
  </r>
  <r>
    <x v="306"/>
    <x v="5"/>
    <x v="2"/>
    <x v="2"/>
    <x v="6"/>
    <x v="330"/>
    <n v="788.88"/>
    <n v="0.1038"/>
  </r>
  <r>
    <x v="307"/>
    <x v="7"/>
    <x v="2"/>
    <x v="3"/>
    <x v="2"/>
    <x v="331"/>
    <n v="128.01"/>
    <n v="6.6155038759689921E-2"/>
  </r>
  <r>
    <x v="10"/>
    <x v="9"/>
    <x v="2"/>
    <x v="0"/>
    <x v="8"/>
    <x v="264"/>
    <n v="306.29000000000002"/>
    <n v="0.18699023199023201"/>
  </r>
  <r>
    <x v="308"/>
    <x v="8"/>
    <x v="1"/>
    <x v="3"/>
    <x v="1"/>
    <x v="329"/>
    <n v="816.6"/>
    <n v="0.17206068268015171"/>
  </r>
  <r>
    <x v="73"/>
    <x v="7"/>
    <x v="2"/>
    <x v="0"/>
    <x v="6"/>
    <x v="332"/>
    <n v="1187.93"/>
    <n v="0.24625414593698178"/>
  </r>
  <r>
    <x v="255"/>
    <x v="3"/>
    <x v="2"/>
    <x v="2"/>
    <x v="4"/>
    <x v="333"/>
    <n v="153.72"/>
    <n v="0.12885163453478626"/>
  </r>
  <r>
    <x v="309"/>
    <x v="9"/>
    <x v="2"/>
    <x v="1"/>
    <x v="3"/>
    <x v="334"/>
    <n v="92.94"/>
    <n v="0.16537366548042703"/>
  </r>
  <r>
    <x v="310"/>
    <x v="7"/>
    <x v="2"/>
    <x v="0"/>
    <x v="6"/>
    <x v="335"/>
    <n v="1296.8399999999999"/>
    <n v="0.20916774193548385"/>
  </r>
  <r>
    <x v="311"/>
    <x v="0"/>
    <x v="0"/>
    <x v="0"/>
    <x v="6"/>
    <x v="161"/>
    <n v="315.48"/>
    <n v="7.642441860465117E-2"/>
  </r>
  <r>
    <x v="312"/>
    <x v="0"/>
    <x v="0"/>
    <x v="1"/>
    <x v="2"/>
    <x v="336"/>
    <n v="326.56"/>
    <n v="6.0418131359851988E-2"/>
  </r>
  <r>
    <x v="177"/>
    <x v="9"/>
    <x v="2"/>
    <x v="0"/>
    <x v="8"/>
    <x v="337"/>
    <n v="104.66"/>
    <n v="7.6338439095550686E-2"/>
  </r>
  <r>
    <x v="313"/>
    <x v="8"/>
    <x v="1"/>
    <x v="3"/>
    <x v="2"/>
    <x v="338"/>
    <n v="194.33"/>
    <n v="0.13831316725978648"/>
  </r>
  <r>
    <x v="26"/>
    <x v="8"/>
    <x v="1"/>
    <x v="0"/>
    <x v="8"/>
    <x v="339"/>
    <n v="158.32"/>
    <n v="9.6301703163017033E-2"/>
  </r>
  <r>
    <x v="314"/>
    <x v="1"/>
    <x v="1"/>
    <x v="3"/>
    <x v="7"/>
    <x v="340"/>
    <n v="396.92"/>
    <n v="0.11626244874048038"/>
  </r>
  <r>
    <x v="315"/>
    <x v="9"/>
    <x v="2"/>
    <x v="1"/>
    <x v="6"/>
    <x v="341"/>
    <n v="674.57"/>
    <n v="0.20616442542787289"/>
  </r>
  <r>
    <x v="316"/>
    <x v="7"/>
    <x v="2"/>
    <x v="0"/>
    <x v="8"/>
    <x v="342"/>
    <n v="646.91"/>
    <n v="0.24365725047080977"/>
  </r>
  <r>
    <x v="282"/>
    <x v="5"/>
    <x v="2"/>
    <x v="3"/>
    <x v="1"/>
    <x v="343"/>
    <n v="458.32"/>
    <n v="0.27395098625224146"/>
  </r>
  <r>
    <x v="317"/>
    <x v="2"/>
    <x v="2"/>
    <x v="1"/>
    <x v="3"/>
    <x v="242"/>
    <n v="145.09"/>
    <n v="0.17150118203309694"/>
  </r>
  <r>
    <x v="318"/>
    <x v="7"/>
    <x v="2"/>
    <x v="1"/>
    <x v="4"/>
    <x v="344"/>
    <n v="196.64"/>
    <n v="0.19963451776649746"/>
  </r>
  <r>
    <x v="319"/>
    <x v="5"/>
    <x v="2"/>
    <x v="0"/>
    <x v="5"/>
    <x v="345"/>
    <n v="894.4"/>
    <n v="0.11844788769699377"/>
  </r>
  <r>
    <x v="89"/>
    <x v="2"/>
    <x v="2"/>
    <x v="0"/>
    <x v="2"/>
    <x v="346"/>
    <n v="217.16"/>
    <n v="0.25398830409356726"/>
  </r>
  <r>
    <x v="320"/>
    <x v="3"/>
    <x v="2"/>
    <x v="2"/>
    <x v="3"/>
    <x v="347"/>
    <n v="94.55"/>
    <n v="0.23876262626262626"/>
  </r>
  <r>
    <x v="108"/>
    <x v="2"/>
    <x v="2"/>
    <x v="3"/>
    <x v="6"/>
    <x v="348"/>
    <n v="560.48"/>
    <n v="0.24411149825783973"/>
  </r>
  <r>
    <x v="321"/>
    <x v="6"/>
    <x v="1"/>
    <x v="0"/>
    <x v="7"/>
    <x v="327"/>
    <n v="199.94"/>
    <n v="0.1173356807511737"/>
  </r>
  <r>
    <x v="322"/>
    <x v="7"/>
    <x v="2"/>
    <x v="1"/>
    <x v="3"/>
    <x v="349"/>
    <n v="261.16000000000003"/>
    <n v="0.2213220338983051"/>
  </r>
  <r>
    <x v="323"/>
    <x v="7"/>
    <x v="2"/>
    <x v="1"/>
    <x v="8"/>
    <x v="350"/>
    <n v="55.73"/>
    <n v="0.13559610705596106"/>
  </r>
  <r>
    <x v="260"/>
    <x v="1"/>
    <x v="1"/>
    <x v="1"/>
    <x v="4"/>
    <x v="351"/>
    <n v="151.22"/>
    <n v="0.20297986577181207"/>
  </r>
  <r>
    <x v="255"/>
    <x v="0"/>
    <x v="0"/>
    <x v="3"/>
    <x v="5"/>
    <x v="352"/>
    <n v="961.3"/>
    <n v="9.0212087087087084E-2"/>
  </r>
  <r>
    <x v="324"/>
    <x v="1"/>
    <x v="1"/>
    <x v="2"/>
    <x v="8"/>
    <x v="353"/>
    <n v="178.5"/>
    <n v="0.11947791164658635"/>
  </r>
  <r>
    <x v="325"/>
    <x v="3"/>
    <x v="2"/>
    <x v="2"/>
    <x v="2"/>
    <x v="354"/>
    <n v="358.01"/>
    <n v="0.20399430199430199"/>
  </r>
  <r>
    <x v="326"/>
    <x v="3"/>
    <x v="2"/>
    <x v="2"/>
    <x v="5"/>
    <x v="355"/>
    <n v="894.52"/>
    <n v="0.18104027524792551"/>
  </r>
  <r>
    <x v="327"/>
    <x v="5"/>
    <x v="2"/>
    <x v="0"/>
    <x v="7"/>
    <x v="356"/>
    <n v="1539.18"/>
    <n v="0.23643317972350231"/>
  </r>
  <r>
    <x v="328"/>
    <x v="7"/>
    <x v="2"/>
    <x v="2"/>
    <x v="2"/>
    <x v="357"/>
    <n v="719.92"/>
    <n v="0.13173284537968893"/>
  </r>
  <r>
    <x v="329"/>
    <x v="2"/>
    <x v="2"/>
    <x v="2"/>
    <x v="8"/>
    <x v="358"/>
    <n v="285.91000000000003"/>
    <n v="8.1178307779670653E-2"/>
  </r>
  <r>
    <x v="330"/>
    <x v="2"/>
    <x v="2"/>
    <x v="3"/>
    <x v="7"/>
    <x v="359"/>
    <n v="139.86000000000001"/>
    <n v="8.4456521739130444E-2"/>
  </r>
  <r>
    <x v="331"/>
    <x v="0"/>
    <x v="0"/>
    <x v="0"/>
    <x v="2"/>
    <x v="360"/>
    <n v="257.14999999999998"/>
    <n v="0.20490039840637447"/>
  </r>
  <r>
    <x v="174"/>
    <x v="8"/>
    <x v="1"/>
    <x v="1"/>
    <x v="4"/>
    <x v="112"/>
    <n v="320.13"/>
    <n v="0.26856543624161072"/>
  </r>
  <r>
    <x v="332"/>
    <x v="2"/>
    <x v="2"/>
    <x v="3"/>
    <x v="2"/>
    <x v="361"/>
    <n v="204.74"/>
    <n v="0.10635844155844157"/>
  </r>
  <r>
    <x v="333"/>
    <x v="2"/>
    <x v="2"/>
    <x v="3"/>
    <x v="6"/>
    <x v="362"/>
    <n v="337.33"/>
    <n v="0.19984004739336492"/>
  </r>
  <r>
    <x v="334"/>
    <x v="4"/>
    <x v="1"/>
    <x v="2"/>
    <x v="4"/>
    <x v="363"/>
    <n v="16.809999999999999"/>
    <n v="6.4653846153846145E-2"/>
  </r>
  <r>
    <x v="260"/>
    <x v="6"/>
    <x v="1"/>
    <x v="3"/>
    <x v="2"/>
    <x v="364"/>
    <n v="1250.6600000000001"/>
    <n v="0.25628278688524592"/>
  </r>
  <r>
    <x v="335"/>
    <x v="8"/>
    <x v="1"/>
    <x v="3"/>
    <x v="1"/>
    <x v="365"/>
    <n v="179.74"/>
    <n v="0.15850088183421518"/>
  </r>
  <r>
    <x v="42"/>
    <x v="9"/>
    <x v="2"/>
    <x v="0"/>
    <x v="5"/>
    <x v="366"/>
    <n v="1201.29"/>
    <n v="0.12486124103523542"/>
  </r>
  <r>
    <x v="268"/>
    <x v="6"/>
    <x v="1"/>
    <x v="2"/>
    <x v="0"/>
    <x v="367"/>
    <n v="698.83"/>
    <n v="0.24641396332863189"/>
  </r>
  <r>
    <x v="332"/>
    <x v="0"/>
    <x v="0"/>
    <x v="0"/>
    <x v="5"/>
    <x v="368"/>
    <n v="1153.8900000000001"/>
    <n v="0.19694316436251921"/>
  </r>
  <r>
    <x v="37"/>
    <x v="5"/>
    <x v="2"/>
    <x v="2"/>
    <x v="3"/>
    <x v="369"/>
    <n v="460.03"/>
    <n v="0.22506360078277884"/>
  </r>
  <r>
    <x v="336"/>
    <x v="6"/>
    <x v="1"/>
    <x v="2"/>
    <x v="4"/>
    <x v="114"/>
    <n v="174.52"/>
    <n v="0.28516339869281049"/>
  </r>
  <r>
    <x v="337"/>
    <x v="5"/>
    <x v="2"/>
    <x v="0"/>
    <x v="8"/>
    <x v="370"/>
    <n v="492.31"/>
    <n v="0.26048148148148148"/>
  </r>
  <r>
    <x v="338"/>
    <x v="5"/>
    <x v="2"/>
    <x v="1"/>
    <x v="2"/>
    <x v="220"/>
    <n v="168.82"/>
    <n v="8.3367901234567901E-2"/>
  </r>
  <r>
    <x v="339"/>
    <x v="0"/>
    <x v="0"/>
    <x v="2"/>
    <x v="3"/>
    <x v="371"/>
    <n v="312.06"/>
    <n v="0.15921428571428572"/>
  </r>
  <r>
    <x v="331"/>
    <x v="3"/>
    <x v="2"/>
    <x v="0"/>
    <x v="7"/>
    <x v="372"/>
    <n v="893.27"/>
    <n v="0.20255555555555554"/>
  </r>
  <r>
    <x v="340"/>
    <x v="8"/>
    <x v="1"/>
    <x v="3"/>
    <x v="6"/>
    <x v="373"/>
    <n v="2391.88"/>
    <n v="0.28915377176015478"/>
  </r>
  <r>
    <x v="11"/>
    <x v="5"/>
    <x v="2"/>
    <x v="3"/>
    <x v="7"/>
    <x v="20"/>
    <n v="638.29"/>
    <n v="0.11174544817927171"/>
  </r>
  <r>
    <x v="341"/>
    <x v="5"/>
    <x v="2"/>
    <x v="0"/>
    <x v="7"/>
    <x v="374"/>
    <n v="178.36"/>
    <n v="0.11703412073490814"/>
  </r>
  <r>
    <x v="342"/>
    <x v="8"/>
    <x v="1"/>
    <x v="0"/>
    <x v="6"/>
    <x v="375"/>
    <n v="1057.4100000000001"/>
    <n v="0.20492441860465119"/>
  </r>
  <r>
    <x v="343"/>
    <x v="1"/>
    <x v="1"/>
    <x v="1"/>
    <x v="0"/>
    <x v="376"/>
    <n v="451.6"/>
    <n v="0.15277401894451964"/>
  </r>
  <r>
    <x v="344"/>
    <x v="7"/>
    <x v="2"/>
    <x v="3"/>
    <x v="6"/>
    <x v="377"/>
    <n v="2257.73"/>
    <n v="0.28420568982880162"/>
  </r>
  <r>
    <x v="112"/>
    <x v="3"/>
    <x v="2"/>
    <x v="0"/>
    <x v="2"/>
    <x v="378"/>
    <n v="535.22"/>
    <n v="0.29488705234159779"/>
  </r>
  <r>
    <x v="88"/>
    <x v="4"/>
    <x v="1"/>
    <x v="0"/>
    <x v="8"/>
    <x v="379"/>
    <n v="546.97"/>
    <n v="0.20213229859571324"/>
  </r>
  <r>
    <x v="345"/>
    <x v="9"/>
    <x v="2"/>
    <x v="0"/>
    <x v="3"/>
    <x v="380"/>
    <n v="144.18"/>
    <n v="0.10632743362831859"/>
  </r>
  <r>
    <x v="346"/>
    <x v="0"/>
    <x v="0"/>
    <x v="2"/>
    <x v="7"/>
    <x v="381"/>
    <n v="1189.19"/>
    <n v="0.18627662907268172"/>
  </r>
  <r>
    <x v="347"/>
    <x v="5"/>
    <x v="2"/>
    <x v="2"/>
    <x v="5"/>
    <x v="382"/>
    <n v="964.12"/>
    <n v="0.22695856873822975"/>
  </r>
  <r>
    <x v="348"/>
    <x v="6"/>
    <x v="1"/>
    <x v="0"/>
    <x v="7"/>
    <x v="383"/>
    <n v="676.82"/>
    <n v="0.17117349519473951"/>
  </r>
  <r>
    <x v="265"/>
    <x v="7"/>
    <x v="2"/>
    <x v="2"/>
    <x v="7"/>
    <x v="384"/>
    <n v="739.6"/>
    <n v="0.10402250351617441"/>
  </r>
  <r>
    <x v="349"/>
    <x v="4"/>
    <x v="1"/>
    <x v="2"/>
    <x v="1"/>
    <x v="385"/>
    <n v="995.03"/>
    <n v="0.1226463700234192"/>
  </r>
  <r>
    <x v="350"/>
    <x v="4"/>
    <x v="1"/>
    <x v="0"/>
    <x v="8"/>
    <x v="386"/>
    <n v="183.62"/>
    <n v="0.10033879781420765"/>
  </r>
  <r>
    <x v="351"/>
    <x v="8"/>
    <x v="1"/>
    <x v="3"/>
    <x v="0"/>
    <x v="387"/>
    <n v="671.19"/>
    <n v="0.17984726688102895"/>
  </r>
  <r>
    <x v="352"/>
    <x v="1"/>
    <x v="1"/>
    <x v="3"/>
    <x v="7"/>
    <x v="388"/>
    <n v="1087.17"/>
    <n v="0.26764401772525853"/>
  </r>
  <r>
    <x v="353"/>
    <x v="5"/>
    <x v="2"/>
    <x v="0"/>
    <x v="4"/>
    <x v="389"/>
    <n v="93.31"/>
    <n v="0.18812500000000001"/>
  </r>
  <r>
    <x v="354"/>
    <x v="5"/>
    <x v="2"/>
    <x v="1"/>
    <x v="0"/>
    <x v="390"/>
    <n v="84.31"/>
    <n v="7.6367753623188414E-2"/>
  </r>
  <r>
    <x v="130"/>
    <x v="7"/>
    <x v="2"/>
    <x v="3"/>
    <x v="8"/>
    <x v="391"/>
    <n v="662"/>
    <n v="0.2911169744942832"/>
  </r>
  <r>
    <x v="355"/>
    <x v="5"/>
    <x v="2"/>
    <x v="0"/>
    <x v="6"/>
    <x v="392"/>
    <n v="1106.04"/>
    <n v="0.24821364452423697"/>
  </r>
  <r>
    <x v="356"/>
    <x v="1"/>
    <x v="1"/>
    <x v="3"/>
    <x v="6"/>
    <x v="393"/>
    <n v="1038.18"/>
    <n v="0.21066964285714287"/>
  </r>
  <r>
    <x v="357"/>
    <x v="7"/>
    <x v="2"/>
    <x v="0"/>
    <x v="0"/>
    <x v="394"/>
    <n v="224.79"/>
    <n v="0.12918965517241379"/>
  </r>
  <r>
    <x v="358"/>
    <x v="4"/>
    <x v="1"/>
    <x v="0"/>
    <x v="3"/>
    <x v="395"/>
    <n v="31.46"/>
    <n v="0.17674157303370788"/>
  </r>
  <r>
    <x v="359"/>
    <x v="0"/>
    <x v="0"/>
    <x v="1"/>
    <x v="6"/>
    <x v="396"/>
    <n v="1234.81"/>
    <n v="0.23315898791540784"/>
  </r>
  <r>
    <x v="360"/>
    <x v="1"/>
    <x v="1"/>
    <x v="0"/>
    <x v="0"/>
    <x v="397"/>
    <n v="847.09"/>
    <n v="0.20382338787295476"/>
  </r>
  <r>
    <x v="62"/>
    <x v="0"/>
    <x v="0"/>
    <x v="0"/>
    <x v="4"/>
    <x v="298"/>
    <n v="106.92"/>
    <n v="0.17134615384615384"/>
  </r>
  <r>
    <x v="29"/>
    <x v="7"/>
    <x v="2"/>
    <x v="3"/>
    <x v="0"/>
    <x v="398"/>
    <n v="1052.72"/>
    <n v="0.2704830421377184"/>
  </r>
  <r>
    <x v="361"/>
    <x v="1"/>
    <x v="1"/>
    <x v="2"/>
    <x v="5"/>
    <x v="399"/>
    <n v="294.60000000000002"/>
    <n v="0.18185185185185188"/>
  </r>
  <r>
    <x v="362"/>
    <x v="1"/>
    <x v="1"/>
    <x v="3"/>
    <x v="8"/>
    <x v="400"/>
    <n v="301.97000000000003"/>
    <n v="0.13420888888888891"/>
  </r>
  <r>
    <x v="363"/>
    <x v="6"/>
    <x v="1"/>
    <x v="3"/>
    <x v="3"/>
    <x v="401"/>
    <n v="316.31"/>
    <n v="0.22756115107913669"/>
  </r>
  <r>
    <x v="364"/>
    <x v="3"/>
    <x v="2"/>
    <x v="2"/>
    <x v="2"/>
    <x v="402"/>
    <n v="1325.16"/>
    <n v="0.25706304558680892"/>
  </r>
  <r>
    <x v="24"/>
    <x v="5"/>
    <x v="2"/>
    <x v="0"/>
    <x v="2"/>
    <x v="403"/>
    <n v="262.91000000000003"/>
    <n v="0.25649756097560977"/>
  </r>
  <r>
    <x v="363"/>
    <x v="1"/>
    <x v="1"/>
    <x v="2"/>
    <x v="8"/>
    <x v="404"/>
    <n v="244.52"/>
    <n v="0.1369859943977591"/>
  </r>
  <r>
    <x v="365"/>
    <x v="5"/>
    <x v="2"/>
    <x v="0"/>
    <x v="5"/>
    <x v="405"/>
    <n v="605.85"/>
    <n v="0.20523373983739837"/>
  </r>
  <r>
    <x v="366"/>
    <x v="4"/>
    <x v="1"/>
    <x v="1"/>
    <x v="4"/>
    <x v="406"/>
    <n v="181.52"/>
    <n v="0.23482535575679173"/>
  </r>
  <r>
    <x v="367"/>
    <x v="2"/>
    <x v="2"/>
    <x v="0"/>
    <x v="6"/>
    <x v="78"/>
    <n v="361.48"/>
    <n v="0.22041463414634146"/>
  </r>
  <r>
    <x v="368"/>
    <x v="8"/>
    <x v="1"/>
    <x v="1"/>
    <x v="4"/>
    <x v="407"/>
    <n v="69.33"/>
    <n v="6.8171091445427726E-2"/>
  </r>
  <r>
    <x v="369"/>
    <x v="4"/>
    <x v="1"/>
    <x v="1"/>
    <x v="0"/>
    <x v="408"/>
    <n v="349.91"/>
    <n v="0.17816191446028515"/>
  </r>
  <r>
    <x v="246"/>
    <x v="1"/>
    <x v="1"/>
    <x v="0"/>
    <x v="8"/>
    <x v="409"/>
    <n v="638.59"/>
    <n v="0.21328991315965265"/>
  </r>
  <r>
    <x v="370"/>
    <x v="0"/>
    <x v="0"/>
    <x v="1"/>
    <x v="5"/>
    <x v="410"/>
    <n v="2210.33"/>
    <n v="0.2747116579666915"/>
  </r>
  <r>
    <x v="371"/>
    <x v="0"/>
    <x v="0"/>
    <x v="3"/>
    <x v="3"/>
    <x v="411"/>
    <n v="271.5"/>
    <n v="0.14487726787620064"/>
  </r>
  <r>
    <x v="372"/>
    <x v="1"/>
    <x v="1"/>
    <x v="0"/>
    <x v="6"/>
    <x v="412"/>
    <n v="871.76"/>
    <n v="0.14509986684420773"/>
  </r>
  <r>
    <x v="284"/>
    <x v="3"/>
    <x v="2"/>
    <x v="1"/>
    <x v="6"/>
    <x v="413"/>
    <n v="411.19"/>
    <n v="5.6794198895027626E-2"/>
  </r>
  <r>
    <x v="373"/>
    <x v="6"/>
    <x v="1"/>
    <x v="2"/>
    <x v="5"/>
    <x v="414"/>
    <n v="348.31"/>
    <n v="0.29319023569023567"/>
  </r>
  <r>
    <x v="302"/>
    <x v="4"/>
    <x v="1"/>
    <x v="0"/>
    <x v="5"/>
    <x v="415"/>
    <n v="163.34"/>
    <n v="5.4501167834501166E-2"/>
  </r>
  <r>
    <x v="374"/>
    <x v="0"/>
    <x v="0"/>
    <x v="3"/>
    <x v="5"/>
    <x v="416"/>
    <n v="2017.85"/>
    <n v="0.26818846358320042"/>
  </r>
  <r>
    <x v="375"/>
    <x v="6"/>
    <x v="1"/>
    <x v="0"/>
    <x v="2"/>
    <x v="417"/>
    <n v="268.73"/>
    <n v="7.4132413793103452E-2"/>
  </r>
  <r>
    <x v="376"/>
    <x v="9"/>
    <x v="2"/>
    <x v="1"/>
    <x v="6"/>
    <x v="418"/>
    <n v="871.2"/>
    <n v="0.12531645569620253"/>
  </r>
  <r>
    <x v="377"/>
    <x v="3"/>
    <x v="2"/>
    <x v="0"/>
    <x v="5"/>
    <x v="419"/>
    <n v="283.58"/>
    <n v="0.26930674264007598"/>
  </r>
  <r>
    <x v="378"/>
    <x v="6"/>
    <x v="1"/>
    <x v="0"/>
    <x v="5"/>
    <x v="420"/>
    <n v="1224.22"/>
    <n v="0.18282855436081244"/>
  </r>
  <r>
    <x v="62"/>
    <x v="4"/>
    <x v="1"/>
    <x v="0"/>
    <x v="3"/>
    <x v="421"/>
    <n v="93.59"/>
    <n v="6.5908450704225352E-2"/>
  </r>
  <r>
    <x v="379"/>
    <x v="3"/>
    <x v="2"/>
    <x v="3"/>
    <x v="5"/>
    <x v="422"/>
    <n v="2566.0100000000002"/>
    <n v="0.2573215002005616"/>
  </r>
  <r>
    <x v="380"/>
    <x v="9"/>
    <x v="2"/>
    <x v="2"/>
    <x v="6"/>
    <x v="423"/>
    <n v="494.26"/>
    <n v="0.15760841836734693"/>
  </r>
  <r>
    <x v="291"/>
    <x v="3"/>
    <x v="2"/>
    <x v="3"/>
    <x v="8"/>
    <x v="424"/>
    <n v="20.52"/>
    <n v="9.1200000000000003E-2"/>
  </r>
  <r>
    <x v="381"/>
    <x v="1"/>
    <x v="1"/>
    <x v="1"/>
    <x v="8"/>
    <x v="425"/>
    <n v="375.04"/>
    <n v="0.22565583634175693"/>
  </r>
  <r>
    <x v="51"/>
    <x v="0"/>
    <x v="0"/>
    <x v="3"/>
    <x v="0"/>
    <x v="426"/>
    <n v="85.96"/>
    <n v="0.17191999999999999"/>
  </r>
  <r>
    <x v="382"/>
    <x v="7"/>
    <x v="2"/>
    <x v="0"/>
    <x v="6"/>
    <x v="427"/>
    <n v="747.33"/>
    <n v="0.23589962121212121"/>
  </r>
  <r>
    <x v="383"/>
    <x v="7"/>
    <x v="2"/>
    <x v="1"/>
    <x v="4"/>
    <x v="428"/>
    <n v="104.57"/>
    <n v="0.16811897106109325"/>
  </r>
  <r>
    <x v="384"/>
    <x v="2"/>
    <x v="2"/>
    <x v="0"/>
    <x v="8"/>
    <x v="429"/>
    <n v="361.12"/>
    <n v="0.2928791565287916"/>
  </r>
  <r>
    <x v="385"/>
    <x v="9"/>
    <x v="2"/>
    <x v="3"/>
    <x v="8"/>
    <x v="430"/>
    <n v="116.14"/>
    <n v="0.20268760907504363"/>
  </r>
  <r>
    <x v="337"/>
    <x v="2"/>
    <x v="2"/>
    <x v="2"/>
    <x v="4"/>
    <x v="431"/>
    <n v="129.34"/>
    <n v="0.18424501424501424"/>
  </r>
  <r>
    <x v="146"/>
    <x v="9"/>
    <x v="2"/>
    <x v="2"/>
    <x v="6"/>
    <x v="432"/>
    <n v="1261.06"/>
    <n v="0.26098096026490064"/>
  </r>
  <r>
    <x v="386"/>
    <x v="0"/>
    <x v="0"/>
    <x v="0"/>
    <x v="2"/>
    <x v="433"/>
    <n v="670.8"/>
    <n v="0.17816733067729082"/>
  </r>
  <r>
    <x v="387"/>
    <x v="3"/>
    <x v="2"/>
    <x v="0"/>
    <x v="6"/>
    <x v="434"/>
    <n v="1415.16"/>
    <n v="0.20426674364896075"/>
  </r>
  <r>
    <x v="73"/>
    <x v="4"/>
    <x v="1"/>
    <x v="3"/>
    <x v="1"/>
    <x v="435"/>
    <n v="436.13"/>
    <n v="0.26855295566502463"/>
  </r>
  <r>
    <x v="90"/>
    <x v="4"/>
    <x v="1"/>
    <x v="0"/>
    <x v="4"/>
    <x v="436"/>
    <n v="10.39"/>
    <n v="0.15279411764705883"/>
  </r>
  <r>
    <x v="388"/>
    <x v="1"/>
    <x v="1"/>
    <x v="0"/>
    <x v="4"/>
    <x v="437"/>
    <n v="187.99"/>
    <n v="0.28877112135176652"/>
  </r>
  <r>
    <x v="389"/>
    <x v="0"/>
    <x v="0"/>
    <x v="0"/>
    <x v="1"/>
    <x v="438"/>
    <n v="718.49"/>
    <n v="0.11417289051326872"/>
  </r>
  <r>
    <x v="390"/>
    <x v="8"/>
    <x v="1"/>
    <x v="3"/>
    <x v="3"/>
    <x v="439"/>
    <n v="85.71"/>
    <n v="8.0252808988764038E-2"/>
  </r>
  <r>
    <x v="391"/>
    <x v="8"/>
    <x v="1"/>
    <x v="0"/>
    <x v="4"/>
    <x v="440"/>
    <n v="26.69"/>
    <n v="7.0052493438320207E-2"/>
  </r>
  <r>
    <x v="155"/>
    <x v="0"/>
    <x v="0"/>
    <x v="2"/>
    <x v="3"/>
    <x v="441"/>
    <n v="426.43"/>
    <n v="0.21152281746031745"/>
  </r>
  <r>
    <x v="392"/>
    <x v="4"/>
    <x v="1"/>
    <x v="3"/>
    <x v="3"/>
    <x v="39"/>
    <n v="340.67"/>
    <n v="0.27832516339869284"/>
  </r>
  <r>
    <x v="139"/>
    <x v="6"/>
    <x v="1"/>
    <x v="2"/>
    <x v="2"/>
    <x v="442"/>
    <n v="400.01"/>
    <n v="0.1834908256880734"/>
  </r>
  <r>
    <x v="393"/>
    <x v="9"/>
    <x v="2"/>
    <x v="0"/>
    <x v="5"/>
    <x v="443"/>
    <n v="353.09"/>
    <n v="0.12376095338240448"/>
  </r>
  <r>
    <x v="394"/>
    <x v="1"/>
    <x v="1"/>
    <x v="2"/>
    <x v="4"/>
    <x v="444"/>
    <n v="45.33"/>
    <n v="0.16665441176470588"/>
  </r>
  <r>
    <x v="281"/>
    <x v="7"/>
    <x v="2"/>
    <x v="0"/>
    <x v="0"/>
    <x v="116"/>
    <n v="183.23"/>
    <n v="6.9405303030303026E-2"/>
  </r>
  <r>
    <x v="395"/>
    <x v="6"/>
    <x v="1"/>
    <x v="0"/>
    <x v="3"/>
    <x v="445"/>
    <n v="129.02000000000001"/>
    <n v="0.26438524590163937"/>
  </r>
  <r>
    <x v="396"/>
    <x v="0"/>
    <x v="0"/>
    <x v="2"/>
    <x v="6"/>
    <x v="446"/>
    <n v="1795.93"/>
    <n v="0.1955498693379791"/>
  </r>
  <r>
    <x v="294"/>
    <x v="2"/>
    <x v="2"/>
    <x v="0"/>
    <x v="2"/>
    <x v="447"/>
    <n v="23.98"/>
    <n v="8.5642857142857146E-2"/>
  </r>
  <r>
    <x v="141"/>
    <x v="8"/>
    <x v="1"/>
    <x v="1"/>
    <x v="8"/>
    <x v="448"/>
    <n v="604.45000000000005"/>
    <n v="0.20922464520595363"/>
  </r>
  <r>
    <x v="361"/>
    <x v="9"/>
    <x v="2"/>
    <x v="3"/>
    <x v="4"/>
    <x v="449"/>
    <n v="125.9"/>
    <n v="0.20144000000000001"/>
  </r>
  <r>
    <x v="397"/>
    <x v="8"/>
    <x v="1"/>
    <x v="2"/>
    <x v="6"/>
    <x v="244"/>
    <n v="538.48"/>
    <n v="7.6315192743764179E-2"/>
  </r>
  <r>
    <x v="398"/>
    <x v="2"/>
    <x v="2"/>
    <x v="3"/>
    <x v="6"/>
    <x v="450"/>
    <n v="720.2"/>
    <n v="0.18297764227642277"/>
  </r>
  <r>
    <x v="399"/>
    <x v="5"/>
    <x v="2"/>
    <x v="1"/>
    <x v="7"/>
    <x v="451"/>
    <n v="363.38"/>
    <n v="0.14699838187702266"/>
  </r>
  <r>
    <x v="206"/>
    <x v="1"/>
    <x v="1"/>
    <x v="3"/>
    <x v="2"/>
    <x v="346"/>
    <n v="67.569999999999993"/>
    <n v="7.9029239766081866E-2"/>
  </r>
  <r>
    <x v="400"/>
    <x v="1"/>
    <x v="1"/>
    <x v="3"/>
    <x v="8"/>
    <x v="452"/>
    <n v="560.39"/>
    <n v="0.1610316091954023"/>
  </r>
  <r>
    <x v="401"/>
    <x v="3"/>
    <x v="2"/>
    <x v="2"/>
    <x v="4"/>
    <x v="242"/>
    <n v="103.3"/>
    <n v="0.12210401891252955"/>
  </r>
  <r>
    <x v="402"/>
    <x v="8"/>
    <x v="1"/>
    <x v="0"/>
    <x v="4"/>
    <x v="453"/>
    <n v="46.24"/>
    <n v="0.2926582278481013"/>
  </r>
  <r>
    <x v="403"/>
    <x v="1"/>
    <x v="1"/>
    <x v="2"/>
    <x v="5"/>
    <x v="454"/>
    <n v="583.24"/>
    <n v="0.18306340238543628"/>
  </r>
  <r>
    <x v="69"/>
    <x v="1"/>
    <x v="1"/>
    <x v="0"/>
    <x v="1"/>
    <x v="455"/>
    <n v="969.43"/>
    <n v="0.1390461847389558"/>
  </r>
  <r>
    <x v="404"/>
    <x v="1"/>
    <x v="1"/>
    <x v="1"/>
    <x v="2"/>
    <x v="456"/>
    <n v="449.64"/>
    <n v="0.25767335243553008"/>
  </r>
  <r>
    <x v="405"/>
    <x v="9"/>
    <x v="2"/>
    <x v="1"/>
    <x v="6"/>
    <x v="457"/>
    <n v="372.95"/>
    <n v="8.7629229323308272E-2"/>
  </r>
  <r>
    <x v="406"/>
    <x v="8"/>
    <x v="1"/>
    <x v="2"/>
    <x v="8"/>
    <x v="458"/>
    <n v="499.63"/>
    <n v="0.29846475507765829"/>
  </r>
  <r>
    <x v="407"/>
    <x v="3"/>
    <x v="2"/>
    <x v="0"/>
    <x v="6"/>
    <x v="459"/>
    <n v="1072.8599999999999"/>
    <n v="0.16536066584463624"/>
  </r>
  <r>
    <x v="408"/>
    <x v="2"/>
    <x v="2"/>
    <x v="1"/>
    <x v="2"/>
    <x v="460"/>
    <n v="803.86"/>
    <n v="0.22772237960339944"/>
  </r>
  <r>
    <x v="52"/>
    <x v="1"/>
    <x v="1"/>
    <x v="0"/>
    <x v="3"/>
    <x v="461"/>
    <n v="87.45"/>
    <n v="0.13837025316455698"/>
  </r>
  <r>
    <x v="329"/>
    <x v="6"/>
    <x v="1"/>
    <x v="0"/>
    <x v="1"/>
    <x v="462"/>
    <n v="236.8"/>
    <n v="6.4435374149659871E-2"/>
  </r>
  <r>
    <x v="250"/>
    <x v="5"/>
    <x v="2"/>
    <x v="3"/>
    <x v="7"/>
    <x v="99"/>
    <n v="926.42"/>
    <n v="0.16566881258941343"/>
  </r>
  <r>
    <x v="17"/>
    <x v="8"/>
    <x v="1"/>
    <x v="1"/>
    <x v="7"/>
    <x v="463"/>
    <n v="807.94"/>
    <n v="0.12561256218905473"/>
  </r>
  <r>
    <x v="409"/>
    <x v="3"/>
    <x v="2"/>
    <x v="1"/>
    <x v="8"/>
    <x v="464"/>
    <n v="503.3"/>
    <n v="0.16399478657543173"/>
  </r>
  <r>
    <x v="251"/>
    <x v="8"/>
    <x v="1"/>
    <x v="0"/>
    <x v="1"/>
    <x v="465"/>
    <n v="490.11"/>
    <n v="0.16912008281573498"/>
  </r>
  <r>
    <x v="410"/>
    <x v="2"/>
    <x v="2"/>
    <x v="0"/>
    <x v="0"/>
    <x v="466"/>
    <n v="632.76"/>
    <n v="0.15978787878787878"/>
  </r>
  <r>
    <x v="363"/>
    <x v="2"/>
    <x v="2"/>
    <x v="2"/>
    <x v="8"/>
    <x v="467"/>
    <n v="85.16"/>
    <n v="5.7696476964769643E-2"/>
  </r>
  <r>
    <x v="411"/>
    <x v="0"/>
    <x v="0"/>
    <x v="1"/>
    <x v="3"/>
    <x v="269"/>
    <n v="298.69"/>
    <n v="0.28231568998109641"/>
  </r>
  <r>
    <x v="412"/>
    <x v="6"/>
    <x v="1"/>
    <x v="2"/>
    <x v="2"/>
    <x v="468"/>
    <n v="162.02000000000001"/>
    <n v="0.13334979423868312"/>
  </r>
  <r>
    <x v="117"/>
    <x v="3"/>
    <x v="2"/>
    <x v="0"/>
    <x v="8"/>
    <x v="469"/>
    <n v="20.43"/>
    <n v="0.10014705882352941"/>
  </r>
  <r>
    <x v="413"/>
    <x v="2"/>
    <x v="2"/>
    <x v="3"/>
    <x v="1"/>
    <x v="470"/>
    <n v="221.66"/>
    <n v="5.3579888808315206E-2"/>
  </r>
  <r>
    <x v="414"/>
    <x v="3"/>
    <x v="2"/>
    <x v="3"/>
    <x v="2"/>
    <x v="471"/>
    <n v="16.809999999999999"/>
    <n v="6.7239999999999994E-2"/>
  </r>
  <r>
    <x v="415"/>
    <x v="2"/>
    <x v="2"/>
    <x v="3"/>
    <x v="2"/>
    <x v="472"/>
    <n v="254.34"/>
    <n v="0.21463291139240506"/>
  </r>
  <r>
    <x v="416"/>
    <x v="4"/>
    <x v="1"/>
    <x v="2"/>
    <x v="3"/>
    <x v="473"/>
    <n v="108.52"/>
    <n v="7.215425531914893E-2"/>
  </r>
  <r>
    <x v="168"/>
    <x v="8"/>
    <x v="1"/>
    <x v="3"/>
    <x v="7"/>
    <x v="474"/>
    <n v="945.07"/>
    <n v="0.13720528455284553"/>
  </r>
  <r>
    <x v="366"/>
    <x v="7"/>
    <x v="2"/>
    <x v="3"/>
    <x v="8"/>
    <x v="475"/>
    <n v="958.84"/>
    <n v="0.26723522853957637"/>
  </r>
  <r>
    <x v="417"/>
    <x v="9"/>
    <x v="2"/>
    <x v="2"/>
    <x v="1"/>
    <x v="476"/>
    <n v="367.22"/>
    <n v="0.24862559241706164"/>
  </r>
  <r>
    <x v="418"/>
    <x v="5"/>
    <x v="2"/>
    <x v="1"/>
    <x v="6"/>
    <x v="477"/>
    <n v="131.56"/>
    <n v="0.10278125"/>
  </r>
  <r>
    <x v="419"/>
    <x v="2"/>
    <x v="2"/>
    <x v="2"/>
    <x v="1"/>
    <x v="478"/>
    <n v="630.76"/>
    <n v="8.8082670018153883E-2"/>
  </r>
  <r>
    <x v="420"/>
    <x v="0"/>
    <x v="0"/>
    <x v="0"/>
    <x v="2"/>
    <x v="479"/>
    <n v="346.4"/>
    <n v="0.18724324324324323"/>
  </r>
  <r>
    <x v="18"/>
    <x v="1"/>
    <x v="1"/>
    <x v="1"/>
    <x v="8"/>
    <x v="480"/>
    <n v="520.30999999999995"/>
    <n v="0.15402901124925991"/>
  </r>
  <r>
    <x v="421"/>
    <x v="9"/>
    <x v="2"/>
    <x v="3"/>
    <x v="1"/>
    <x v="481"/>
    <n v="2046.38"/>
    <n v="0.26673357664233577"/>
  </r>
  <r>
    <x v="327"/>
    <x v="2"/>
    <x v="2"/>
    <x v="2"/>
    <x v="7"/>
    <x v="482"/>
    <n v="938.66"/>
    <n v="0.2206535025858016"/>
  </r>
  <r>
    <x v="422"/>
    <x v="8"/>
    <x v="1"/>
    <x v="1"/>
    <x v="2"/>
    <x v="483"/>
    <n v="279.89999999999998"/>
    <n v="0.12249452954048139"/>
  </r>
  <r>
    <x v="423"/>
    <x v="8"/>
    <x v="1"/>
    <x v="3"/>
    <x v="1"/>
    <x v="484"/>
    <n v="680.6"/>
    <n v="0.11785281385281386"/>
  </r>
  <r>
    <x v="30"/>
    <x v="7"/>
    <x v="2"/>
    <x v="0"/>
    <x v="5"/>
    <x v="485"/>
    <n v="910.35"/>
    <n v="9.7259615384615389E-2"/>
  </r>
  <r>
    <x v="297"/>
    <x v="0"/>
    <x v="0"/>
    <x v="0"/>
    <x v="6"/>
    <x v="486"/>
    <n v="1156.52"/>
    <n v="0.16674163783160323"/>
  </r>
  <r>
    <x v="190"/>
    <x v="3"/>
    <x v="2"/>
    <x v="1"/>
    <x v="5"/>
    <x v="487"/>
    <n v="464.71"/>
    <n v="8.2483138090166844E-2"/>
  </r>
  <r>
    <x v="181"/>
    <x v="7"/>
    <x v="2"/>
    <x v="0"/>
    <x v="0"/>
    <x v="488"/>
    <n v="731.86"/>
    <n v="0.27680030257186083"/>
  </r>
  <r>
    <x v="424"/>
    <x v="4"/>
    <x v="1"/>
    <x v="0"/>
    <x v="4"/>
    <x v="489"/>
    <n v="35.65"/>
    <n v="0.144331983805668"/>
  </r>
  <r>
    <x v="425"/>
    <x v="9"/>
    <x v="2"/>
    <x v="1"/>
    <x v="1"/>
    <x v="490"/>
    <n v="357.27"/>
    <n v="0.19115569823434991"/>
  </r>
  <r>
    <x v="426"/>
    <x v="5"/>
    <x v="2"/>
    <x v="3"/>
    <x v="1"/>
    <x v="491"/>
    <n v="430.59"/>
    <n v="0.21659456740442654"/>
  </r>
  <r>
    <x v="427"/>
    <x v="9"/>
    <x v="2"/>
    <x v="3"/>
    <x v="0"/>
    <x v="492"/>
    <n v="549.11"/>
    <n v="0.28599479166666669"/>
  </r>
  <r>
    <x v="229"/>
    <x v="4"/>
    <x v="1"/>
    <x v="3"/>
    <x v="8"/>
    <x v="493"/>
    <n v="196.37"/>
    <n v="7.6201008925106714E-2"/>
  </r>
  <r>
    <x v="428"/>
    <x v="3"/>
    <x v="2"/>
    <x v="1"/>
    <x v="8"/>
    <x v="494"/>
    <n v="117.95"/>
    <n v="0.14245169082125606"/>
  </r>
  <r>
    <x v="429"/>
    <x v="3"/>
    <x v="2"/>
    <x v="2"/>
    <x v="3"/>
    <x v="495"/>
    <n v="403.76"/>
    <n v="0.25554430379746834"/>
  </r>
  <r>
    <x v="280"/>
    <x v="3"/>
    <x v="2"/>
    <x v="1"/>
    <x v="5"/>
    <x v="496"/>
    <n v="1909.26"/>
    <n v="0.21192807192807192"/>
  </r>
  <r>
    <x v="430"/>
    <x v="7"/>
    <x v="2"/>
    <x v="1"/>
    <x v="5"/>
    <x v="497"/>
    <n v="1580.86"/>
    <n v="0.21291043771043769"/>
  </r>
  <r>
    <x v="413"/>
    <x v="6"/>
    <x v="1"/>
    <x v="3"/>
    <x v="2"/>
    <x v="498"/>
    <n v="672.35"/>
    <n v="0.22830220713073004"/>
  </r>
  <r>
    <x v="431"/>
    <x v="1"/>
    <x v="1"/>
    <x v="3"/>
    <x v="8"/>
    <x v="499"/>
    <n v="22.9"/>
    <n v="7.7891156462585029E-2"/>
  </r>
  <r>
    <x v="432"/>
    <x v="1"/>
    <x v="1"/>
    <x v="2"/>
    <x v="2"/>
    <x v="500"/>
    <n v="789.23"/>
    <n v="0.13433702127659575"/>
  </r>
  <r>
    <x v="47"/>
    <x v="5"/>
    <x v="2"/>
    <x v="3"/>
    <x v="8"/>
    <x v="501"/>
    <n v="197.6"/>
    <n v="0.1510703363914373"/>
  </r>
  <r>
    <x v="433"/>
    <x v="6"/>
    <x v="1"/>
    <x v="2"/>
    <x v="0"/>
    <x v="502"/>
    <n v="391.82"/>
    <n v="0.16602542372881354"/>
  </r>
  <r>
    <x v="434"/>
    <x v="5"/>
    <x v="2"/>
    <x v="3"/>
    <x v="7"/>
    <x v="503"/>
    <n v="245.45"/>
    <n v="0.24350198412698412"/>
  </r>
  <r>
    <x v="435"/>
    <x v="5"/>
    <x v="2"/>
    <x v="0"/>
    <x v="7"/>
    <x v="279"/>
    <n v="338.4"/>
    <n v="0.25178571428571428"/>
  </r>
  <r>
    <x v="187"/>
    <x v="0"/>
    <x v="0"/>
    <x v="3"/>
    <x v="1"/>
    <x v="504"/>
    <n v="1185.97"/>
    <n v="0.21046495119787045"/>
  </r>
  <r>
    <x v="124"/>
    <x v="1"/>
    <x v="1"/>
    <x v="1"/>
    <x v="0"/>
    <x v="505"/>
    <n v="1200.03"/>
    <n v="0.29354941291585124"/>
  </r>
  <r>
    <x v="436"/>
    <x v="3"/>
    <x v="2"/>
    <x v="2"/>
    <x v="6"/>
    <x v="506"/>
    <n v="441.77"/>
    <n v="0.20153740875912407"/>
  </r>
  <r>
    <x v="437"/>
    <x v="8"/>
    <x v="1"/>
    <x v="2"/>
    <x v="6"/>
    <x v="507"/>
    <n v="444.15"/>
    <n v="0.22753586065573769"/>
  </r>
  <r>
    <x v="438"/>
    <x v="7"/>
    <x v="2"/>
    <x v="1"/>
    <x v="1"/>
    <x v="508"/>
    <n v="1144.76"/>
    <n v="0.28944627054361566"/>
  </r>
  <r>
    <x v="96"/>
    <x v="1"/>
    <x v="1"/>
    <x v="2"/>
    <x v="6"/>
    <x v="509"/>
    <n v="1118.1600000000001"/>
    <n v="0.21273972602739727"/>
  </r>
  <r>
    <x v="439"/>
    <x v="3"/>
    <x v="2"/>
    <x v="0"/>
    <x v="4"/>
    <x v="510"/>
    <n v="115.09"/>
    <n v="9.8959587274290634E-2"/>
  </r>
  <r>
    <x v="440"/>
    <x v="5"/>
    <x v="2"/>
    <x v="0"/>
    <x v="5"/>
    <x v="511"/>
    <n v="973.65"/>
    <n v="0.19457434052757794"/>
  </r>
  <r>
    <x v="441"/>
    <x v="1"/>
    <x v="1"/>
    <x v="0"/>
    <x v="6"/>
    <x v="512"/>
    <n v="1342.19"/>
    <n v="0.14704097283085013"/>
  </r>
  <r>
    <x v="442"/>
    <x v="9"/>
    <x v="2"/>
    <x v="1"/>
    <x v="0"/>
    <x v="276"/>
    <n v="576.34"/>
    <n v="0.12262553191489363"/>
  </r>
  <r>
    <x v="443"/>
    <x v="3"/>
    <x v="2"/>
    <x v="3"/>
    <x v="3"/>
    <x v="513"/>
    <n v="146.38999999999999"/>
    <n v="8.6826809015421114E-2"/>
  </r>
  <r>
    <x v="444"/>
    <x v="8"/>
    <x v="1"/>
    <x v="2"/>
    <x v="5"/>
    <x v="88"/>
    <n v="279.54000000000002"/>
    <n v="6.1141732283464569E-2"/>
  </r>
  <r>
    <x v="445"/>
    <x v="7"/>
    <x v="2"/>
    <x v="2"/>
    <x v="2"/>
    <x v="514"/>
    <n v="515.12"/>
    <n v="0.20522709163346614"/>
  </r>
  <r>
    <x v="388"/>
    <x v="7"/>
    <x v="2"/>
    <x v="3"/>
    <x v="8"/>
    <x v="515"/>
    <n v="829.09"/>
    <n v="0.26598973371831891"/>
  </r>
  <r>
    <x v="446"/>
    <x v="9"/>
    <x v="2"/>
    <x v="3"/>
    <x v="4"/>
    <x v="516"/>
    <n v="94.35"/>
    <n v="0.2482894736842105"/>
  </r>
  <r>
    <x v="63"/>
    <x v="6"/>
    <x v="1"/>
    <x v="3"/>
    <x v="5"/>
    <x v="448"/>
    <n v="604.19000000000005"/>
    <n v="0.20913464866735898"/>
  </r>
  <r>
    <x v="447"/>
    <x v="5"/>
    <x v="2"/>
    <x v="1"/>
    <x v="5"/>
    <x v="517"/>
    <n v="581.9"/>
    <n v="0.15925013683634373"/>
  </r>
  <r>
    <x v="250"/>
    <x v="0"/>
    <x v="0"/>
    <x v="1"/>
    <x v="7"/>
    <x v="518"/>
    <n v="298.77"/>
    <n v="5.3256684491978609E-2"/>
  </r>
  <r>
    <x v="448"/>
    <x v="7"/>
    <x v="2"/>
    <x v="2"/>
    <x v="4"/>
    <x v="519"/>
    <n v="99.4"/>
    <n v="0.14880239520958086"/>
  </r>
  <r>
    <x v="449"/>
    <x v="7"/>
    <x v="2"/>
    <x v="2"/>
    <x v="1"/>
    <x v="520"/>
    <n v="360.13"/>
    <n v="9.0416771277931213E-2"/>
  </r>
  <r>
    <x v="450"/>
    <x v="8"/>
    <x v="1"/>
    <x v="2"/>
    <x v="4"/>
    <x v="521"/>
    <n v="272.81"/>
    <n v="0.24533273381294965"/>
  </r>
  <r>
    <x v="451"/>
    <x v="6"/>
    <x v="1"/>
    <x v="0"/>
    <x v="5"/>
    <x v="522"/>
    <n v="221.06"/>
    <n v="5.2260047281323878E-2"/>
  </r>
  <r>
    <x v="452"/>
    <x v="2"/>
    <x v="2"/>
    <x v="1"/>
    <x v="6"/>
    <x v="523"/>
    <n v="530.29999999999995"/>
    <n v="0.17867250673854446"/>
  </r>
  <r>
    <x v="135"/>
    <x v="6"/>
    <x v="1"/>
    <x v="3"/>
    <x v="2"/>
    <x v="524"/>
    <n v="706.74"/>
    <n v="0.1506908315565032"/>
  </r>
  <r>
    <x v="255"/>
    <x v="3"/>
    <x v="2"/>
    <x v="3"/>
    <x v="7"/>
    <x v="525"/>
    <n v="1240.31"/>
    <n v="0.28871275605214153"/>
  </r>
  <r>
    <x v="453"/>
    <x v="3"/>
    <x v="2"/>
    <x v="0"/>
    <x v="1"/>
    <x v="526"/>
    <n v="523.52"/>
    <n v="7.2680827433014017E-2"/>
  </r>
  <r>
    <x v="454"/>
    <x v="7"/>
    <x v="2"/>
    <x v="0"/>
    <x v="0"/>
    <x v="0"/>
    <n v="695.31"/>
    <n v="0.19101923076923075"/>
  </r>
  <r>
    <x v="455"/>
    <x v="7"/>
    <x v="2"/>
    <x v="1"/>
    <x v="4"/>
    <x v="527"/>
    <n v="304.62"/>
    <n v="0.26933687002652518"/>
  </r>
  <r>
    <x v="456"/>
    <x v="3"/>
    <x v="2"/>
    <x v="3"/>
    <x v="5"/>
    <x v="528"/>
    <n v="797.53"/>
    <n v="0.21988695891921697"/>
  </r>
  <r>
    <x v="138"/>
    <x v="1"/>
    <x v="1"/>
    <x v="2"/>
    <x v="6"/>
    <x v="257"/>
    <n v="1249.98"/>
    <n v="0.15687500000000001"/>
  </r>
  <r>
    <x v="457"/>
    <x v="4"/>
    <x v="1"/>
    <x v="2"/>
    <x v="8"/>
    <x v="529"/>
    <n v="490.28"/>
    <n v="0.13826283135927805"/>
  </r>
  <r>
    <x v="458"/>
    <x v="2"/>
    <x v="2"/>
    <x v="2"/>
    <x v="2"/>
    <x v="530"/>
    <n v="546.55999999999995"/>
    <n v="0.24077533039647575"/>
  </r>
  <r>
    <x v="459"/>
    <x v="8"/>
    <x v="1"/>
    <x v="3"/>
    <x v="3"/>
    <x v="531"/>
    <n v="136.91"/>
    <n v="0.10111521418020679"/>
  </r>
  <r>
    <x v="157"/>
    <x v="4"/>
    <x v="1"/>
    <x v="3"/>
    <x v="1"/>
    <x v="532"/>
    <n v="1423.57"/>
    <n v="0.20901042431361033"/>
  </r>
  <r>
    <x v="460"/>
    <x v="5"/>
    <x v="2"/>
    <x v="1"/>
    <x v="8"/>
    <x v="533"/>
    <n v="232.65"/>
    <n v="0.16500000000000001"/>
  </r>
  <r>
    <x v="461"/>
    <x v="8"/>
    <x v="1"/>
    <x v="0"/>
    <x v="3"/>
    <x v="534"/>
    <n v="249.99"/>
    <n v="0.21366666666666667"/>
  </r>
  <r>
    <x v="275"/>
    <x v="9"/>
    <x v="2"/>
    <x v="1"/>
    <x v="1"/>
    <x v="535"/>
    <n v="740.74"/>
    <n v="0.15630723781388478"/>
  </r>
  <r>
    <x v="5"/>
    <x v="1"/>
    <x v="1"/>
    <x v="2"/>
    <x v="5"/>
    <x v="536"/>
    <n v="1554.38"/>
    <n v="0.19760742435799644"/>
  </r>
  <r>
    <x v="462"/>
    <x v="6"/>
    <x v="1"/>
    <x v="1"/>
    <x v="2"/>
    <x v="537"/>
    <n v="388.31"/>
    <n v="0.10653223593964335"/>
  </r>
  <r>
    <x v="144"/>
    <x v="4"/>
    <x v="1"/>
    <x v="1"/>
    <x v="7"/>
    <x v="538"/>
    <n v="568.34"/>
    <n v="0.10607316162747295"/>
  </r>
  <r>
    <x v="463"/>
    <x v="3"/>
    <x v="2"/>
    <x v="0"/>
    <x v="2"/>
    <x v="539"/>
    <n v="486.37"/>
    <n v="0.27401126760563382"/>
  </r>
  <r>
    <x v="130"/>
    <x v="4"/>
    <x v="1"/>
    <x v="2"/>
    <x v="5"/>
    <x v="540"/>
    <n v="1351.25"/>
    <n v="0.27548419979612643"/>
  </r>
  <r>
    <x v="464"/>
    <x v="1"/>
    <x v="1"/>
    <x v="1"/>
    <x v="7"/>
    <x v="541"/>
    <n v="372.33"/>
    <n v="8.7401408450704224E-2"/>
  </r>
  <r>
    <x v="465"/>
    <x v="0"/>
    <x v="0"/>
    <x v="1"/>
    <x v="3"/>
    <x v="542"/>
    <n v="292.77999999999997"/>
    <n v="0.17939950980392155"/>
  </r>
  <r>
    <x v="322"/>
    <x v="5"/>
    <x v="2"/>
    <x v="1"/>
    <x v="7"/>
    <x v="543"/>
    <n v="466.78"/>
    <n v="0.14042719614921781"/>
  </r>
  <r>
    <x v="466"/>
    <x v="3"/>
    <x v="2"/>
    <x v="3"/>
    <x v="2"/>
    <x v="544"/>
    <n v="347.14"/>
    <n v="7.562962962962963E-2"/>
  </r>
  <r>
    <x v="406"/>
    <x v="9"/>
    <x v="2"/>
    <x v="1"/>
    <x v="5"/>
    <x v="545"/>
    <n v="2182.42"/>
    <n v="0.25687617702448212"/>
  </r>
  <r>
    <x v="467"/>
    <x v="0"/>
    <x v="0"/>
    <x v="0"/>
    <x v="7"/>
    <x v="546"/>
    <n v="518.79"/>
    <n v="8.0507448789571695E-2"/>
  </r>
  <r>
    <x v="281"/>
    <x v="3"/>
    <x v="2"/>
    <x v="0"/>
    <x v="4"/>
    <x v="547"/>
    <n v="51.13"/>
    <n v="6.2967980295566509E-2"/>
  </r>
  <r>
    <x v="160"/>
    <x v="6"/>
    <x v="1"/>
    <x v="3"/>
    <x v="7"/>
    <x v="548"/>
    <n v="465.93"/>
    <n v="0.26413265306122452"/>
  </r>
  <r>
    <x v="468"/>
    <x v="0"/>
    <x v="0"/>
    <x v="3"/>
    <x v="4"/>
    <x v="549"/>
    <n v="172.67"/>
    <n v="0.17062252964426877"/>
  </r>
  <r>
    <x v="318"/>
    <x v="8"/>
    <x v="1"/>
    <x v="2"/>
    <x v="3"/>
    <x v="550"/>
    <n v="47.07"/>
    <n v="5.6303827751196175E-2"/>
  </r>
  <r>
    <x v="379"/>
    <x v="5"/>
    <x v="2"/>
    <x v="1"/>
    <x v="4"/>
    <x v="551"/>
    <n v="115.26"/>
    <n v="0.15941908713692945"/>
  </r>
  <r>
    <x v="86"/>
    <x v="4"/>
    <x v="1"/>
    <x v="0"/>
    <x v="7"/>
    <x v="552"/>
    <n v="1033.1500000000001"/>
    <n v="0.18357320540156363"/>
  </r>
  <r>
    <x v="469"/>
    <x v="9"/>
    <x v="2"/>
    <x v="0"/>
    <x v="2"/>
    <x v="553"/>
    <n v="283.14"/>
    <n v="0.17056626506024095"/>
  </r>
  <r>
    <x v="470"/>
    <x v="4"/>
    <x v="1"/>
    <x v="3"/>
    <x v="8"/>
    <x v="554"/>
    <n v="244.83"/>
    <n v="0.10667973856209151"/>
  </r>
  <r>
    <x v="471"/>
    <x v="0"/>
    <x v="0"/>
    <x v="1"/>
    <x v="3"/>
    <x v="555"/>
    <n v="477.8"/>
    <n v="0.21817351598173518"/>
  </r>
  <r>
    <x v="328"/>
    <x v="2"/>
    <x v="2"/>
    <x v="1"/>
    <x v="1"/>
    <x v="556"/>
    <n v="919.35"/>
    <n v="0.26267142857142856"/>
  </r>
  <r>
    <x v="472"/>
    <x v="4"/>
    <x v="1"/>
    <x v="3"/>
    <x v="3"/>
    <x v="557"/>
    <n v="239.92"/>
    <n v="0.21850637522768671"/>
  </r>
  <r>
    <x v="473"/>
    <x v="1"/>
    <x v="1"/>
    <x v="0"/>
    <x v="2"/>
    <x v="125"/>
    <n v="194.03"/>
    <n v="0.20532275132275132"/>
  </r>
  <r>
    <x v="273"/>
    <x v="1"/>
    <x v="1"/>
    <x v="3"/>
    <x v="7"/>
    <x v="558"/>
    <n v="1382.67"/>
    <n v="0.2459391675560299"/>
  </r>
  <r>
    <x v="442"/>
    <x v="3"/>
    <x v="2"/>
    <x v="1"/>
    <x v="8"/>
    <x v="559"/>
    <n v="309.49"/>
    <n v="0.13311397849462367"/>
  </r>
  <r>
    <x v="474"/>
    <x v="8"/>
    <x v="1"/>
    <x v="2"/>
    <x v="4"/>
    <x v="560"/>
    <n v="252.08"/>
    <n v="0.21787381158167676"/>
  </r>
  <r>
    <x v="475"/>
    <x v="0"/>
    <x v="0"/>
    <x v="3"/>
    <x v="8"/>
    <x v="561"/>
    <n v="126.24"/>
    <n v="0.23774011299435027"/>
  </r>
  <r>
    <x v="476"/>
    <x v="2"/>
    <x v="2"/>
    <x v="3"/>
    <x v="3"/>
    <x v="234"/>
    <n v="278.08999999999997"/>
    <n v="0.15800568181818181"/>
  </r>
  <r>
    <x v="477"/>
    <x v="5"/>
    <x v="2"/>
    <x v="0"/>
    <x v="4"/>
    <x v="562"/>
    <n v="108.58"/>
    <n v="0.29266846361185983"/>
  </r>
  <r>
    <x v="478"/>
    <x v="7"/>
    <x v="2"/>
    <x v="1"/>
    <x v="0"/>
    <x v="563"/>
    <n v="191.7"/>
    <n v="0.10110759493670886"/>
  </r>
  <r>
    <x v="479"/>
    <x v="5"/>
    <x v="2"/>
    <x v="2"/>
    <x v="3"/>
    <x v="564"/>
    <n v="106.75"/>
    <n v="0.20768482490272375"/>
  </r>
  <r>
    <x v="480"/>
    <x v="6"/>
    <x v="1"/>
    <x v="3"/>
    <x v="1"/>
    <x v="565"/>
    <n v="129.25"/>
    <n v="6.889658848614072E-2"/>
  </r>
  <r>
    <x v="372"/>
    <x v="3"/>
    <x v="2"/>
    <x v="1"/>
    <x v="7"/>
    <x v="566"/>
    <n v="236.12"/>
    <n v="0.19976311336717428"/>
  </r>
  <r>
    <x v="281"/>
    <x v="7"/>
    <x v="2"/>
    <x v="0"/>
    <x v="2"/>
    <x v="567"/>
    <n v="961.41"/>
    <n v="0.22594829612220915"/>
  </r>
  <r>
    <x v="481"/>
    <x v="6"/>
    <x v="1"/>
    <x v="0"/>
    <x v="5"/>
    <x v="568"/>
    <n v="150.69999999999999"/>
    <n v="0.11237882177479493"/>
  </r>
  <r>
    <x v="482"/>
    <x v="8"/>
    <x v="1"/>
    <x v="0"/>
    <x v="4"/>
    <x v="569"/>
    <n v="49.25"/>
    <n v="7.6475155279503104E-2"/>
  </r>
  <r>
    <x v="432"/>
    <x v="6"/>
    <x v="1"/>
    <x v="2"/>
    <x v="8"/>
    <x v="570"/>
    <n v="94.4"/>
    <n v="5.1669403393541327E-2"/>
  </r>
  <r>
    <x v="217"/>
    <x v="3"/>
    <x v="2"/>
    <x v="0"/>
    <x v="4"/>
    <x v="106"/>
    <n v="136.16"/>
    <n v="0.14640860215053764"/>
  </r>
  <r>
    <x v="483"/>
    <x v="3"/>
    <x v="2"/>
    <x v="2"/>
    <x v="0"/>
    <x v="571"/>
    <n v="152.80000000000001"/>
    <n v="0.28939393939393943"/>
  </r>
  <r>
    <x v="484"/>
    <x v="6"/>
    <x v="1"/>
    <x v="2"/>
    <x v="7"/>
    <x v="572"/>
    <n v="739.22"/>
    <n v="0.17450897072710103"/>
  </r>
  <r>
    <x v="485"/>
    <x v="4"/>
    <x v="1"/>
    <x v="0"/>
    <x v="0"/>
    <x v="573"/>
    <n v="190.82"/>
    <n v="0.11467548076923076"/>
  </r>
  <r>
    <x v="197"/>
    <x v="5"/>
    <x v="2"/>
    <x v="0"/>
    <x v="8"/>
    <x v="574"/>
    <n v="554.46"/>
    <n v="0.20332233223322332"/>
  </r>
  <r>
    <x v="89"/>
    <x v="5"/>
    <x v="2"/>
    <x v="0"/>
    <x v="3"/>
    <x v="575"/>
    <n v="52.73"/>
    <n v="0.10101532567049808"/>
  </r>
  <r>
    <x v="486"/>
    <x v="1"/>
    <x v="1"/>
    <x v="3"/>
    <x v="1"/>
    <x v="576"/>
    <n v="1945.03"/>
    <n v="0.23468026061776062"/>
  </r>
  <r>
    <x v="416"/>
    <x v="9"/>
    <x v="2"/>
    <x v="3"/>
    <x v="5"/>
    <x v="310"/>
    <n v="73.58"/>
    <n v="6.9284369114877592E-2"/>
  </r>
  <r>
    <x v="487"/>
    <x v="7"/>
    <x v="2"/>
    <x v="1"/>
    <x v="8"/>
    <x v="577"/>
    <n v="226.52"/>
    <n v="0.19870175438596493"/>
  </r>
  <r>
    <x v="294"/>
    <x v="8"/>
    <x v="1"/>
    <x v="1"/>
    <x v="6"/>
    <x v="578"/>
    <n v="712.24"/>
    <n v="0.20419724770642203"/>
  </r>
  <r>
    <x v="488"/>
    <x v="2"/>
    <x v="2"/>
    <x v="0"/>
    <x v="6"/>
    <x v="579"/>
    <n v="1436.7"/>
    <n v="0.24268581081081081"/>
  </r>
  <r>
    <x v="489"/>
    <x v="6"/>
    <x v="1"/>
    <x v="0"/>
    <x v="5"/>
    <x v="580"/>
    <n v="362.89"/>
    <n v="0.1172125322997416"/>
  </r>
  <r>
    <x v="348"/>
    <x v="6"/>
    <x v="1"/>
    <x v="2"/>
    <x v="2"/>
    <x v="581"/>
    <n v="205.04"/>
    <n v="5.8750716332378224E-2"/>
  </r>
  <r>
    <x v="8"/>
    <x v="5"/>
    <x v="2"/>
    <x v="2"/>
    <x v="7"/>
    <x v="582"/>
    <n v="702.62"/>
    <n v="0.16063557384545038"/>
  </r>
  <r>
    <x v="490"/>
    <x v="7"/>
    <x v="2"/>
    <x v="2"/>
    <x v="7"/>
    <x v="583"/>
    <n v="541.86"/>
    <n v="0.16098039215686274"/>
  </r>
  <r>
    <x v="491"/>
    <x v="0"/>
    <x v="0"/>
    <x v="1"/>
    <x v="7"/>
    <x v="584"/>
    <n v="231.62"/>
    <n v="0.28177615571776155"/>
  </r>
  <r>
    <x v="492"/>
    <x v="6"/>
    <x v="1"/>
    <x v="0"/>
    <x v="3"/>
    <x v="585"/>
    <n v="39.119999999999997"/>
    <n v="0.11505882352941176"/>
  </r>
  <r>
    <x v="493"/>
    <x v="1"/>
    <x v="1"/>
    <x v="1"/>
    <x v="4"/>
    <x v="586"/>
    <n v="217.94"/>
    <n v="0.28563564875491482"/>
  </r>
  <r>
    <x v="494"/>
    <x v="4"/>
    <x v="1"/>
    <x v="3"/>
    <x v="0"/>
    <x v="587"/>
    <n v="856.98"/>
    <n v="0.25146126760563381"/>
  </r>
  <r>
    <x v="495"/>
    <x v="2"/>
    <x v="2"/>
    <x v="3"/>
    <x v="1"/>
    <x v="588"/>
    <n v="537.71"/>
    <n v="0.23563102541630151"/>
  </r>
  <r>
    <x v="496"/>
    <x v="3"/>
    <x v="2"/>
    <x v="2"/>
    <x v="1"/>
    <x v="589"/>
    <n v="1047.43"/>
    <n v="0.25233196820043363"/>
  </r>
  <r>
    <x v="497"/>
    <x v="9"/>
    <x v="2"/>
    <x v="0"/>
    <x v="1"/>
    <x v="590"/>
    <n v="1689.55"/>
    <n v="0.26907947125338427"/>
  </r>
  <r>
    <x v="126"/>
    <x v="6"/>
    <x v="1"/>
    <x v="0"/>
    <x v="8"/>
    <x v="591"/>
    <n v="83.32"/>
    <n v="0.17578059071729957"/>
  </r>
  <r>
    <x v="498"/>
    <x v="6"/>
    <x v="1"/>
    <x v="3"/>
    <x v="2"/>
    <x v="592"/>
    <n v="176.44"/>
    <n v="0.25947058823529412"/>
  </r>
  <r>
    <x v="499"/>
    <x v="4"/>
    <x v="1"/>
    <x v="3"/>
    <x v="5"/>
    <x v="545"/>
    <n v="1721.6"/>
    <n v="0.20263653483992466"/>
  </r>
  <r>
    <x v="500"/>
    <x v="8"/>
    <x v="1"/>
    <x v="2"/>
    <x v="1"/>
    <x v="593"/>
    <n v="714.68"/>
    <n v="9.1321236902632247E-2"/>
  </r>
  <r>
    <x v="126"/>
    <x v="1"/>
    <x v="1"/>
    <x v="2"/>
    <x v="7"/>
    <x v="594"/>
    <n v="717.44"/>
    <n v="0.17873442949676135"/>
  </r>
  <r>
    <x v="501"/>
    <x v="9"/>
    <x v="2"/>
    <x v="1"/>
    <x v="4"/>
    <x v="595"/>
    <n v="62.82"/>
    <n v="9.1441048034934497E-2"/>
  </r>
  <r>
    <x v="502"/>
    <x v="5"/>
    <x v="2"/>
    <x v="2"/>
    <x v="8"/>
    <x v="596"/>
    <n v="234.27"/>
    <n v="7.9602446483180433E-2"/>
  </r>
  <r>
    <x v="503"/>
    <x v="0"/>
    <x v="0"/>
    <x v="1"/>
    <x v="1"/>
    <x v="597"/>
    <n v="660.37"/>
    <n v="0.11690033634271553"/>
  </r>
  <r>
    <x v="504"/>
    <x v="2"/>
    <x v="2"/>
    <x v="0"/>
    <x v="6"/>
    <x v="598"/>
    <n v="623.66999999999996"/>
    <n v="0.18922026699029124"/>
  </r>
  <r>
    <x v="505"/>
    <x v="4"/>
    <x v="1"/>
    <x v="0"/>
    <x v="8"/>
    <x v="599"/>
    <n v="173.92"/>
    <n v="0.15296394019349163"/>
  </r>
  <r>
    <x v="361"/>
    <x v="7"/>
    <x v="2"/>
    <x v="0"/>
    <x v="3"/>
    <x v="516"/>
    <n v="101.7"/>
    <n v="0.26763157894736844"/>
  </r>
  <r>
    <x v="418"/>
    <x v="9"/>
    <x v="2"/>
    <x v="3"/>
    <x v="2"/>
    <x v="600"/>
    <n v="1247.8599999999999"/>
    <n v="0.2832826333711691"/>
  </r>
  <r>
    <x v="506"/>
    <x v="2"/>
    <x v="2"/>
    <x v="1"/>
    <x v="4"/>
    <x v="601"/>
    <n v="9.43"/>
    <n v="7.8583333333333324E-2"/>
  </r>
  <r>
    <x v="347"/>
    <x v="0"/>
    <x v="0"/>
    <x v="1"/>
    <x v="4"/>
    <x v="602"/>
    <n v="182.07"/>
    <n v="0.15482142857142855"/>
  </r>
  <r>
    <x v="507"/>
    <x v="3"/>
    <x v="2"/>
    <x v="2"/>
    <x v="8"/>
    <x v="603"/>
    <n v="366.58"/>
    <n v="0.20710734463276836"/>
  </r>
  <r>
    <x v="508"/>
    <x v="3"/>
    <x v="2"/>
    <x v="2"/>
    <x v="7"/>
    <x v="604"/>
    <n v="965.02"/>
    <n v="0.22431892143189214"/>
  </r>
  <r>
    <x v="453"/>
    <x v="3"/>
    <x v="2"/>
    <x v="0"/>
    <x v="8"/>
    <x v="605"/>
    <n v="362.68"/>
    <n v="0.12137884872824632"/>
  </r>
  <r>
    <x v="373"/>
    <x v="4"/>
    <x v="1"/>
    <x v="1"/>
    <x v="8"/>
    <x v="606"/>
    <n v="458.41"/>
    <n v="0.15114078470161557"/>
  </r>
  <r>
    <x v="63"/>
    <x v="1"/>
    <x v="1"/>
    <x v="2"/>
    <x v="5"/>
    <x v="607"/>
    <n v="1752.65"/>
    <n v="0.27544397296872547"/>
  </r>
  <r>
    <x v="509"/>
    <x v="2"/>
    <x v="2"/>
    <x v="3"/>
    <x v="7"/>
    <x v="608"/>
    <n v="501.29"/>
    <n v="0.14735155790711346"/>
  </r>
  <r>
    <x v="510"/>
    <x v="8"/>
    <x v="1"/>
    <x v="2"/>
    <x v="0"/>
    <x v="609"/>
    <n v="1032.81"/>
    <n v="0.29542620137299769"/>
  </r>
  <r>
    <x v="511"/>
    <x v="6"/>
    <x v="1"/>
    <x v="1"/>
    <x v="0"/>
    <x v="610"/>
    <n v="204.95"/>
    <n v="0.1897685185185185"/>
  </r>
  <r>
    <x v="512"/>
    <x v="4"/>
    <x v="1"/>
    <x v="1"/>
    <x v="7"/>
    <x v="611"/>
    <n v="218.99"/>
    <n v="0.14313071895424836"/>
  </r>
  <r>
    <x v="513"/>
    <x v="8"/>
    <x v="1"/>
    <x v="3"/>
    <x v="0"/>
    <x v="612"/>
    <n v="764.2"/>
    <n v="0.21418161434977578"/>
  </r>
  <r>
    <x v="514"/>
    <x v="7"/>
    <x v="2"/>
    <x v="3"/>
    <x v="4"/>
    <x v="613"/>
    <n v="48.97"/>
    <n v="5.1331236897274632E-2"/>
  </r>
  <r>
    <x v="515"/>
    <x v="3"/>
    <x v="2"/>
    <x v="3"/>
    <x v="0"/>
    <x v="614"/>
    <n v="223.66"/>
    <n v="0.18700668896321071"/>
  </r>
  <r>
    <x v="516"/>
    <x v="5"/>
    <x v="2"/>
    <x v="0"/>
    <x v="0"/>
    <x v="615"/>
    <n v="217.47"/>
    <n v="0.10181179775280899"/>
  </r>
  <r>
    <x v="164"/>
    <x v="0"/>
    <x v="0"/>
    <x v="2"/>
    <x v="5"/>
    <x v="545"/>
    <n v="2316.0300000000002"/>
    <n v="0.27260240112994355"/>
  </r>
  <r>
    <x v="517"/>
    <x v="9"/>
    <x v="2"/>
    <x v="3"/>
    <x v="1"/>
    <x v="616"/>
    <n v="1450.82"/>
    <n v="0.19928846153846153"/>
  </r>
  <r>
    <x v="440"/>
    <x v="5"/>
    <x v="2"/>
    <x v="2"/>
    <x v="2"/>
    <x v="617"/>
    <n v="625.39"/>
    <n v="0.12672543059777103"/>
  </r>
  <r>
    <x v="518"/>
    <x v="2"/>
    <x v="2"/>
    <x v="2"/>
    <x v="6"/>
    <x v="618"/>
    <n v="872.48"/>
    <n v="9.634275618374559E-2"/>
  </r>
  <r>
    <x v="519"/>
    <x v="5"/>
    <x v="2"/>
    <x v="2"/>
    <x v="4"/>
    <x v="619"/>
    <n v="46.96"/>
    <n v="8.3410301953818836E-2"/>
  </r>
  <r>
    <x v="204"/>
    <x v="0"/>
    <x v="0"/>
    <x v="2"/>
    <x v="3"/>
    <x v="620"/>
    <n v="247.7"/>
    <n v="0.15777070063694268"/>
  </r>
  <r>
    <x v="520"/>
    <x v="3"/>
    <x v="2"/>
    <x v="0"/>
    <x v="8"/>
    <x v="621"/>
    <n v="517.02"/>
    <n v="0.2370563961485557"/>
  </r>
  <r>
    <x v="407"/>
    <x v="1"/>
    <x v="1"/>
    <x v="0"/>
    <x v="0"/>
    <x v="622"/>
    <n v="442.33"/>
    <n v="0.11615808823529411"/>
  </r>
  <r>
    <x v="521"/>
    <x v="8"/>
    <x v="1"/>
    <x v="3"/>
    <x v="1"/>
    <x v="623"/>
    <n v="635.09"/>
    <n v="9.6930708180708189E-2"/>
  </r>
  <r>
    <x v="522"/>
    <x v="9"/>
    <x v="2"/>
    <x v="2"/>
    <x v="6"/>
    <x v="624"/>
    <n v="1086.29"/>
    <n v="0.16599786063569683"/>
  </r>
  <r>
    <x v="523"/>
    <x v="1"/>
    <x v="1"/>
    <x v="3"/>
    <x v="8"/>
    <x v="625"/>
    <n v="157.19"/>
    <n v="5.9745343975674645E-2"/>
  </r>
  <r>
    <x v="524"/>
    <x v="6"/>
    <x v="1"/>
    <x v="3"/>
    <x v="5"/>
    <x v="125"/>
    <n v="94.75"/>
    <n v="0.10026455026455026"/>
  </r>
  <r>
    <x v="525"/>
    <x v="6"/>
    <x v="1"/>
    <x v="3"/>
    <x v="3"/>
    <x v="626"/>
    <n v="192.42"/>
    <n v="0.25318421052631579"/>
  </r>
  <r>
    <x v="526"/>
    <x v="6"/>
    <x v="1"/>
    <x v="0"/>
    <x v="0"/>
    <x v="627"/>
    <n v="394.48"/>
    <n v="0.28339080459770116"/>
  </r>
  <r>
    <x v="527"/>
    <x v="5"/>
    <x v="2"/>
    <x v="1"/>
    <x v="8"/>
    <x v="628"/>
    <n v="206.74"/>
    <n v="0.16645732689210951"/>
  </r>
  <r>
    <x v="528"/>
    <x v="9"/>
    <x v="2"/>
    <x v="1"/>
    <x v="8"/>
    <x v="629"/>
    <n v="868.73"/>
    <n v="0.27292805529374803"/>
  </r>
  <r>
    <x v="529"/>
    <x v="6"/>
    <x v="1"/>
    <x v="3"/>
    <x v="2"/>
    <x v="541"/>
    <n v="229.77"/>
    <n v="5.3936619718309861E-2"/>
  </r>
  <r>
    <x v="530"/>
    <x v="7"/>
    <x v="2"/>
    <x v="3"/>
    <x v="4"/>
    <x v="630"/>
    <n v="132.46"/>
    <n v="0.12724303554274738"/>
  </r>
  <r>
    <x v="531"/>
    <x v="5"/>
    <x v="2"/>
    <x v="1"/>
    <x v="8"/>
    <x v="631"/>
    <n v="348.81"/>
    <n v="0.20615248226950356"/>
  </r>
  <r>
    <x v="532"/>
    <x v="3"/>
    <x v="2"/>
    <x v="0"/>
    <x v="0"/>
    <x v="120"/>
    <n v="403.06"/>
    <n v="0.23325231481481482"/>
  </r>
  <r>
    <x v="533"/>
    <x v="3"/>
    <x v="2"/>
    <x v="2"/>
    <x v="0"/>
    <x v="632"/>
    <n v="893.27"/>
    <n v="0.19921275646743977"/>
  </r>
  <r>
    <x v="534"/>
    <x v="7"/>
    <x v="2"/>
    <x v="1"/>
    <x v="1"/>
    <x v="633"/>
    <n v="750.05"/>
    <n v="0.18191850594227504"/>
  </r>
  <r>
    <x v="327"/>
    <x v="1"/>
    <x v="1"/>
    <x v="1"/>
    <x v="3"/>
    <x v="27"/>
    <n v="392.07"/>
    <n v="0.16529089376053963"/>
  </r>
  <r>
    <x v="498"/>
    <x v="7"/>
    <x v="2"/>
    <x v="1"/>
    <x v="1"/>
    <x v="634"/>
    <n v="745.2"/>
    <n v="0.14328013843491638"/>
  </r>
  <r>
    <x v="352"/>
    <x v="1"/>
    <x v="1"/>
    <x v="2"/>
    <x v="2"/>
    <x v="635"/>
    <n v="695.28"/>
    <n v="0.22428387096774194"/>
  </r>
  <r>
    <x v="535"/>
    <x v="5"/>
    <x v="2"/>
    <x v="1"/>
    <x v="7"/>
    <x v="636"/>
    <n v="1105.95"/>
    <n v="0.20898526077097507"/>
  </r>
  <r>
    <x v="536"/>
    <x v="2"/>
    <x v="2"/>
    <x v="2"/>
    <x v="7"/>
    <x v="637"/>
    <n v="971.53"/>
    <n v="0.16322748655913977"/>
  </r>
  <r>
    <x v="537"/>
    <x v="7"/>
    <x v="2"/>
    <x v="1"/>
    <x v="0"/>
    <x v="319"/>
    <n v="472.91"/>
    <n v="0.24477743271221533"/>
  </r>
  <r>
    <x v="19"/>
    <x v="2"/>
    <x v="2"/>
    <x v="3"/>
    <x v="7"/>
    <x v="638"/>
    <n v="1011.74"/>
    <n v="0.29022948938611587"/>
  </r>
  <r>
    <x v="538"/>
    <x v="2"/>
    <x v="2"/>
    <x v="3"/>
    <x v="3"/>
    <x v="182"/>
    <n v="441.43"/>
    <n v="0.25844847775175644"/>
  </r>
  <r>
    <x v="393"/>
    <x v="6"/>
    <x v="1"/>
    <x v="2"/>
    <x v="0"/>
    <x v="639"/>
    <n v="288.12"/>
    <n v="6.663274745605921E-2"/>
  </r>
  <r>
    <x v="539"/>
    <x v="9"/>
    <x v="2"/>
    <x v="2"/>
    <x v="0"/>
    <x v="640"/>
    <n v="302.14"/>
    <n v="0.11157311669128507"/>
  </r>
  <r>
    <x v="540"/>
    <x v="0"/>
    <x v="0"/>
    <x v="3"/>
    <x v="6"/>
    <x v="377"/>
    <n v="1142.83"/>
    <n v="0.14386077542799597"/>
  </r>
  <r>
    <x v="434"/>
    <x v="3"/>
    <x v="2"/>
    <x v="1"/>
    <x v="8"/>
    <x v="641"/>
    <n v="39.33"/>
    <n v="5.7499999999999996E-2"/>
  </r>
  <r>
    <x v="313"/>
    <x v="0"/>
    <x v="0"/>
    <x v="3"/>
    <x v="5"/>
    <x v="642"/>
    <n v="1440.45"/>
    <n v="0.24397865853658537"/>
  </r>
  <r>
    <x v="541"/>
    <x v="0"/>
    <x v="0"/>
    <x v="2"/>
    <x v="2"/>
    <x v="643"/>
    <n v="1080.1199999999999"/>
    <n v="0.21732796780684102"/>
  </r>
  <r>
    <x v="542"/>
    <x v="4"/>
    <x v="1"/>
    <x v="3"/>
    <x v="3"/>
    <x v="644"/>
    <n v="234.97"/>
    <n v="0.10269667832167832"/>
  </r>
  <r>
    <x v="21"/>
    <x v="7"/>
    <x v="2"/>
    <x v="1"/>
    <x v="7"/>
    <x v="645"/>
    <n v="350.79"/>
    <n v="7.5244530244530247E-2"/>
  </r>
  <r>
    <x v="543"/>
    <x v="1"/>
    <x v="1"/>
    <x v="1"/>
    <x v="0"/>
    <x v="646"/>
    <n v="404.96"/>
    <n v="0.15993680884676145"/>
  </r>
  <r>
    <x v="221"/>
    <x v="2"/>
    <x v="2"/>
    <x v="2"/>
    <x v="6"/>
    <x v="647"/>
    <n v="1008.6"/>
    <n v="0.10812607204116638"/>
  </r>
  <r>
    <x v="272"/>
    <x v="0"/>
    <x v="0"/>
    <x v="0"/>
    <x v="4"/>
    <x v="648"/>
    <n v="86.18"/>
    <n v="0.12562682215743443"/>
  </r>
  <r>
    <x v="544"/>
    <x v="5"/>
    <x v="2"/>
    <x v="2"/>
    <x v="7"/>
    <x v="649"/>
    <n v="343.35"/>
    <n v="0.26616279069767446"/>
  </r>
  <r>
    <x v="356"/>
    <x v="0"/>
    <x v="0"/>
    <x v="3"/>
    <x v="2"/>
    <x v="650"/>
    <n v="235.19"/>
    <n v="0.19517842323651452"/>
  </r>
  <r>
    <x v="545"/>
    <x v="4"/>
    <x v="1"/>
    <x v="2"/>
    <x v="1"/>
    <x v="651"/>
    <n v="1313.56"/>
    <n v="0.16489580718051719"/>
  </r>
  <r>
    <x v="201"/>
    <x v="3"/>
    <x v="2"/>
    <x v="0"/>
    <x v="1"/>
    <x v="652"/>
    <n v="130.72"/>
    <n v="0.12047926267281106"/>
  </r>
  <r>
    <x v="248"/>
    <x v="6"/>
    <x v="1"/>
    <x v="3"/>
    <x v="5"/>
    <x v="653"/>
    <n v="1239.1099999999999"/>
    <n v="0.18680988994421829"/>
  </r>
  <r>
    <x v="546"/>
    <x v="9"/>
    <x v="2"/>
    <x v="0"/>
    <x v="1"/>
    <x v="654"/>
    <n v="971.5"/>
    <n v="0.1906397174254317"/>
  </r>
  <r>
    <x v="547"/>
    <x v="2"/>
    <x v="2"/>
    <x v="1"/>
    <x v="0"/>
    <x v="195"/>
    <n v="710.07"/>
    <n v="0.1723470873786408"/>
  </r>
  <r>
    <x v="548"/>
    <x v="6"/>
    <x v="1"/>
    <x v="3"/>
    <x v="8"/>
    <x v="655"/>
    <n v="207.58"/>
    <n v="0.14035158891142666"/>
  </r>
  <r>
    <x v="549"/>
    <x v="7"/>
    <x v="2"/>
    <x v="3"/>
    <x v="1"/>
    <x v="656"/>
    <n v="397.49"/>
    <n v="0.24061138014527847"/>
  </r>
  <r>
    <x v="331"/>
    <x v="9"/>
    <x v="2"/>
    <x v="2"/>
    <x v="4"/>
    <x v="249"/>
    <n v="240.61"/>
    <n v="0.23405642023346304"/>
  </r>
  <r>
    <x v="550"/>
    <x v="6"/>
    <x v="1"/>
    <x v="1"/>
    <x v="0"/>
    <x v="657"/>
    <n v="655.14"/>
    <n v="0.14304366812227073"/>
  </r>
  <r>
    <x v="551"/>
    <x v="6"/>
    <x v="1"/>
    <x v="2"/>
    <x v="6"/>
    <x v="658"/>
    <n v="196.53"/>
    <n v="9.1324349442379188E-2"/>
  </r>
  <r>
    <x v="509"/>
    <x v="6"/>
    <x v="1"/>
    <x v="2"/>
    <x v="7"/>
    <x v="659"/>
    <n v="866.13"/>
    <n v="0.18969119579500657"/>
  </r>
  <r>
    <x v="552"/>
    <x v="4"/>
    <x v="1"/>
    <x v="1"/>
    <x v="8"/>
    <x v="167"/>
    <n v="301.52999999999997"/>
    <n v="0.13437165775401069"/>
  </r>
  <r>
    <x v="69"/>
    <x v="1"/>
    <x v="1"/>
    <x v="3"/>
    <x v="0"/>
    <x v="279"/>
    <n v="140.52000000000001"/>
    <n v="0.10455357142857144"/>
  </r>
  <r>
    <x v="487"/>
    <x v="0"/>
    <x v="0"/>
    <x v="2"/>
    <x v="7"/>
    <x v="660"/>
    <n v="131.53"/>
    <n v="5.0163996948893973E-2"/>
  </r>
  <r>
    <x v="553"/>
    <x v="7"/>
    <x v="2"/>
    <x v="2"/>
    <x v="4"/>
    <x v="661"/>
    <n v="46.84"/>
    <n v="0.14412307692307694"/>
  </r>
  <r>
    <x v="61"/>
    <x v="8"/>
    <x v="1"/>
    <x v="3"/>
    <x v="4"/>
    <x v="662"/>
    <n v="95.88"/>
    <n v="9.9874999999999992E-2"/>
  </r>
  <r>
    <x v="554"/>
    <x v="7"/>
    <x v="2"/>
    <x v="0"/>
    <x v="1"/>
    <x v="663"/>
    <n v="268.88"/>
    <n v="0.10188707843880257"/>
  </r>
  <r>
    <x v="230"/>
    <x v="0"/>
    <x v="0"/>
    <x v="2"/>
    <x v="2"/>
    <x v="403"/>
    <n v="246.15"/>
    <n v="0.24014634146341465"/>
  </r>
  <r>
    <x v="555"/>
    <x v="6"/>
    <x v="1"/>
    <x v="3"/>
    <x v="3"/>
    <x v="664"/>
    <n v="434.86"/>
    <n v="0.22601871101871102"/>
  </r>
  <r>
    <x v="556"/>
    <x v="7"/>
    <x v="2"/>
    <x v="0"/>
    <x v="3"/>
    <x v="553"/>
    <n v="362.88"/>
    <n v="0.21860240963855421"/>
  </r>
  <r>
    <x v="369"/>
    <x v="0"/>
    <x v="0"/>
    <x v="0"/>
    <x v="4"/>
    <x v="344"/>
    <n v="105.09"/>
    <n v="0.10669035532994924"/>
  </r>
  <r>
    <x v="340"/>
    <x v="8"/>
    <x v="1"/>
    <x v="0"/>
    <x v="2"/>
    <x v="665"/>
    <n v="537.11"/>
    <n v="0.20658076923076923"/>
  </r>
  <r>
    <x v="257"/>
    <x v="3"/>
    <x v="2"/>
    <x v="3"/>
    <x v="0"/>
    <x v="666"/>
    <n v="725.35"/>
    <n v="0.25979584527220634"/>
  </r>
  <r>
    <x v="557"/>
    <x v="4"/>
    <x v="1"/>
    <x v="0"/>
    <x v="3"/>
    <x v="667"/>
    <n v="87.37"/>
    <n v="0.23113756613756614"/>
  </r>
  <r>
    <x v="118"/>
    <x v="3"/>
    <x v="2"/>
    <x v="3"/>
    <x v="6"/>
    <x v="668"/>
    <n v="271.61"/>
    <n v="0.28058884297520664"/>
  </r>
  <r>
    <x v="446"/>
    <x v="5"/>
    <x v="2"/>
    <x v="0"/>
    <x v="8"/>
    <x v="669"/>
    <n v="108.35"/>
    <n v="0.19210992907801416"/>
  </r>
  <r>
    <x v="297"/>
    <x v="9"/>
    <x v="2"/>
    <x v="2"/>
    <x v="2"/>
    <x v="670"/>
    <n v="667.61"/>
    <n v="0.28228752642706134"/>
  </r>
  <r>
    <x v="330"/>
    <x v="7"/>
    <x v="2"/>
    <x v="3"/>
    <x v="7"/>
    <x v="33"/>
    <n v="834.84"/>
    <n v="0.25671586715867162"/>
  </r>
  <r>
    <x v="387"/>
    <x v="3"/>
    <x v="2"/>
    <x v="0"/>
    <x v="4"/>
    <x v="671"/>
    <n v="42.68"/>
    <n v="0.15463768115942028"/>
  </r>
  <r>
    <x v="229"/>
    <x v="1"/>
    <x v="1"/>
    <x v="3"/>
    <x v="8"/>
    <x v="587"/>
    <n v="205.76"/>
    <n v="6.0375586854460088E-2"/>
  </r>
  <r>
    <x v="199"/>
    <x v="9"/>
    <x v="2"/>
    <x v="1"/>
    <x v="7"/>
    <x v="672"/>
    <n v="180.88"/>
    <n v="0.12938483547925608"/>
  </r>
  <r>
    <x v="558"/>
    <x v="8"/>
    <x v="1"/>
    <x v="0"/>
    <x v="0"/>
    <x v="673"/>
    <n v="108.85"/>
    <n v="0.12040929203539823"/>
  </r>
  <r>
    <x v="5"/>
    <x v="8"/>
    <x v="1"/>
    <x v="2"/>
    <x v="4"/>
    <x v="674"/>
    <n v="161.06"/>
    <n v="0.13672325976230901"/>
  </r>
  <r>
    <x v="559"/>
    <x v="4"/>
    <x v="1"/>
    <x v="3"/>
    <x v="8"/>
    <x v="675"/>
    <n v="292.19"/>
    <n v="0.11526232741617357"/>
  </r>
  <r>
    <x v="560"/>
    <x v="2"/>
    <x v="2"/>
    <x v="3"/>
    <x v="4"/>
    <x v="389"/>
    <n v="146.91999999999999"/>
    <n v="0.29620967741935483"/>
  </r>
  <r>
    <x v="561"/>
    <x v="7"/>
    <x v="2"/>
    <x v="3"/>
    <x v="0"/>
    <x v="676"/>
    <n v="284.17"/>
    <n v="7.3088991769547335E-2"/>
  </r>
  <r>
    <x v="416"/>
    <x v="2"/>
    <x v="2"/>
    <x v="1"/>
    <x v="1"/>
    <x v="677"/>
    <n v="798.16"/>
    <n v="0.16219467587888639"/>
  </r>
  <r>
    <x v="562"/>
    <x v="5"/>
    <x v="2"/>
    <x v="3"/>
    <x v="6"/>
    <x v="678"/>
    <n v="290.79000000000002"/>
    <n v="6.5024597495527733E-2"/>
  </r>
  <r>
    <x v="32"/>
    <x v="2"/>
    <x v="2"/>
    <x v="0"/>
    <x v="8"/>
    <x v="679"/>
    <n v="153.37"/>
    <n v="0.25434494195688229"/>
  </r>
  <r>
    <x v="563"/>
    <x v="4"/>
    <x v="1"/>
    <x v="3"/>
    <x v="5"/>
    <x v="680"/>
    <n v="501.4"/>
    <n v="0.26403370194839387"/>
  </r>
  <r>
    <x v="564"/>
    <x v="0"/>
    <x v="0"/>
    <x v="0"/>
    <x v="0"/>
    <x v="681"/>
    <n v="67.84"/>
    <n v="0.12470588235294118"/>
  </r>
  <r>
    <x v="282"/>
    <x v="6"/>
    <x v="1"/>
    <x v="0"/>
    <x v="5"/>
    <x v="682"/>
    <n v="1844.59"/>
    <n v="0.28505486014526349"/>
  </r>
  <r>
    <x v="565"/>
    <x v="8"/>
    <x v="1"/>
    <x v="0"/>
    <x v="4"/>
    <x v="683"/>
    <n v="54.14"/>
    <n v="7.9970457902511075E-2"/>
  </r>
  <r>
    <x v="566"/>
    <x v="9"/>
    <x v="2"/>
    <x v="2"/>
    <x v="0"/>
    <x v="684"/>
    <n v="302.58"/>
    <n v="0.22053935860058307"/>
  </r>
  <r>
    <x v="567"/>
    <x v="8"/>
    <x v="1"/>
    <x v="0"/>
    <x v="5"/>
    <x v="685"/>
    <n v="1477.49"/>
    <n v="0.19590161760806152"/>
  </r>
  <r>
    <x v="498"/>
    <x v="6"/>
    <x v="1"/>
    <x v="3"/>
    <x v="4"/>
    <x v="686"/>
    <n v="125.65"/>
    <n v="0.13598484848484849"/>
  </r>
  <r>
    <x v="568"/>
    <x v="7"/>
    <x v="2"/>
    <x v="1"/>
    <x v="2"/>
    <x v="687"/>
    <n v="755.11"/>
    <n v="0.19165228426395939"/>
  </r>
  <r>
    <x v="220"/>
    <x v="2"/>
    <x v="2"/>
    <x v="3"/>
    <x v="3"/>
    <x v="688"/>
    <n v="49.26"/>
    <n v="0.13171122994652407"/>
  </r>
  <r>
    <x v="569"/>
    <x v="0"/>
    <x v="0"/>
    <x v="0"/>
    <x v="2"/>
    <x v="689"/>
    <n v="252.69"/>
    <n v="0.14038333333333333"/>
  </r>
  <r>
    <x v="570"/>
    <x v="6"/>
    <x v="1"/>
    <x v="3"/>
    <x v="2"/>
    <x v="207"/>
    <n v="868.34"/>
    <n v="0.27392429022082021"/>
  </r>
  <r>
    <x v="571"/>
    <x v="4"/>
    <x v="1"/>
    <x v="0"/>
    <x v="1"/>
    <x v="690"/>
    <n v="1029.47"/>
    <n v="0.19199365908243193"/>
  </r>
  <r>
    <x v="572"/>
    <x v="6"/>
    <x v="1"/>
    <x v="1"/>
    <x v="5"/>
    <x v="691"/>
    <n v="1747.57"/>
    <n v="0.2924313922356091"/>
  </r>
  <r>
    <x v="573"/>
    <x v="8"/>
    <x v="1"/>
    <x v="0"/>
    <x v="5"/>
    <x v="692"/>
    <n v="1400.4"/>
    <n v="0.16448202959830868"/>
  </r>
  <r>
    <x v="574"/>
    <x v="9"/>
    <x v="2"/>
    <x v="2"/>
    <x v="4"/>
    <x v="693"/>
    <n v="157.47"/>
    <n v="0.19440740740740742"/>
  </r>
  <r>
    <x v="449"/>
    <x v="1"/>
    <x v="1"/>
    <x v="2"/>
    <x v="4"/>
    <x v="694"/>
    <n v="12.02"/>
    <n v="0.16929577464788731"/>
  </r>
  <r>
    <x v="575"/>
    <x v="9"/>
    <x v="2"/>
    <x v="0"/>
    <x v="4"/>
    <x v="437"/>
    <n v="57.94"/>
    <n v="8.9001536098310283E-2"/>
  </r>
  <r>
    <x v="576"/>
    <x v="6"/>
    <x v="1"/>
    <x v="0"/>
    <x v="8"/>
    <x v="695"/>
    <n v="119.11"/>
    <n v="9.567068273092369E-2"/>
  </r>
  <r>
    <x v="577"/>
    <x v="6"/>
    <x v="1"/>
    <x v="3"/>
    <x v="4"/>
    <x v="696"/>
    <n v="58.38"/>
    <n v="0.12581896551724139"/>
  </r>
  <r>
    <x v="17"/>
    <x v="6"/>
    <x v="1"/>
    <x v="0"/>
    <x v="2"/>
    <x v="402"/>
    <n v="356.43"/>
    <n v="6.9142580019398645E-2"/>
  </r>
  <r>
    <x v="25"/>
    <x v="7"/>
    <x v="2"/>
    <x v="1"/>
    <x v="2"/>
    <x v="697"/>
    <n v="786.27"/>
    <n v="0.15193623188405797"/>
  </r>
  <r>
    <x v="555"/>
    <x v="7"/>
    <x v="2"/>
    <x v="1"/>
    <x v="3"/>
    <x v="51"/>
    <n v="470.42"/>
    <n v="0.28202637889688248"/>
  </r>
  <r>
    <x v="58"/>
    <x v="0"/>
    <x v="0"/>
    <x v="1"/>
    <x v="8"/>
    <x v="55"/>
    <n v="532.80999999999995"/>
    <n v="0.28462072649572645"/>
  </r>
  <r>
    <x v="283"/>
    <x v="9"/>
    <x v="2"/>
    <x v="0"/>
    <x v="8"/>
    <x v="698"/>
    <n v="132.56"/>
    <n v="0.25840155945419102"/>
  </r>
  <r>
    <x v="75"/>
    <x v="0"/>
    <x v="0"/>
    <x v="3"/>
    <x v="3"/>
    <x v="699"/>
    <n v="366.5"/>
    <n v="0.1610281195079086"/>
  </r>
  <r>
    <x v="240"/>
    <x v="1"/>
    <x v="1"/>
    <x v="3"/>
    <x v="0"/>
    <x v="700"/>
    <n v="305.79000000000002"/>
    <n v="8.9203617269544927E-2"/>
  </r>
  <r>
    <x v="578"/>
    <x v="8"/>
    <x v="1"/>
    <x v="1"/>
    <x v="3"/>
    <x v="78"/>
    <n v="176.87"/>
    <n v="0.10784756097560975"/>
  </r>
  <r>
    <x v="538"/>
    <x v="3"/>
    <x v="2"/>
    <x v="1"/>
    <x v="1"/>
    <x v="701"/>
    <n v="1921.73"/>
    <n v="0.27154585276246995"/>
  </r>
  <r>
    <x v="85"/>
    <x v="0"/>
    <x v="0"/>
    <x v="2"/>
    <x v="5"/>
    <x v="702"/>
    <n v="1391.15"/>
    <n v="0.15080216802168023"/>
  </r>
  <r>
    <x v="451"/>
    <x v="1"/>
    <x v="1"/>
    <x v="2"/>
    <x v="2"/>
    <x v="84"/>
    <n v="584.77"/>
    <n v="0.14955754475703326"/>
  </r>
  <r>
    <x v="175"/>
    <x v="0"/>
    <x v="0"/>
    <x v="3"/>
    <x v="2"/>
    <x v="703"/>
    <n v="369.22"/>
    <n v="0.18507268170426067"/>
  </r>
  <r>
    <x v="579"/>
    <x v="8"/>
    <x v="1"/>
    <x v="0"/>
    <x v="1"/>
    <x v="704"/>
    <n v="43.43"/>
    <n v="0.11280519480519481"/>
  </r>
  <r>
    <x v="580"/>
    <x v="1"/>
    <x v="1"/>
    <x v="1"/>
    <x v="0"/>
    <x v="705"/>
    <n v="566.70000000000005"/>
    <n v="0.13130213160333642"/>
  </r>
  <r>
    <x v="74"/>
    <x v="5"/>
    <x v="2"/>
    <x v="0"/>
    <x v="4"/>
    <x v="706"/>
    <n v="340.69"/>
    <n v="0.291437125748503"/>
  </r>
  <r>
    <x v="367"/>
    <x v="4"/>
    <x v="1"/>
    <x v="1"/>
    <x v="2"/>
    <x v="559"/>
    <n v="506.32"/>
    <n v="0.21777204301075268"/>
  </r>
  <r>
    <x v="226"/>
    <x v="6"/>
    <x v="1"/>
    <x v="0"/>
    <x v="4"/>
    <x v="707"/>
    <n v="48.92"/>
    <n v="0.24582914572864323"/>
  </r>
  <r>
    <x v="581"/>
    <x v="5"/>
    <x v="2"/>
    <x v="2"/>
    <x v="8"/>
    <x v="708"/>
    <n v="80.58"/>
    <n v="0.21487999999999999"/>
  </r>
  <r>
    <x v="582"/>
    <x v="9"/>
    <x v="2"/>
    <x v="1"/>
    <x v="5"/>
    <x v="709"/>
    <n v="763.32"/>
    <n v="9.5295880149812745E-2"/>
  </r>
  <r>
    <x v="564"/>
    <x v="1"/>
    <x v="1"/>
    <x v="1"/>
    <x v="0"/>
    <x v="710"/>
    <n v="77.13"/>
    <n v="0.24408227848101263"/>
  </r>
  <r>
    <x v="583"/>
    <x v="3"/>
    <x v="2"/>
    <x v="2"/>
    <x v="5"/>
    <x v="711"/>
    <n v="442.49"/>
    <n v="7.5061916878710777E-2"/>
  </r>
  <r>
    <x v="584"/>
    <x v="4"/>
    <x v="1"/>
    <x v="1"/>
    <x v="0"/>
    <x v="712"/>
    <n v="35.21"/>
    <n v="9.0747422680412373E-2"/>
  </r>
  <r>
    <x v="585"/>
    <x v="1"/>
    <x v="1"/>
    <x v="3"/>
    <x v="2"/>
    <x v="713"/>
    <n v="462.97"/>
    <n v="0.126149863760218"/>
  </r>
  <r>
    <x v="478"/>
    <x v="7"/>
    <x v="2"/>
    <x v="1"/>
    <x v="5"/>
    <x v="714"/>
    <n v="2178.0500000000002"/>
    <n v="0.28172940111240463"/>
  </r>
  <r>
    <x v="586"/>
    <x v="9"/>
    <x v="2"/>
    <x v="2"/>
    <x v="8"/>
    <x v="715"/>
    <n v="91.23"/>
    <n v="5.7161654135338351E-2"/>
  </r>
  <r>
    <x v="552"/>
    <x v="3"/>
    <x v="2"/>
    <x v="1"/>
    <x v="0"/>
    <x v="716"/>
    <n v="216.16"/>
    <n v="5.1564885496183203E-2"/>
  </r>
  <r>
    <x v="587"/>
    <x v="2"/>
    <x v="2"/>
    <x v="3"/>
    <x v="1"/>
    <x v="717"/>
    <n v="756.33"/>
    <n v="0.1436797112462006"/>
  </r>
  <r>
    <x v="388"/>
    <x v="9"/>
    <x v="2"/>
    <x v="0"/>
    <x v="4"/>
    <x v="718"/>
    <n v="48.81"/>
    <n v="0.11484705882352941"/>
  </r>
  <r>
    <x v="81"/>
    <x v="5"/>
    <x v="2"/>
    <x v="0"/>
    <x v="0"/>
    <x v="719"/>
    <n v="211.72"/>
    <n v="6.2639053254437874E-2"/>
  </r>
  <r>
    <x v="588"/>
    <x v="0"/>
    <x v="0"/>
    <x v="1"/>
    <x v="1"/>
    <x v="720"/>
    <n v="2009.05"/>
    <n v="0.2397720491705454"/>
  </r>
  <r>
    <x v="408"/>
    <x v="8"/>
    <x v="1"/>
    <x v="0"/>
    <x v="0"/>
    <x v="721"/>
    <n v="393.72"/>
    <n v="0.193"/>
  </r>
  <r>
    <x v="57"/>
    <x v="0"/>
    <x v="0"/>
    <x v="1"/>
    <x v="0"/>
    <x v="722"/>
    <n v="116.65"/>
    <n v="8.7312874251497016E-2"/>
  </r>
  <r>
    <x v="589"/>
    <x v="8"/>
    <x v="1"/>
    <x v="2"/>
    <x v="3"/>
    <x v="723"/>
    <n v="157.41"/>
    <n v="8.1390899689762153E-2"/>
  </r>
  <r>
    <x v="549"/>
    <x v="8"/>
    <x v="1"/>
    <x v="2"/>
    <x v="8"/>
    <x v="724"/>
    <n v="391.11"/>
    <n v="0.25071153846153849"/>
  </r>
  <r>
    <x v="241"/>
    <x v="8"/>
    <x v="1"/>
    <x v="0"/>
    <x v="7"/>
    <x v="725"/>
    <n v="1217.8599999999999"/>
    <n v="0.27392262708052179"/>
  </r>
  <r>
    <x v="278"/>
    <x v="0"/>
    <x v="0"/>
    <x v="3"/>
    <x v="8"/>
    <x v="726"/>
    <n v="508.8"/>
    <n v="0.26877971473851031"/>
  </r>
  <r>
    <x v="562"/>
    <x v="3"/>
    <x v="2"/>
    <x v="1"/>
    <x v="0"/>
    <x v="727"/>
    <n v="670.42"/>
    <n v="0.14924755120213712"/>
  </r>
  <r>
    <x v="212"/>
    <x v="1"/>
    <x v="1"/>
    <x v="2"/>
    <x v="7"/>
    <x v="728"/>
    <n v="1852.45"/>
    <n v="0.29743898522800255"/>
  </r>
  <r>
    <x v="590"/>
    <x v="3"/>
    <x v="2"/>
    <x v="1"/>
    <x v="1"/>
    <x v="729"/>
    <n v="1295.8900000000001"/>
    <n v="0.29431978196684083"/>
  </r>
  <r>
    <x v="591"/>
    <x v="4"/>
    <x v="1"/>
    <x v="2"/>
    <x v="5"/>
    <x v="730"/>
    <n v="510.97"/>
    <n v="0.12235871647509579"/>
  </r>
  <r>
    <x v="82"/>
    <x v="8"/>
    <x v="1"/>
    <x v="3"/>
    <x v="3"/>
    <x v="731"/>
    <n v="64.430000000000007"/>
    <n v="0.13257201646090536"/>
  </r>
  <r>
    <x v="255"/>
    <x v="0"/>
    <x v="0"/>
    <x v="1"/>
    <x v="2"/>
    <x v="364"/>
    <n v="1084.69"/>
    <n v="0.22227254098360658"/>
  </r>
  <r>
    <x v="592"/>
    <x v="0"/>
    <x v="0"/>
    <x v="3"/>
    <x v="2"/>
    <x v="732"/>
    <n v="53.21"/>
    <n v="0.20079245283018868"/>
  </r>
  <r>
    <x v="593"/>
    <x v="9"/>
    <x v="2"/>
    <x v="1"/>
    <x v="4"/>
    <x v="630"/>
    <n v="128.58000000000001"/>
    <n v="0.12351585014409223"/>
  </r>
  <r>
    <x v="594"/>
    <x v="7"/>
    <x v="2"/>
    <x v="1"/>
    <x v="6"/>
    <x v="733"/>
    <n v="616.5"/>
    <n v="6.525190516511431E-2"/>
  </r>
  <r>
    <x v="595"/>
    <x v="4"/>
    <x v="1"/>
    <x v="2"/>
    <x v="8"/>
    <x v="734"/>
    <n v="440.46"/>
    <n v="0.2723933209647495"/>
  </r>
  <r>
    <x v="298"/>
    <x v="9"/>
    <x v="2"/>
    <x v="3"/>
    <x v="3"/>
    <x v="735"/>
    <n v="233.7"/>
    <n v="0.15726783310901749"/>
  </r>
  <r>
    <x v="596"/>
    <x v="5"/>
    <x v="2"/>
    <x v="1"/>
    <x v="6"/>
    <x v="736"/>
    <n v="1539.72"/>
    <n v="0.21528523489932885"/>
  </r>
  <r>
    <x v="597"/>
    <x v="1"/>
    <x v="1"/>
    <x v="1"/>
    <x v="7"/>
    <x v="737"/>
    <n v="368.36"/>
    <n v="0.26236467236467237"/>
  </r>
  <r>
    <x v="138"/>
    <x v="3"/>
    <x v="2"/>
    <x v="2"/>
    <x v="3"/>
    <x v="738"/>
    <n v="16.23"/>
    <n v="0.13303278688524592"/>
  </r>
  <r>
    <x v="598"/>
    <x v="3"/>
    <x v="2"/>
    <x v="0"/>
    <x v="5"/>
    <x v="739"/>
    <n v="1285.72"/>
    <n v="0.17067834859949554"/>
  </r>
  <r>
    <x v="476"/>
    <x v="4"/>
    <x v="1"/>
    <x v="2"/>
    <x v="0"/>
    <x v="676"/>
    <n v="810.08"/>
    <n v="0.20835390946502058"/>
  </r>
  <r>
    <x v="528"/>
    <x v="7"/>
    <x v="2"/>
    <x v="2"/>
    <x v="2"/>
    <x v="740"/>
    <n v="48.87"/>
    <n v="5.6172413793103448E-2"/>
  </r>
  <r>
    <x v="380"/>
    <x v="1"/>
    <x v="1"/>
    <x v="2"/>
    <x v="3"/>
    <x v="741"/>
    <n v="403.89"/>
    <n v="0.27931535269709545"/>
  </r>
  <r>
    <x v="599"/>
    <x v="2"/>
    <x v="2"/>
    <x v="2"/>
    <x v="7"/>
    <x v="742"/>
    <n v="151.91"/>
    <n v="0.29786274509803923"/>
  </r>
  <r>
    <x v="600"/>
    <x v="8"/>
    <x v="1"/>
    <x v="3"/>
    <x v="6"/>
    <x v="75"/>
    <n v="790.27"/>
    <n v="0.12697140102827764"/>
  </r>
  <r>
    <x v="526"/>
    <x v="8"/>
    <x v="1"/>
    <x v="0"/>
    <x v="3"/>
    <x v="648"/>
    <n v="85.03"/>
    <n v="0.12395043731778425"/>
  </r>
  <r>
    <x v="25"/>
    <x v="1"/>
    <x v="1"/>
    <x v="3"/>
    <x v="0"/>
    <x v="743"/>
    <n v="591.94000000000005"/>
    <n v="0.20842957746478874"/>
  </r>
  <r>
    <x v="477"/>
    <x v="9"/>
    <x v="2"/>
    <x v="2"/>
    <x v="1"/>
    <x v="744"/>
    <n v="347.62"/>
    <n v="0.13568306010928963"/>
  </r>
  <r>
    <x v="28"/>
    <x v="7"/>
    <x v="2"/>
    <x v="3"/>
    <x v="2"/>
    <x v="745"/>
    <n v="216.12"/>
    <n v="0.27356962025316456"/>
  </r>
  <r>
    <x v="24"/>
    <x v="9"/>
    <x v="2"/>
    <x v="1"/>
    <x v="2"/>
    <x v="746"/>
    <n v="786.42"/>
    <n v="0.18858992805755395"/>
  </r>
  <r>
    <x v="601"/>
    <x v="2"/>
    <x v="2"/>
    <x v="1"/>
    <x v="0"/>
    <x v="747"/>
    <n v="373.59"/>
    <n v="0.2746985294117647"/>
  </r>
  <r>
    <x v="576"/>
    <x v="3"/>
    <x v="2"/>
    <x v="1"/>
    <x v="7"/>
    <x v="748"/>
    <n v="782.42"/>
    <n v="0.1471820917983446"/>
  </r>
  <r>
    <x v="50"/>
    <x v="9"/>
    <x v="2"/>
    <x v="3"/>
    <x v="0"/>
    <x v="749"/>
    <n v="293.38"/>
    <n v="7.4160768452982806E-2"/>
  </r>
  <r>
    <x v="255"/>
    <x v="6"/>
    <x v="1"/>
    <x v="0"/>
    <x v="8"/>
    <x v="750"/>
    <n v="94.38"/>
    <n v="0.13"/>
  </r>
  <r>
    <x v="218"/>
    <x v="7"/>
    <x v="2"/>
    <x v="0"/>
    <x v="0"/>
    <x v="121"/>
    <n v="29.37"/>
    <n v="0.12881578947368422"/>
  </r>
  <r>
    <x v="462"/>
    <x v="4"/>
    <x v="1"/>
    <x v="0"/>
    <x v="8"/>
    <x v="391"/>
    <n v="442.57"/>
    <n v="0.19462181178540017"/>
  </r>
  <r>
    <x v="602"/>
    <x v="8"/>
    <x v="1"/>
    <x v="0"/>
    <x v="5"/>
    <x v="751"/>
    <n v="459.87"/>
    <n v="0.17498858447488586"/>
  </r>
  <r>
    <x v="603"/>
    <x v="3"/>
    <x v="2"/>
    <x v="2"/>
    <x v="7"/>
    <x v="752"/>
    <n v="104.85"/>
    <n v="0.17301980198019801"/>
  </r>
  <r>
    <x v="131"/>
    <x v="4"/>
    <x v="1"/>
    <x v="1"/>
    <x v="6"/>
    <x v="753"/>
    <n v="558.79"/>
    <n v="7.7010749724366043E-2"/>
  </r>
  <r>
    <x v="604"/>
    <x v="3"/>
    <x v="2"/>
    <x v="3"/>
    <x v="0"/>
    <x v="754"/>
    <n v="125.69"/>
    <n v="6.4258691206543969E-2"/>
  </r>
  <r>
    <x v="295"/>
    <x v="0"/>
    <x v="0"/>
    <x v="2"/>
    <x v="7"/>
    <x v="383"/>
    <n v="690.1"/>
    <n v="0.17453211937278706"/>
  </r>
  <r>
    <x v="351"/>
    <x v="8"/>
    <x v="1"/>
    <x v="1"/>
    <x v="7"/>
    <x v="90"/>
    <n v="442.86"/>
    <n v="0.19578249336870027"/>
  </r>
  <r>
    <x v="483"/>
    <x v="0"/>
    <x v="0"/>
    <x v="0"/>
    <x v="0"/>
    <x v="755"/>
    <n v="391.59"/>
    <n v="0.13965406562054208"/>
  </r>
  <r>
    <x v="605"/>
    <x v="2"/>
    <x v="2"/>
    <x v="2"/>
    <x v="5"/>
    <x v="756"/>
    <n v="1511.06"/>
    <n v="0.25830085470085468"/>
  </r>
  <r>
    <x v="606"/>
    <x v="8"/>
    <x v="1"/>
    <x v="3"/>
    <x v="4"/>
    <x v="757"/>
    <n v="9.16"/>
    <n v="0.16357142857142856"/>
  </r>
  <r>
    <x v="607"/>
    <x v="6"/>
    <x v="1"/>
    <x v="1"/>
    <x v="5"/>
    <x v="604"/>
    <n v="344.64"/>
    <n v="8.0111576011157593E-2"/>
  </r>
  <r>
    <x v="146"/>
    <x v="3"/>
    <x v="2"/>
    <x v="3"/>
    <x v="5"/>
    <x v="758"/>
    <n v="1690.66"/>
    <n v="0.16668244109237898"/>
  </r>
  <r>
    <x v="332"/>
    <x v="4"/>
    <x v="1"/>
    <x v="0"/>
    <x v="4"/>
    <x v="549"/>
    <n v="164.89"/>
    <n v="0.16293478260869565"/>
  </r>
  <r>
    <x v="608"/>
    <x v="2"/>
    <x v="2"/>
    <x v="1"/>
    <x v="5"/>
    <x v="759"/>
    <n v="448.62"/>
    <n v="5.0046854082998665E-2"/>
  </r>
  <r>
    <x v="87"/>
    <x v="1"/>
    <x v="1"/>
    <x v="2"/>
    <x v="7"/>
    <x v="760"/>
    <n v="262.36"/>
    <n v="0.14923777019340159"/>
  </r>
  <r>
    <x v="305"/>
    <x v="0"/>
    <x v="0"/>
    <x v="0"/>
    <x v="7"/>
    <x v="761"/>
    <n v="557.72"/>
    <n v="8.7857592942659116E-2"/>
  </r>
  <r>
    <x v="609"/>
    <x v="0"/>
    <x v="0"/>
    <x v="0"/>
    <x v="3"/>
    <x v="762"/>
    <n v="422.46"/>
    <n v="0.26704171934260429"/>
  </r>
  <r>
    <x v="97"/>
    <x v="1"/>
    <x v="1"/>
    <x v="2"/>
    <x v="3"/>
    <x v="664"/>
    <n v="394.4"/>
    <n v="0.20498960498960497"/>
  </r>
  <r>
    <x v="610"/>
    <x v="8"/>
    <x v="1"/>
    <x v="0"/>
    <x v="4"/>
    <x v="601"/>
    <n v="23.86"/>
    <n v="0.19883333333333333"/>
  </r>
  <r>
    <x v="611"/>
    <x v="4"/>
    <x v="1"/>
    <x v="1"/>
    <x v="6"/>
    <x v="763"/>
    <n v="1943.84"/>
    <n v="0.25075335397316822"/>
  </r>
  <r>
    <x v="442"/>
    <x v="3"/>
    <x v="2"/>
    <x v="1"/>
    <x v="3"/>
    <x v="764"/>
    <n v="300.44"/>
    <n v="0.26969479353680431"/>
  </r>
  <r>
    <x v="271"/>
    <x v="8"/>
    <x v="1"/>
    <x v="0"/>
    <x v="2"/>
    <x v="765"/>
    <n v="229.06"/>
    <n v="0.12977903682719547"/>
  </r>
  <r>
    <x v="612"/>
    <x v="8"/>
    <x v="1"/>
    <x v="3"/>
    <x v="7"/>
    <x v="766"/>
    <n v="1418.21"/>
    <n v="0.20752268071407667"/>
  </r>
  <r>
    <x v="415"/>
    <x v="7"/>
    <x v="2"/>
    <x v="1"/>
    <x v="2"/>
    <x v="767"/>
    <n v="433.53"/>
    <n v="0.28521710526315786"/>
  </r>
  <r>
    <x v="613"/>
    <x v="5"/>
    <x v="2"/>
    <x v="3"/>
    <x v="1"/>
    <x v="768"/>
    <n v="767.6"/>
    <n v="9.4288170986365313E-2"/>
  </r>
  <r>
    <x v="614"/>
    <x v="2"/>
    <x v="2"/>
    <x v="2"/>
    <x v="6"/>
    <x v="769"/>
    <n v="866.36"/>
    <n v="0.16738021638330758"/>
  </r>
  <r>
    <x v="239"/>
    <x v="1"/>
    <x v="1"/>
    <x v="1"/>
    <x v="5"/>
    <x v="770"/>
    <n v="64.42"/>
    <n v="8.7289972899728993E-2"/>
  </r>
  <r>
    <x v="607"/>
    <x v="0"/>
    <x v="0"/>
    <x v="2"/>
    <x v="5"/>
    <x v="771"/>
    <n v="217.48"/>
    <n v="5.322564855604503E-2"/>
  </r>
  <r>
    <x v="615"/>
    <x v="1"/>
    <x v="1"/>
    <x v="1"/>
    <x v="3"/>
    <x v="772"/>
    <n v="28.13"/>
    <n v="6.3642533936651577E-2"/>
  </r>
  <r>
    <x v="616"/>
    <x v="7"/>
    <x v="2"/>
    <x v="1"/>
    <x v="7"/>
    <x v="773"/>
    <n v="153.86000000000001"/>
    <n v="6.2090395480225997E-2"/>
  </r>
  <r>
    <x v="234"/>
    <x v="8"/>
    <x v="1"/>
    <x v="2"/>
    <x v="3"/>
    <x v="774"/>
    <n v="327.14999999999998"/>
    <n v="0.17588709677419354"/>
  </r>
  <r>
    <x v="82"/>
    <x v="6"/>
    <x v="1"/>
    <x v="1"/>
    <x v="5"/>
    <x v="775"/>
    <n v="991.82"/>
    <n v="0.19964170692431563"/>
  </r>
  <r>
    <x v="617"/>
    <x v="0"/>
    <x v="0"/>
    <x v="2"/>
    <x v="8"/>
    <x v="741"/>
    <n v="278.94"/>
    <n v="0.19290456431535269"/>
  </r>
  <r>
    <x v="526"/>
    <x v="1"/>
    <x v="1"/>
    <x v="1"/>
    <x v="1"/>
    <x v="776"/>
    <n v="414.87"/>
    <n v="0.24092334494773521"/>
  </r>
  <r>
    <x v="164"/>
    <x v="5"/>
    <x v="2"/>
    <x v="1"/>
    <x v="1"/>
    <x v="777"/>
    <n v="460.28"/>
    <n v="7.0025863380495962E-2"/>
  </r>
  <r>
    <x v="207"/>
    <x v="4"/>
    <x v="1"/>
    <x v="1"/>
    <x v="8"/>
    <x v="778"/>
    <n v="249.52"/>
    <n v="0.10057234985892785"/>
  </r>
  <r>
    <x v="618"/>
    <x v="6"/>
    <x v="1"/>
    <x v="3"/>
    <x v="7"/>
    <x v="779"/>
    <n v="1102.8599999999999"/>
    <n v="0.28810344827586204"/>
  </r>
  <r>
    <x v="500"/>
    <x v="2"/>
    <x v="2"/>
    <x v="1"/>
    <x v="1"/>
    <x v="1"/>
    <n v="103.34"/>
    <n v="8.6332497911445288E-2"/>
  </r>
  <r>
    <x v="231"/>
    <x v="2"/>
    <x v="2"/>
    <x v="3"/>
    <x v="1"/>
    <x v="780"/>
    <n v="1459.84"/>
    <n v="0.19150465695920241"/>
  </r>
  <r>
    <x v="201"/>
    <x v="1"/>
    <x v="1"/>
    <x v="0"/>
    <x v="5"/>
    <x v="781"/>
    <n v="252.11"/>
    <n v="7.4500591016548462E-2"/>
  </r>
  <r>
    <x v="105"/>
    <x v="6"/>
    <x v="1"/>
    <x v="2"/>
    <x v="6"/>
    <x v="782"/>
    <n v="273.97000000000003"/>
    <n v="0.21139660493827162"/>
  </r>
  <r>
    <x v="619"/>
    <x v="2"/>
    <x v="2"/>
    <x v="3"/>
    <x v="6"/>
    <x v="743"/>
    <n v="262.62"/>
    <n v="9.2471830985915493E-2"/>
  </r>
  <r>
    <x v="589"/>
    <x v="3"/>
    <x v="2"/>
    <x v="1"/>
    <x v="1"/>
    <x v="783"/>
    <n v="342.93"/>
    <n v="0.22268181818181818"/>
  </r>
  <r>
    <x v="620"/>
    <x v="3"/>
    <x v="2"/>
    <x v="3"/>
    <x v="3"/>
    <x v="784"/>
    <n v="308.39"/>
    <n v="0.21809759547383309"/>
  </r>
  <r>
    <x v="621"/>
    <x v="3"/>
    <x v="2"/>
    <x v="3"/>
    <x v="6"/>
    <x v="785"/>
    <n v="466.38"/>
    <n v="5.6001440922190199E-2"/>
  </r>
  <r>
    <x v="556"/>
    <x v="3"/>
    <x v="2"/>
    <x v="0"/>
    <x v="3"/>
    <x v="786"/>
    <n v="217.21"/>
    <n v="0.29194892473118278"/>
  </r>
  <r>
    <x v="622"/>
    <x v="1"/>
    <x v="1"/>
    <x v="2"/>
    <x v="5"/>
    <x v="787"/>
    <n v="168.01"/>
    <n v="9.4760293288212061E-2"/>
  </r>
  <r>
    <x v="138"/>
    <x v="7"/>
    <x v="2"/>
    <x v="1"/>
    <x v="1"/>
    <x v="788"/>
    <n v="1018.37"/>
    <n v="0.16877195889956911"/>
  </r>
  <r>
    <x v="623"/>
    <x v="7"/>
    <x v="2"/>
    <x v="2"/>
    <x v="5"/>
    <x v="789"/>
    <n v="99.21"/>
    <n v="0.13123015873015872"/>
  </r>
  <r>
    <x v="624"/>
    <x v="6"/>
    <x v="1"/>
    <x v="1"/>
    <x v="6"/>
    <x v="790"/>
    <n v="468.52"/>
    <n v="0.20767730496453901"/>
  </r>
  <r>
    <x v="554"/>
    <x v="6"/>
    <x v="1"/>
    <x v="0"/>
    <x v="1"/>
    <x v="791"/>
    <n v="203.63"/>
    <n v="0.23271999999999998"/>
  </r>
  <r>
    <x v="48"/>
    <x v="4"/>
    <x v="1"/>
    <x v="2"/>
    <x v="0"/>
    <x v="792"/>
    <n v="115.13"/>
    <n v="9.5306291390728479E-2"/>
  </r>
  <r>
    <x v="625"/>
    <x v="4"/>
    <x v="1"/>
    <x v="2"/>
    <x v="3"/>
    <x v="793"/>
    <n v="54.19"/>
    <n v="0.15394886363636362"/>
  </r>
  <r>
    <x v="626"/>
    <x v="0"/>
    <x v="0"/>
    <x v="3"/>
    <x v="7"/>
    <x v="794"/>
    <n v="357.51"/>
    <n v="8.3804500703234877E-2"/>
  </r>
  <r>
    <x v="627"/>
    <x v="2"/>
    <x v="2"/>
    <x v="0"/>
    <x v="1"/>
    <x v="795"/>
    <n v="496.89"/>
    <n v="0.26990222705051603"/>
  </r>
  <r>
    <x v="624"/>
    <x v="3"/>
    <x v="2"/>
    <x v="1"/>
    <x v="4"/>
    <x v="796"/>
    <n v="89.5"/>
    <n v="0.12570224719101122"/>
  </r>
  <r>
    <x v="628"/>
    <x v="0"/>
    <x v="0"/>
    <x v="3"/>
    <x v="3"/>
    <x v="797"/>
    <n v="72.19"/>
    <n v="9.9709944751381216E-2"/>
  </r>
  <r>
    <x v="629"/>
    <x v="7"/>
    <x v="2"/>
    <x v="3"/>
    <x v="6"/>
    <x v="798"/>
    <n v="662.72"/>
    <n v="0.11363511659807957"/>
  </r>
  <r>
    <x v="427"/>
    <x v="8"/>
    <x v="1"/>
    <x v="2"/>
    <x v="7"/>
    <x v="799"/>
    <n v="989.14"/>
    <n v="0.23618433619866283"/>
  </r>
  <r>
    <x v="630"/>
    <x v="2"/>
    <x v="2"/>
    <x v="3"/>
    <x v="4"/>
    <x v="800"/>
    <n v="50.7"/>
    <n v="0.12933673469387755"/>
  </r>
  <r>
    <x v="92"/>
    <x v="9"/>
    <x v="2"/>
    <x v="1"/>
    <x v="5"/>
    <x v="801"/>
    <n v="49.71"/>
    <n v="5.1619937694704049E-2"/>
  </r>
  <r>
    <x v="631"/>
    <x v="3"/>
    <x v="2"/>
    <x v="3"/>
    <x v="7"/>
    <x v="802"/>
    <n v="319.45999999999998"/>
    <n v="5.5986680686996138E-2"/>
  </r>
  <r>
    <x v="525"/>
    <x v="4"/>
    <x v="1"/>
    <x v="3"/>
    <x v="1"/>
    <x v="803"/>
    <n v="312.04000000000002"/>
    <n v="0.2286007326007326"/>
  </r>
  <r>
    <x v="632"/>
    <x v="4"/>
    <x v="1"/>
    <x v="2"/>
    <x v="4"/>
    <x v="804"/>
    <n v="11.24"/>
    <n v="5.5643564356435644E-2"/>
  </r>
  <r>
    <x v="161"/>
    <x v="7"/>
    <x v="2"/>
    <x v="0"/>
    <x v="5"/>
    <x v="805"/>
    <n v="613.66999999999996"/>
    <n v="0.25253909465020574"/>
  </r>
  <r>
    <x v="621"/>
    <x v="6"/>
    <x v="1"/>
    <x v="2"/>
    <x v="8"/>
    <x v="806"/>
    <n v="515.39"/>
    <n v="0.19302996254681648"/>
  </r>
  <r>
    <x v="633"/>
    <x v="2"/>
    <x v="2"/>
    <x v="2"/>
    <x v="1"/>
    <x v="807"/>
    <n v="520.66"/>
    <n v="0.18878172588832487"/>
  </r>
  <r>
    <x v="634"/>
    <x v="6"/>
    <x v="1"/>
    <x v="2"/>
    <x v="5"/>
    <x v="92"/>
    <n v="82.35"/>
    <n v="9.4329896907216493E-2"/>
  </r>
  <r>
    <x v="635"/>
    <x v="5"/>
    <x v="2"/>
    <x v="3"/>
    <x v="5"/>
    <x v="808"/>
    <n v="1410.92"/>
    <n v="0.19474396135265701"/>
  </r>
  <r>
    <x v="280"/>
    <x v="3"/>
    <x v="2"/>
    <x v="0"/>
    <x v="0"/>
    <x v="662"/>
    <n v="255.24"/>
    <n v="0.26587500000000003"/>
  </r>
  <r>
    <x v="66"/>
    <x v="5"/>
    <x v="2"/>
    <x v="1"/>
    <x v="0"/>
    <x v="809"/>
    <n v="171.02"/>
    <n v="0.13319314641744548"/>
  </r>
  <r>
    <x v="636"/>
    <x v="1"/>
    <x v="1"/>
    <x v="3"/>
    <x v="0"/>
    <x v="810"/>
    <n v="110.47"/>
    <n v="0.21576171875"/>
  </r>
  <r>
    <x v="637"/>
    <x v="5"/>
    <x v="2"/>
    <x v="2"/>
    <x v="5"/>
    <x v="811"/>
    <n v="2039.41"/>
    <n v="0.20962174940898345"/>
  </r>
  <r>
    <x v="351"/>
    <x v="3"/>
    <x v="2"/>
    <x v="0"/>
    <x v="2"/>
    <x v="495"/>
    <n v="166.16"/>
    <n v="0.10516455696202531"/>
  </r>
  <r>
    <x v="214"/>
    <x v="1"/>
    <x v="1"/>
    <x v="1"/>
    <x v="6"/>
    <x v="812"/>
    <n v="234.24"/>
    <n v="0.24000000000000002"/>
  </r>
  <r>
    <x v="638"/>
    <x v="0"/>
    <x v="0"/>
    <x v="0"/>
    <x v="6"/>
    <x v="813"/>
    <n v="495.35"/>
    <n v="0.27157346491228074"/>
  </r>
  <r>
    <x v="194"/>
    <x v="7"/>
    <x v="2"/>
    <x v="2"/>
    <x v="0"/>
    <x v="814"/>
    <n v="202.81"/>
    <n v="6.3616687578419068E-2"/>
  </r>
  <r>
    <x v="639"/>
    <x v="3"/>
    <x v="2"/>
    <x v="1"/>
    <x v="1"/>
    <x v="815"/>
    <n v="556.02"/>
    <n v="0.10170477409914029"/>
  </r>
  <r>
    <x v="640"/>
    <x v="7"/>
    <x v="2"/>
    <x v="2"/>
    <x v="7"/>
    <x v="816"/>
    <n v="1277.46"/>
    <n v="0.23630410654827969"/>
  </r>
  <r>
    <x v="145"/>
    <x v="4"/>
    <x v="1"/>
    <x v="1"/>
    <x v="6"/>
    <x v="817"/>
    <n v="742.31"/>
    <n v="0.24876340482573725"/>
  </r>
  <r>
    <x v="213"/>
    <x v="0"/>
    <x v="0"/>
    <x v="0"/>
    <x v="4"/>
    <x v="818"/>
    <n v="193.35"/>
    <n v="0.21039173014145809"/>
  </r>
  <r>
    <x v="641"/>
    <x v="3"/>
    <x v="2"/>
    <x v="2"/>
    <x v="7"/>
    <x v="513"/>
    <n v="426.72"/>
    <n v="0.25309608540925266"/>
  </r>
  <r>
    <x v="642"/>
    <x v="9"/>
    <x v="2"/>
    <x v="3"/>
    <x v="1"/>
    <x v="819"/>
    <n v="493.24"/>
    <n v="0.1184249699879952"/>
  </r>
  <r>
    <x v="319"/>
    <x v="7"/>
    <x v="2"/>
    <x v="3"/>
    <x v="1"/>
    <x v="820"/>
    <n v="282.63"/>
    <n v="0.22063231850117096"/>
  </r>
  <r>
    <x v="373"/>
    <x v="5"/>
    <x v="2"/>
    <x v="1"/>
    <x v="8"/>
    <x v="821"/>
    <n v="362.16"/>
    <n v="0.12801696712619301"/>
  </r>
  <r>
    <x v="552"/>
    <x v="6"/>
    <x v="1"/>
    <x v="3"/>
    <x v="8"/>
    <x v="822"/>
    <n v="292.31"/>
    <n v="0.13220714608774312"/>
  </r>
  <r>
    <x v="643"/>
    <x v="4"/>
    <x v="1"/>
    <x v="1"/>
    <x v="0"/>
    <x v="823"/>
    <n v="607.80999999999995"/>
    <n v="0.12822995780590715"/>
  </r>
  <r>
    <x v="644"/>
    <x v="3"/>
    <x v="2"/>
    <x v="1"/>
    <x v="4"/>
    <x v="824"/>
    <n v="169.09"/>
    <n v="0.23550139275766016"/>
  </r>
  <r>
    <x v="645"/>
    <x v="4"/>
    <x v="1"/>
    <x v="0"/>
    <x v="7"/>
    <x v="825"/>
    <n v="108.81"/>
    <n v="6.3409090909090915E-2"/>
  </r>
  <r>
    <x v="127"/>
    <x v="6"/>
    <x v="1"/>
    <x v="2"/>
    <x v="1"/>
    <x v="826"/>
    <n v="152.59"/>
    <n v="9.8636069812540403E-2"/>
  </r>
  <r>
    <x v="646"/>
    <x v="1"/>
    <x v="1"/>
    <x v="0"/>
    <x v="4"/>
    <x v="827"/>
    <n v="111.18"/>
    <n v="0.15044654939106902"/>
  </r>
  <r>
    <x v="647"/>
    <x v="9"/>
    <x v="2"/>
    <x v="3"/>
    <x v="8"/>
    <x v="828"/>
    <n v="231.88"/>
    <n v="0.2831257631257631"/>
  </r>
  <r>
    <x v="453"/>
    <x v="9"/>
    <x v="2"/>
    <x v="2"/>
    <x v="6"/>
    <x v="829"/>
    <n v="1156.3"/>
    <n v="0.20300210674157301"/>
  </r>
  <r>
    <x v="357"/>
    <x v="6"/>
    <x v="1"/>
    <x v="2"/>
    <x v="3"/>
    <x v="830"/>
    <n v="184.71"/>
    <n v="0.10827080890973037"/>
  </r>
  <r>
    <x v="203"/>
    <x v="3"/>
    <x v="2"/>
    <x v="0"/>
    <x v="3"/>
    <x v="831"/>
    <n v="608.23"/>
    <n v="0.2943998063891578"/>
  </r>
  <r>
    <x v="648"/>
    <x v="9"/>
    <x v="2"/>
    <x v="0"/>
    <x v="3"/>
    <x v="832"/>
    <n v="35.659999999999997"/>
    <n v="0.13929687499999999"/>
  </r>
  <r>
    <x v="649"/>
    <x v="7"/>
    <x v="2"/>
    <x v="0"/>
    <x v="3"/>
    <x v="171"/>
    <n v="182.54"/>
    <n v="0.1656442831215971"/>
  </r>
  <r>
    <x v="557"/>
    <x v="6"/>
    <x v="1"/>
    <x v="0"/>
    <x v="6"/>
    <x v="833"/>
    <n v="483.94"/>
    <n v="0.16850278551532033"/>
  </r>
  <r>
    <x v="599"/>
    <x v="2"/>
    <x v="2"/>
    <x v="1"/>
    <x v="0"/>
    <x v="240"/>
    <n v="394.52"/>
    <n v="0.15267801857585139"/>
  </r>
  <r>
    <x v="624"/>
    <x v="1"/>
    <x v="1"/>
    <x v="0"/>
    <x v="3"/>
    <x v="834"/>
    <n v="298.32"/>
    <n v="0.21838945827232795"/>
  </r>
  <r>
    <x v="239"/>
    <x v="5"/>
    <x v="2"/>
    <x v="2"/>
    <x v="1"/>
    <x v="835"/>
    <n v="354.23"/>
    <n v="0.28270550678371908"/>
  </r>
  <r>
    <x v="650"/>
    <x v="9"/>
    <x v="2"/>
    <x v="3"/>
    <x v="1"/>
    <x v="836"/>
    <n v="300.81"/>
    <n v="0.11490068754774638"/>
  </r>
  <r>
    <x v="362"/>
    <x v="4"/>
    <x v="1"/>
    <x v="1"/>
    <x v="5"/>
    <x v="837"/>
    <n v="1811.37"/>
    <n v="0.26551890941072998"/>
  </r>
  <r>
    <x v="572"/>
    <x v="8"/>
    <x v="1"/>
    <x v="1"/>
    <x v="7"/>
    <x v="838"/>
    <n v="636.16"/>
    <n v="0.12034808929247068"/>
  </r>
  <r>
    <x v="651"/>
    <x v="6"/>
    <x v="1"/>
    <x v="0"/>
    <x v="4"/>
    <x v="839"/>
    <n v="133.57"/>
    <n v="0.2306908462867012"/>
  </r>
  <r>
    <x v="512"/>
    <x v="9"/>
    <x v="2"/>
    <x v="3"/>
    <x v="6"/>
    <x v="627"/>
    <n v="190.99"/>
    <n v="0.13720545977011495"/>
  </r>
  <r>
    <x v="137"/>
    <x v="9"/>
    <x v="2"/>
    <x v="3"/>
    <x v="5"/>
    <x v="840"/>
    <n v="696.69"/>
    <n v="0.27945848375451265"/>
  </r>
  <r>
    <x v="652"/>
    <x v="7"/>
    <x v="2"/>
    <x v="0"/>
    <x v="1"/>
    <x v="841"/>
    <n v="766.45"/>
    <n v="0.11862714750038694"/>
  </r>
  <r>
    <x v="653"/>
    <x v="2"/>
    <x v="2"/>
    <x v="1"/>
    <x v="3"/>
    <x v="735"/>
    <n v="201.07"/>
    <n v="0.13530955585464333"/>
  </r>
  <r>
    <x v="654"/>
    <x v="0"/>
    <x v="0"/>
    <x v="2"/>
    <x v="4"/>
    <x v="842"/>
    <n v="280.27999999999997"/>
    <n v="0.24329861111111109"/>
  </r>
  <r>
    <x v="655"/>
    <x v="5"/>
    <x v="2"/>
    <x v="3"/>
    <x v="3"/>
    <x v="843"/>
    <n v="103.99"/>
    <n v="5.9422857142857138E-2"/>
  </r>
  <r>
    <x v="535"/>
    <x v="7"/>
    <x v="2"/>
    <x v="3"/>
    <x v="1"/>
    <x v="844"/>
    <n v="495.37"/>
    <n v="0.11215078107312655"/>
  </r>
  <r>
    <x v="528"/>
    <x v="9"/>
    <x v="2"/>
    <x v="2"/>
    <x v="0"/>
    <x v="845"/>
    <n v="276.85000000000002"/>
    <n v="7.4342105263157904E-2"/>
  </r>
  <r>
    <x v="656"/>
    <x v="3"/>
    <x v="2"/>
    <x v="3"/>
    <x v="8"/>
    <x v="846"/>
    <n v="121.14"/>
    <n v="5.4567567567567567E-2"/>
  </r>
  <r>
    <x v="657"/>
    <x v="6"/>
    <x v="1"/>
    <x v="3"/>
    <x v="6"/>
    <x v="847"/>
    <n v="2620.58"/>
    <n v="0.28784929701230227"/>
  </r>
  <r>
    <x v="145"/>
    <x v="0"/>
    <x v="0"/>
    <x v="3"/>
    <x v="8"/>
    <x v="848"/>
    <n v="584.23"/>
    <n v="0.18888781118655029"/>
  </r>
  <r>
    <x v="125"/>
    <x v="4"/>
    <x v="1"/>
    <x v="2"/>
    <x v="7"/>
    <x v="849"/>
    <n v="842.24"/>
    <n v="0.27632545931758529"/>
  </r>
  <r>
    <x v="658"/>
    <x v="7"/>
    <x v="2"/>
    <x v="0"/>
    <x v="4"/>
    <x v="850"/>
    <n v="36.58"/>
    <n v="0.22720496894409936"/>
  </r>
  <r>
    <x v="476"/>
    <x v="6"/>
    <x v="1"/>
    <x v="3"/>
    <x v="1"/>
    <x v="851"/>
    <n v="1889.69"/>
    <n v="0.26107902735562311"/>
  </r>
  <r>
    <x v="301"/>
    <x v="7"/>
    <x v="2"/>
    <x v="0"/>
    <x v="8"/>
    <x v="852"/>
    <n v="347.31"/>
    <n v="9.7531592249368151E-2"/>
  </r>
  <r>
    <x v="659"/>
    <x v="6"/>
    <x v="1"/>
    <x v="0"/>
    <x v="2"/>
    <x v="479"/>
    <n v="534.39"/>
    <n v="0.28885945945945946"/>
  </r>
  <r>
    <x v="660"/>
    <x v="1"/>
    <x v="1"/>
    <x v="3"/>
    <x v="7"/>
    <x v="358"/>
    <n v="626.72"/>
    <n v="0.17794434980124929"/>
  </r>
  <r>
    <x v="661"/>
    <x v="5"/>
    <x v="2"/>
    <x v="1"/>
    <x v="4"/>
    <x v="853"/>
    <n v="172.4"/>
    <n v="0.29520547945205483"/>
  </r>
  <r>
    <x v="579"/>
    <x v="7"/>
    <x v="2"/>
    <x v="1"/>
    <x v="0"/>
    <x v="854"/>
    <n v="412.44"/>
    <n v="0.16136150234741783"/>
  </r>
  <r>
    <x v="662"/>
    <x v="7"/>
    <x v="2"/>
    <x v="2"/>
    <x v="3"/>
    <x v="855"/>
    <n v="56.31"/>
    <n v="0.16181034482758622"/>
  </r>
  <r>
    <x v="663"/>
    <x v="6"/>
    <x v="1"/>
    <x v="2"/>
    <x v="5"/>
    <x v="856"/>
    <n v="142.49"/>
    <n v="8.8945068664169791E-2"/>
  </r>
  <r>
    <x v="664"/>
    <x v="6"/>
    <x v="1"/>
    <x v="2"/>
    <x v="8"/>
    <x v="443"/>
    <n v="437.59"/>
    <n v="0.15337889940413599"/>
  </r>
  <r>
    <x v="154"/>
    <x v="0"/>
    <x v="0"/>
    <x v="3"/>
    <x v="4"/>
    <x v="857"/>
    <n v="230.3"/>
    <n v="0.22490234375000001"/>
  </r>
  <r>
    <x v="310"/>
    <x v="3"/>
    <x v="2"/>
    <x v="1"/>
    <x v="2"/>
    <x v="858"/>
    <n v="1324.49"/>
    <n v="0.29531549609810481"/>
  </r>
  <r>
    <x v="665"/>
    <x v="0"/>
    <x v="0"/>
    <x v="1"/>
    <x v="3"/>
    <x v="859"/>
    <n v="79.69"/>
    <n v="0.18277522935779816"/>
  </r>
  <r>
    <x v="257"/>
    <x v="5"/>
    <x v="2"/>
    <x v="0"/>
    <x v="3"/>
    <x v="860"/>
    <n v="150.12"/>
    <n v="6.7258064516129035E-2"/>
  </r>
  <r>
    <x v="201"/>
    <x v="8"/>
    <x v="1"/>
    <x v="2"/>
    <x v="7"/>
    <x v="244"/>
    <n v="1445.01"/>
    <n v="0.20479166666666668"/>
  </r>
  <r>
    <x v="532"/>
    <x v="8"/>
    <x v="1"/>
    <x v="1"/>
    <x v="2"/>
    <x v="791"/>
    <n v="96.65"/>
    <n v="0.11045714285714286"/>
  </r>
  <r>
    <x v="666"/>
    <x v="5"/>
    <x v="2"/>
    <x v="1"/>
    <x v="8"/>
    <x v="861"/>
    <n v="61.94"/>
    <n v="0.19663492063492063"/>
  </r>
  <r>
    <x v="163"/>
    <x v="9"/>
    <x v="2"/>
    <x v="1"/>
    <x v="3"/>
    <x v="862"/>
    <n v="51.75"/>
    <n v="0.14455307262569833"/>
  </r>
  <r>
    <x v="580"/>
    <x v="3"/>
    <x v="2"/>
    <x v="2"/>
    <x v="1"/>
    <x v="863"/>
    <n v="194.42"/>
    <n v="5.6337293538104891E-2"/>
  </r>
  <r>
    <x v="667"/>
    <x v="9"/>
    <x v="2"/>
    <x v="0"/>
    <x v="5"/>
    <x v="864"/>
    <n v="189.13"/>
    <n v="0.1400962962962963"/>
  </r>
  <r>
    <x v="668"/>
    <x v="2"/>
    <x v="2"/>
    <x v="3"/>
    <x v="6"/>
    <x v="865"/>
    <n v="413.32"/>
    <n v="0.12449397590361445"/>
  </r>
  <r>
    <x v="112"/>
    <x v="1"/>
    <x v="1"/>
    <x v="0"/>
    <x v="5"/>
    <x v="866"/>
    <n v="940.33"/>
    <n v="0.11138711205875386"/>
  </r>
  <r>
    <x v="669"/>
    <x v="8"/>
    <x v="1"/>
    <x v="2"/>
    <x v="4"/>
    <x v="867"/>
    <n v="31.97"/>
    <n v="0.19259036144578312"/>
  </r>
  <r>
    <x v="479"/>
    <x v="1"/>
    <x v="1"/>
    <x v="0"/>
    <x v="2"/>
    <x v="36"/>
    <n v="448.6"/>
    <n v="0.12059139784946238"/>
  </r>
  <r>
    <x v="398"/>
    <x v="9"/>
    <x v="2"/>
    <x v="2"/>
    <x v="3"/>
    <x v="868"/>
    <n v="136.65"/>
    <n v="0.12536697247706421"/>
  </r>
  <r>
    <x v="638"/>
    <x v="9"/>
    <x v="2"/>
    <x v="3"/>
    <x v="5"/>
    <x v="869"/>
    <n v="2347.4899999999998"/>
    <n v="0.23995604620259631"/>
  </r>
  <r>
    <x v="362"/>
    <x v="7"/>
    <x v="2"/>
    <x v="0"/>
    <x v="0"/>
    <x v="870"/>
    <n v="657.18"/>
    <n v="0.27022203947368417"/>
  </r>
  <r>
    <x v="623"/>
    <x v="1"/>
    <x v="1"/>
    <x v="0"/>
    <x v="1"/>
    <x v="871"/>
    <n v="291.42"/>
    <n v="7.1778325123152714E-2"/>
  </r>
  <r>
    <x v="99"/>
    <x v="5"/>
    <x v="2"/>
    <x v="0"/>
    <x v="4"/>
    <x v="872"/>
    <n v="99.59"/>
    <n v="0.25733850129198965"/>
  </r>
  <r>
    <x v="138"/>
    <x v="5"/>
    <x v="2"/>
    <x v="0"/>
    <x v="8"/>
    <x v="873"/>
    <n v="120.56"/>
    <n v="0.12480331262939959"/>
  </r>
  <r>
    <x v="432"/>
    <x v="2"/>
    <x v="2"/>
    <x v="0"/>
    <x v="8"/>
    <x v="583"/>
    <n v="882.29"/>
    <n v="0.26211824123588828"/>
  </r>
  <r>
    <x v="561"/>
    <x v="6"/>
    <x v="1"/>
    <x v="3"/>
    <x v="1"/>
    <x v="874"/>
    <n v="1843.94"/>
    <n v="0.23540661304736371"/>
  </r>
  <r>
    <x v="32"/>
    <x v="6"/>
    <x v="1"/>
    <x v="3"/>
    <x v="4"/>
    <x v="875"/>
    <n v="33.549999999999997"/>
    <n v="5.4999999999999993E-2"/>
  </r>
  <r>
    <x v="670"/>
    <x v="5"/>
    <x v="2"/>
    <x v="3"/>
    <x v="6"/>
    <x v="876"/>
    <n v="597.09"/>
    <n v="0.13924673507462687"/>
  </r>
  <r>
    <x v="222"/>
    <x v="0"/>
    <x v="0"/>
    <x v="0"/>
    <x v="5"/>
    <x v="877"/>
    <n v="605.35"/>
    <n v="7.8210594315245477E-2"/>
  </r>
  <r>
    <x v="671"/>
    <x v="5"/>
    <x v="2"/>
    <x v="3"/>
    <x v="5"/>
    <x v="168"/>
    <n v="457.13"/>
    <n v="0.14512063492063493"/>
  </r>
  <r>
    <x v="383"/>
    <x v="8"/>
    <x v="1"/>
    <x v="3"/>
    <x v="3"/>
    <x v="878"/>
    <n v="224.75"/>
    <n v="0.25139821029082776"/>
  </r>
  <r>
    <x v="672"/>
    <x v="9"/>
    <x v="2"/>
    <x v="0"/>
    <x v="6"/>
    <x v="879"/>
    <n v="1219.73"/>
    <n v="0.161682131495228"/>
  </r>
  <r>
    <x v="458"/>
    <x v="8"/>
    <x v="1"/>
    <x v="0"/>
    <x v="6"/>
    <x v="880"/>
    <n v="1871.88"/>
    <n v="0.29432075471698116"/>
  </r>
  <r>
    <x v="120"/>
    <x v="7"/>
    <x v="2"/>
    <x v="3"/>
    <x v="0"/>
    <x v="881"/>
    <n v="485.75"/>
    <n v="0.20006177924217464"/>
  </r>
  <r>
    <x v="323"/>
    <x v="4"/>
    <x v="1"/>
    <x v="2"/>
    <x v="3"/>
    <x v="882"/>
    <n v="38.520000000000003"/>
    <n v="6.7108013937282232E-2"/>
  </r>
  <r>
    <x v="526"/>
    <x v="8"/>
    <x v="1"/>
    <x v="3"/>
    <x v="7"/>
    <x v="883"/>
    <n v="660.47"/>
    <n v="9.7934460260972717E-2"/>
  </r>
  <r>
    <x v="513"/>
    <x v="4"/>
    <x v="1"/>
    <x v="0"/>
    <x v="7"/>
    <x v="884"/>
    <n v="213.4"/>
    <n v="0.26741854636591478"/>
  </r>
  <r>
    <x v="616"/>
    <x v="0"/>
    <x v="0"/>
    <x v="0"/>
    <x v="2"/>
    <x v="885"/>
    <n v="339"/>
    <n v="0.11853146853146854"/>
  </r>
  <r>
    <x v="384"/>
    <x v="0"/>
    <x v="0"/>
    <x v="2"/>
    <x v="2"/>
    <x v="886"/>
    <n v="1129.77"/>
    <n v="0.20882994454713494"/>
  </r>
  <r>
    <x v="140"/>
    <x v="9"/>
    <x v="2"/>
    <x v="3"/>
    <x v="2"/>
    <x v="887"/>
    <n v="580.15"/>
    <n v="0.13051743532058493"/>
  </r>
  <r>
    <x v="327"/>
    <x v="5"/>
    <x v="2"/>
    <x v="2"/>
    <x v="6"/>
    <x v="888"/>
    <n v="1197.0899999999999"/>
    <n v="0.15884952229299362"/>
  </r>
  <r>
    <x v="673"/>
    <x v="6"/>
    <x v="1"/>
    <x v="0"/>
    <x v="1"/>
    <x v="819"/>
    <n v="263.26"/>
    <n v="6.3207683073229284E-2"/>
  </r>
  <r>
    <x v="674"/>
    <x v="9"/>
    <x v="2"/>
    <x v="1"/>
    <x v="8"/>
    <x v="190"/>
    <n v="763.99"/>
    <n v="0.25289308176100628"/>
  </r>
  <r>
    <x v="423"/>
    <x v="8"/>
    <x v="1"/>
    <x v="0"/>
    <x v="3"/>
    <x v="889"/>
    <n v="70.66"/>
    <n v="0.22793548387096774"/>
  </r>
  <r>
    <x v="405"/>
    <x v="4"/>
    <x v="1"/>
    <x v="2"/>
    <x v="3"/>
    <x v="890"/>
    <n v="522"/>
    <n v="0.24055299539170508"/>
  </r>
  <r>
    <x v="9"/>
    <x v="2"/>
    <x v="2"/>
    <x v="3"/>
    <x v="8"/>
    <x v="891"/>
    <n v="317.76"/>
    <n v="0.11220338983050847"/>
  </r>
  <r>
    <x v="462"/>
    <x v="5"/>
    <x v="2"/>
    <x v="3"/>
    <x v="2"/>
    <x v="892"/>
    <n v="392.09"/>
    <n v="9.9389100126742708E-2"/>
  </r>
  <r>
    <x v="4"/>
    <x v="2"/>
    <x v="2"/>
    <x v="2"/>
    <x v="0"/>
    <x v="893"/>
    <n v="308"/>
    <n v="0.14638783269961977"/>
  </r>
  <r>
    <x v="108"/>
    <x v="6"/>
    <x v="1"/>
    <x v="2"/>
    <x v="3"/>
    <x v="894"/>
    <n v="517.64"/>
    <n v="0.25128155339805824"/>
  </r>
  <r>
    <x v="172"/>
    <x v="0"/>
    <x v="0"/>
    <x v="0"/>
    <x v="0"/>
    <x v="153"/>
    <n v="155.78"/>
    <n v="0.14696226415094341"/>
  </r>
  <r>
    <x v="616"/>
    <x v="5"/>
    <x v="2"/>
    <x v="2"/>
    <x v="7"/>
    <x v="693"/>
    <n v="108.61"/>
    <n v="0.13408641975308641"/>
  </r>
  <r>
    <x v="482"/>
    <x v="9"/>
    <x v="2"/>
    <x v="3"/>
    <x v="8"/>
    <x v="92"/>
    <n v="57.42"/>
    <n v="6.5773195876288659E-2"/>
  </r>
  <r>
    <x v="89"/>
    <x v="2"/>
    <x v="2"/>
    <x v="3"/>
    <x v="2"/>
    <x v="53"/>
    <n v="121.11"/>
    <n v="0.20354621848739496"/>
  </r>
  <r>
    <x v="675"/>
    <x v="9"/>
    <x v="2"/>
    <x v="3"/>
    <x v="3"/>
    <x v="895"/>
    <n v="119.56"/>
    <n v="7.6542893725992323E-2"/>
  </r>
  <r>
    <x v="676"/>
    <x v="5"/>
    <x v="2"/>
    <x v="1"/>
    <x v="5"/>
    <x v="896"/>
    <n v="1575.99"/>
    <n v="0.29529510961214167"/>
  </r>
  <r>
    <x v="677"/>
    <x v="0"/>
    <x v="0"/>
    <x v="0"/>
    <x v="3"/>
    <x v="897"/>
    <n v="13.4"/>
    <n v="6.3207547169811321E-2"/>
  </r>
  <r>
    <x v="242"/>
    <x v="0"/>
    <x v="0"/>
    <x v="1"/>
    <x v="6"/>
    <x v="898"/>
    <n v="705.74"/>
    <n v="0.26099852071005919"/>
  </r>
  <r>
    <x v="678"/>
    <x v="9"/>
    <x v="2"/>
    <x v="0"/>
    <x v="2"/>
    <x v="899"/>
    <n v="523.32000000000005"/>
    <n v="0.16226976744186047"/>
  </r>
  <r>
    <x v="225"/>
    <x v="6"/>
    <x v="1"/>
    <x v="0"/>
    <x v="3"/>
    <x v="900"/>
    <n v="184.59"/>
    <n v="0.13754843517138599"/>
  </r>
  <r>
    <x v="679"/>
    <x v="1"/>
    <x v="1"/>
    <x v="2"/>
    <x v="1"/>
    <x v="901"/>
    <n v="1012.78"/>
    <n v="0.29831516936671576"/>
  </r>
  <r>
    <x v="84"/>
    <x v="5"/>
    <x v="2"/>
    <x v="1"/>
    <x v="0"/>
    <x v="902"/>
    <n v="480.72"/>
    <n v="0.1211491935483871"/>
  </r>
  <r>
    <x v="294"/>
    <x v="7"/>
    <x v="2"/>
    <x v="3"/>
    <x v="2"/>
    <x v="903"/>
    <n v="776.65"/>
    <n v="0.17050493962678376"/>
  </r>
  <r>
    <x v="680"/>
    <x v="2"/>
    <x v="2"/>
    <x v="3"/>
    <x v="3"/>
    <x v="904"/>
    <n v="365.44"/>
    <n v="0.17140712945590994"/>
  </r>
  <r>
    <x v="133"/>
    <x v="1"/>
    <x v="1"/>
    <x v="3"/>
    <x v="7"/>
    <x v="905"/>
    <n v="842.83"/>
    <n v="0.12934775936157153"/>
  </r>
  <r>
    <x v="191"/>
    <x v="5"/>
    <x v="2"/>
    <x v="0"/>
    <x v="3"/>
    <x v="721"/>
    <n v="481.15"/>
    <n v="0.23585784313725489"/>
  </r>
  <r>
    <x v="104"/>
    <x v="1"/>
    <x v="1"/>
    <x v="1"/>
    <x v="7"/>
    <x v="906"/>
    <n v="428.38"/>
    <n v="6.9928174991838066E-2"/>
  </r>
  <r>
    <x v="37"/>
    <x v="5"/>
    <x v="2"/>
    <x v="3"/>
    <x v="6"/>
    <x v="907"/>
    <n v="30.58"/>
    <n v="5.8807692307692304E-2"/>
  </r>
  <r>
    <x v="313"/>
    <x v="3"/>
    <x v="2"/>
    <x v="2"/>
    <x v="2"/>
    <x v="908"/>
    <n v="526.96"/>
    <n v="0.1178881431767338"/>
  </r>
  <r>
    <x v="681"/>
    <x v="5"/>
    <x v="2"/>
    <x v="3"/>
    <x v="6"/>
    <x v="909"/>
    <n v="1196.78"/>
    <n v="0.21743822674418603"/>
  </r>
  <r>
    <x v="182"/>
    <x v="4"/>
    <x v="1"/>
    <x v="3"/>
    <x v="0"/>
    <x v="910"/>
    <n v="511.69"/>
    <n v="0.16854084321475626"/>
  </r>
  <r>
    <x v="220"/>
    <x v="5"/>
    <x v="2"/>
    <x v="1"/>
    <x v="2"/>
    <x v="911"/>
    <n v="308.29000000000002"/>
    <n v="0.11313394495412844"/>
  </r>
  <r>
    <x v="389"/>
    <x v="0"/>
    <x v="0"/>
    <x v="0"/>
    <x v="6"/>
    <x v="912"/>
    <n v="336.96"/>
    <n v="8.2588235294117643E-2"/>
  </r>
  <r>
    <x v="324"/>
    <x v="8"/>
    <x v="1"/>
    <x v="0"/>
    <x v="6"/>
    <x v="913"/>
    <n v="776.6"/>
    <n v="0.25214285714285717"/>
  </r>
  <r>
    <x v="682"/>
    <x v="5"/>
    <x v="2"/>
    <x v="0"/>
    <x v="2"/>
    <x v="914"/>
    <n v="413.75"/>
    <n v="0.27131147540983608"/>
  </r>
  <r>
    <x v="683"/>
    <x v="6"/>
    <x v="1"/>
    <x v="2"/>
    <x v="0"/>
    <x v="915"/>
    <n v="342.85"/>
    <n v="0.25739489489489492"/>
  </r>
  <r>
    <x v="684"/>
    <x v="7"/>
    <x v="2"/>
    <x v="2"/>
    <x v="1"/>
    <x v="916"/>
    <n v="803.21"/>
    <n v="0.1720304133647462"/>
  </r>
  <r>
    <x v="655"/>
    <x v="5"/>
    <x v="2"/>
    <x v="3"/>
    <x v="7"/>
    <x v="917"/>
    <n v="1099.8399999999999"/>
    <n v="0.20712617702448211"/>
  </r>
  <r>
    <x v="197"/>
    <x v="3"/>
    <x v="2"/>
    <x v="1"/>
    <x v="6"/>
    <x v="918"/>
    <n v="2651.84"/>
    <n v="0.28235093696763203"/>
  </r>
  <r>
    <x v="236"/>
    <x v="6"/>
    <x v="1"/>
    <x v="2"/>
    <x v="2"/>
    <x v="864"/>
    <n v="198.19"/>
    <n v="0.14680740740740741"/>
  </r>
  <r>
    <x v="685"/>
    <x v="6"/>
    <x v="1"/>
    <x v="0"/>
    <x v="0"/>
    <x v="290"/>
    <n v="768.61"/>
    <n v="0.21069353070175439"/>
  </r>
  <r>
    <x v="346"/>
    <x v="0"/>
    <x v="0"/>
    <x v="0"/>
    <x v="3"/>
    <x v="919"/>
    <n v="47.59"/>
    <n v="0.15863333333333335"/>
  </r>
  <r>
    <x v="201"/>
    <x v="7"/>
    <x v="2"/>
    <x v="0"/>
    <x v="8"/>
    <x v="587"/>
    <n v="727.26"/>
    <n v="0.21339788732394366"/>
  </r>
  <r>
    <x v="686"/>
    <x v="8"/>
    <x v="1"/>
    <x v="2"/>
    <x v="5"/>
    <x v="604"/>
    <n v="475.96"/>
    <n v="0.11063691306369131"/>
  </r>
  <r>
    <x v="468"/>
    <x v="8"/>
    <x v="1"/>
    <x v="2"/>
    <x v="2"/>
    <x v="920"/>
    <n v="771.24"/>
    <n v="0.16857704918032787"/>
  </r>
  <r>
    <x v="30"/>
    <x v="9"/>
    <x v="2"/>
    <x v="1"/>
    <x v="6"/>
    <x v="921"/>
    <n v="1855.7"/>
    <n v="0.19945184866723989"/>
  </r>
  <r>
    <x v="404"/>
    <x v="6"/>
    <x v="1"/>
    <x v="1"/>
    <x v="0"/>
    <x v="922"/>
    <n v="232.48"/>
    <n v="0.12058091286307053"/>
  </r>
  <r>
    <x v="386"/>
    <x v="0"/>
    <x v="0"/>
    <x v="1"/>
    <x v="3"/>
    <x v="923"/>
    <n v="86.24"/>
    <n v="8.2763915547024947E-2"/>
  </r>
  <r>
    <x v="687"/>
    <x v="2"/>
    <x v="2"/>
    <x v="1"/>
    <x v="8"/>
    <x v="924"/>
    <n v="507.7"/>
    <n v="0.22931345980126466"/>
  </r>
  <r>
    <x v="51"/>
    <x v="8"/>
    <x v="1"/>
    <x v="2"/>
    <x v="0"/>
    <x v="925"/>
    <n v="678.26"/>
    <n v="0.22429232804232804"/>
  </r>
  <r>
    <x v="138"/>
    <x v="3"/>
    <x v="2"/>
    <x v="1"/>
    <x v="3"/>
    <x v="390"/>
    <n v="173.01"/>
    <n v="0.15671195652173911"/>
  </r>
  <r>
    <x v="530"/>
    <x v="1"/>
    <x v="1"/>
    <x v="1"/>
    <x v="6"/>
    <x v="926"/>
    <n v="1631.71"/>
    <n v="0.26943692206076619"/>
  </r>
  <r>
    <x v="33"/>
    <x v="1"/>
    <x v="1"/>
    <x v="2"/>
    <x v="2"/>
    <x v="927"/>
    <n v="1375.98"/>
    <n v="0.25986402266288955"/>
  </r>
  <r>
    <x v="260"/>
    <x v="7"/>
    <x v="2"/>
    <x v="0"/>
    <x v="0"/>
    <x v="928"/>
    <n v="839.4"/>
    <n v="0.22884405670665212"/>
  </r>
  <r>
    <x v="308"/>
    <x v="0"/>
    <x v="0"/>
    <x v="2"/>
    <x v="5"/>
    <x v="929"/>
    <n v="295.47000000000003"/>
    <n v="6.8825995807127893E-2"/>
  </r>
  <r>
    <x v="688"/>
    <x v="1"/>
    <x v="1"/>
    <x v="0"/>
    <x v="1"/>
    <x v="930"/>
    <n v="950.45"/>
    <n v="0.16418206944204528"/>
  </r>
  <r>
    <x v="409"/>
    <x v="5"/>
    <x v="2"/>
    <x v="0"/>
    <x v="7"/>
    <x v="931"/>
    <n v="800.92"/>
    <n v="0.18038738738738738"/>
  </r>
  <r>
    <x v="149"/>
    <x v="0"/>
    <x v="0"/>
    <x v="2"/>
    <x v="2"/>
    <x v="932"/>
    <n v="330.02"/>
    <n v="5.9840435176790566E-2"/>
  </r>
  <r>
    <x v="100"/>
    <x v="3"/>
    <x v="2"/>
    <x v="0"/>
    <x v="0"/>
    <x v="933"/>
    <n v="192.77"/>
    <n v="0.24588010204081634"/>
  </r>
  <r>
    <x v="689"/>
    <x v="9"/>
    <x v="2"/>
    <x v="1"/>
    <x v="0"/>
    <x v="934"/>
    <n v="156.59"/>
    <n v="0.27185763888888892"/>
  </r>
  <r>
    <x v="299"/>
    <x v="5"/>
    <x v="2"/>
    <x v="3"/>
    <x v="2"/>
    <x v="94"/>
    <n v="198.62"/>
    <n v="0.28173049645390069"/>
  </r>
  <r>
    <x v="425"/>
    <x v="8"/>
    <x v="1"/>
    <x v="0"/>
    <x v="7"/>
    <x v="935"/>
    <n v="1215.3"/>
    <n v="0.27261103633916556"/>
  </r>
  <r>
    <x v="286"/>
    <x v="7"/>
    <x v="2"/>
    <x v="1"/>
    <x v="7"/>
    <x v="936"/>
    <n v="811.92"/>
    <n v="0.11975221238938052"/>
  </r>
  <r>
    <x v="487"/>
    <x v="5"/>
    <x v="2"/>
    <x v="0"/>
    <x v="2"/>
    <x v="937"/>
    <n v="642.70000000000005"/>
    <n v="0.16188916876574308"/>
  </r>
  <r>
    <x v="690"/>
    <x v="6"/>
    <x v="1"/>
    <x v="0"/>
    <x v="1"/>
    <x v="938"/>
    <n v="368.11"/>
    <n v="7.1742350419021633E-2"/>
  </r>
  <r>
    <x v="186"/>
    <x v="9"/>
    <x v="2"/>
    <x v="1"/>
    <x v="1"/>
    <x v="843"/>
    <n v="90.21"/>
    <n v="5.1548571428571423E-2"/>
  </r>
  <r>
    <x v="691"/>
    <x v="2"/>
    <x v="2"/>
    <x v="1"/>
    <x v="1"/>
    <x v="939"/>
    <n v="753.35"/>
    <n v="9.0362240614129785E-2"/>
  </r>
  <r>
    <x v="481"/>
    <x v="8"/>
    <x v="1"/>
    <x v="1"/>
    <x v="5"/>
    <x v="940"/>
    <n v="549.46"/>
    <n v="5.6010193679918455E-2"/>
  </r>
  <r>
    <x v="551"/>
    <x v="8"/>
    <x v="1"/>
    <x v="1"/>
    <x v="8"/>
    <x v="941"/>
    <n v="794.36"/>
    <n v="0.29885628291948835"/>
  </r>
  <r>
    <x v="692"/>
    <x v="0"/>
    <x v="0"/>
    <x v="3"/>
    <x v="4"/>
    <x v="942"/>
    <n v="43.65"/>
    <n v="9.2283298097251582E-2"/>
  </r>
  <r>
    <x v="7"/>
    <x v="2"/>
    <x v="2"/>
    <x v="0"/>
    <x v="5"/>
    <x v="943"/>
    <n v="410.01"/>
    <n v="0.18594557823129251"/>
  </r>
  <r>
    <x v="347"/>
    <x v="7"/>
    <x v="2"/>
    <x v="2"/>
    <x v="5"/>
    <x v="944"/>
    <n v="1409.3"/>
    <n v="0.20283534830166955"/>
  </r>
  <r>
    <x v="693"/>
    <x v="2"/>
    <x v="2"/>
    <x v="0"/>
    <x v="8"/>
    <x v="945"/>
    <n v="212.02"/>
    <n v="0.27392764857881136"/>
  </r>
  <r>
    <x v="262"/>
    <x v="2"/>
    <x v="2"/>
    <x v="0"/>
    <x v="8"/>
    <x v="646"/>
    <n v="343.13"/>
    <n v="0.13551737756714061"/>
  </r>
  <r>
    <x v="419"/>
    <x v="9"/>
    <x v="2"/>
    <x v="3"/>
    <x v="1"/>
    <x v="946"/>
    <n v="1173.9100000000001"/>
    <n v="0.17821618339152878"/>
  </r>
  <r>
    <x v="330"/>
    <x v="7"/>
    <x v="2"/>
    <x v="1"/>
    <x v="1"/>
    <x v="947"/>
    <n v="806.79"/>
    <n v="0.11103633360858794"/>
  </r>
  <r>
    <x v="492"/>
    <x v="7"/>
    <x v="2"/>
    <x v="1"/>
    <x v="1"/>
    <x v="948"/>
    <n v="502.06"/>
    <n v="7.3111984855104117E-2"/>
  </r>
  <r>
    <x v="336"/>
    <x v="3"/>
    <x v="2"/>
    <x v="2"/>
    <x v="5"/>
    <x v="949"/>
    <n v="396.36"/>
    <n v="8.1104972375690615E-2"/>
  </r>
  <r>
    <x v="694"/>
    <x v="1"/>
    <x v="1"/>
    <x v="3"/>
    <x v="0"/>
    <x v="950"/>
    <n v="251.99"/>
    <n v="0.29165509259259259"/>
  </r>
  <r>
    <x v="695"/>
    <x v="7"/>
    <x v="2"/>
    <x v="1"/>
    <x v="7"/>
    <x v="951"/>
    <n v="1215.07"/>
    <n v="0.23411753371868976"/>
  </r>
  <r>
    <x v="696"/>
    <x v="8"/>
    <x v="1"/>
    <x v="2"/>
    <x v="6"/>
    <x v="952"/>
    <n v="294.45"/>
    <n v="0.13836936090225563"/>
  </r>
  <r>
    <x v="697"/>
    <x v="1"/>
    <x v="1"/>
    <x v="1"/>
    <x v="3"/>
    <x v="953"/>
    <n v="218.82"/>
    <n v="0.12736903376018627"/>
  </r>
  <r>
    <x v="658"/>
    <x v="7"/>
    <x v="2"/>
    <x v="0"/>
    <x v="3"/>
    <x v="954"/>
    <n v="229.39"/>
    <n v="0.18062204724409447"/>
  </r>
  <r>
    <x v="698"/>
    <x v="8"/>
    <x v="1"/>
    <x v="1"/>
    <x v="1"/>
    <x v="955"/>
    <n v="130.19"/>
    <n v="5.0677306344881275E-2"/>
  </r>
  <r>
    <x v="699"/>
    <x v="0"/>
    <x v="0"/>
    <x v="2"/>
    <x v="3"/>
    <x v="956"/>
    <n v="262.64999999999998"/>
    <n v="0.17302371541501974"/>
  </r>
  <r>
    <x v="601"/>
    <x v="4"/>
    <x v="1"/>
    <x v="2"/>
    <x v="3"/>
    <x v="957"/>
    <n v="268.37"/>
    <n v="0.22179338842975208"/>
  </r>
  <r>
    <x v="532"/>
    <x v="1"/>
    <x v="1"/>
    <x v="1"/>
    <x v="3"/>
    <x v="958"/>
    <n v="94.13"/>
    <n v="8.3448581560283688E-2"/>
  </r>
  <r>
    <x v="635"/>
    <x v="4"/>
    <x v="1"/>
    <x v="0"/>
    <x v="4"/>
    <x v="959"/>
    <n v="77.97"/>
    <n v="7.2395543175487465E-2"/>
  </r>
  <r>
    <x v="700"/>
    <x v="8"/>
    <x v="1"/>
    <x v="1"/>
    <x v="7"/>
    <x v="167"/>
    <n v="517.47"/>
    <n v="0.23060160427807488"/>
  </r>
  <r>
    <x v="615"/>
    <x v="1"/>
    <x v="1"/>
    <x v="3"/>
    <x v="6"/>
    <x v="960"/>
    <n v="464.18"/>
    <n v="0.28866915422885575"/>
  </r>
  <r>
    <x v="701"/>
    <x v="3"/>
    <x v="2"/>
    <x v="3"/>
    <x v="2"/>
    <x v="961"/>
    <n v="476.2"/>
    <n v="0.12922659430122116"/>
  </r>
  <r>
    <x v="702"/>
    <x v="3"/>
    <x v="2"/>
    <x v="0"/>
    <x v="6"/>
    <x v="912"/>
    <n v="1079.49"/>
    <n v="0.26458088235294119"/>
  </r>
  <r>
    <x v="703"/>
    <x v="6"/>
    <x v="1"/>
    <x v="0"/>
    <x v="4"/>
    <x v="962"/>
    <n v="84.4"/>
    <n v="0.20891089108910893"/>
  </r>
  <r>
    <x v="704"/>
    <x v="8"/>
    <x v="1"/>
    <x v="2"/>
    <x v="3"/>
    <x v="963"/>
    <n v="163.38"/>
    <n v="9.4004602991944755E-2"/>
  </r>
  <r>
    <x v="171"/>
    <x v="0"/>
    <x v="0"/>
    <x v="3"/>
    <x v="8"/>
    <x v="494"/>
    <n v="210.33"/>
    <n v="0.2540217391304348"/>
  </r>
  <r>
    <x v="661"/>
    <x v="1"/>
    <x v="1"/>
    <x v="0"/>
    <x v="0"/>
    <x v="964"/>
    <n v="461.72"/>
    <n v="0.10628913443830572"/>
  </r>
  <r>
    <x v="368"/>
    <x v="2"/>
    <x v="2"/>
    <x v="0"/>
    <x v="4"/>
    <x v="965"/>
    <n v="268.88"/>
    <n v="0.23794690265486726"/>
  </r>
  <r>
    <x v="705"/>
    <x v="4"/>
    <x v="1"/>
    <x v="0"/>
    <x v="8"/>
    <x v="966"/>
    <n v="304.91000000000003"/>
    <n v="0.17957008244994113"/>
  </r>
  <r>
    <x v="128"/>
    <x v="2"/>
    <x v="2"/>
    <x v="1"/>
    <x v="0"/>
    <x v="967"/>
    <n v="136.02000000000001"/>
    <n v="0.1611611374407583"/>
  </r>
  <r>
    <x v="507"/>
    <x v="0"/>
    <x v="0"/>
    <x v="3"/>
    <x v="3"/>
    <x v="968"/>
    <n v="218.18"/>
    <n v="9.5441819772528441E-2"/>
  </r>
  <r>
    <x v="706"/>
    <x v="3"/>
    <x v="2"/>
    <x v="1"/>
    <x v="3"/>
    <x v="969"/>
    <n v="170.31"/>
    <n v="0.16599415204678364"/>
  </r>
  <r>
    <x v="707"/>
    <x v="9"/>
    <x v="2"/>
    <x v="3"/>
    <x v="7"/>
    <x v="970"/>
    <n v="1433.65"/>
    <n v="0.20527634593356245"/>
  </r>
  <r>
    <x v="337"/>
    <x v="6"/>
    <x v="1"/>
    <x v="3"/>
    <x v="0"/>
    <x v="971"/>
    <n v="432.35"/>
    <n v="0.2585825358851675"/>
  </r>
  <r>
    <x v="690"/>
    <x v="9"/>
    <x v="2"/>
    <x v="0"/>
    <x v="7"/>
    <x v="972"/>
    <n v="63.98"/>
    <n v="5.8589743589743587E-2"/>
  </r>
  <r>
    <x v="330"/>
    <x v="4"/>
    <x v="1"/>
    <x v="2"/>
    <x v="3"/>
    <x v="444"/>
    <n v="24.71"/>
    <n v="9.0845588235294122E-2"/>
  </r>
  <r>
    <x v="477"/>
    <x v="4"/>
    <x v="1"/>
    <x v="3"/>
    <x v="3"/>
    <x v="29"/>
    <n v="204.99"/>
    <n v="0.18205150976909415"/>
  </r>
  <r>
    <x v="708"/>
    <x v="1"/>
    <x v="1"/>
    <x v="3"/>
    <x v="1"/>
    <x v="54"/>
    <n v="2177.38"/>
    <n v="0.26699938687921521"/>
  </r>
  <r>
    <x v="46"/>
    <x v="5"/>
    <x v="2"/>
    <x v="1"/>
    <x v="1"/>
    <x v="973"/>
    <n v="358.38"/>
    <n v="8.3382968822708237E-2"/>
  </r>
  <r>
    <x v="527"/>
    <x v="7"/>
    <x v="2"/>
    <x v="1"/>
    <x v="2"/>
    <x v="803"/>
    <n v="310.66000000000003"/>
    <n v="0.2275897435897436"/>
  </r>
  <r>
    <x v="271"/>
    <x v="3"/>
    <x v="2"/>
    <x v="3"/>
    <x v="7"/>
    <x v="974"/>
    <n v="381.35"/>
    <n v="9.2650631681243933E-2"/>
  </r>
  <r>
    <x v="709"/>
    <x v="4"/>
    <x v="1"/>
    <x v="2"/>
    <x v="6"/>
    <x v="673"/>
    <n v="181.45"/>
    <n v="0.20071902654867255"/>
  </r>
  <r>
    <x v="227"/>
    <x v="5"/>
    <x v="2"/>
    <x v="2"/>
    <x v="4"/>
    <x v="975"/>
    <n v="10.64"/>
    <n v="0.152"/>
  </r>
  <r>
    <x v="647"/>
    <x v="8"/>
    <x v="1"/>
    <x v="1"/>
    <x v="3"/>
    <x v="976"/>
    <n v="72.87"/>
    <n v="0.21183139534883721"/>
  </r>
  <r>
    <x v="372"/>
    <x v="0"/>
    <x v="0"/>
    <x v="1"/>
    <x v="4"/>
    <x v="305"/>
    <n v="78.52"/>
    <n v="0.23793939393939392"/>
  </r>
  <r>
    <x v="571"/>
    <x v="4"/>
    <x v="1"/>
    <x v="2"/>
    <x v="3"/>
    <x v="977"/>
    <n v="34.22"/>
    <n v="6.6061776061776059E-2"/>
  </r>
  <r>
    <x v="480"/>
    <x v="1"/>
    <x v="1"/>
    <x v="0"/>
    <x v="5"/>
    <x v="978"/>
    <n v="458.4"/>
    <n v="0.16590662323561345"/>
  </r>
  <r>
    <x v="627"/>
    <x v="5"/>
    <x v="2"/>
    <x v="0"/>
    <x v="3"/>
    <x v="979"/>
    <n v="343.53"/>
    <n v="0.14949086161879893"/>
  </r>
  <r>
    <x v="710"/>
    <x v="6"/>
    <x v="1"/>
    <x v="2"/>
    <x v="4"/>
    <x v="859"/>
    <n v="73.89"/>
    <n v="0.16947247706422019"/>
  </r>
  <r>
    <x v="711"/>
    <x v="1"/>
    <x v="1"/>
    <x v="1"/>
    <x v="7"/>
    <x v="813"/>
    <n v="213.47"/>
    <n v="0.11703399122807018"/>
  </r>
  <r>
    <x v="446"/>
    <x v="9"/>
    <x v="2"/>
    <x v="0"/>
    <x v="2"/>
    <x v="783"/>
    <n v="411.83"/>
    <n v="0.26742207792207789"/>
  </r>
  <r>
    <x v="107"/>
    <x v="2"/>
    <x v="2"/>
    <x v="1"/>
    <x v="1"/>
    <x v="980"/>
    <n v="385.82"/>
    <n v="6.9242641780330225E-2"/>
  </r>
  <r>
    <x v="630"/>
    <x v="6"/>
    <x v="1"/>
    <x v="1"/>
    <x v="7"/>
    <x v="221"/>
    <n v="335.71"/>
    <n v="0.11079537953795379"/>
  </r>
  <r>
    <x v="348"/>
    <x v="6"/>
    <x v="1"/>
    <x v="3"/>
    <x v="2"/>
    <x v="695"/>
    <n v="345.84"/>
    <n v="0.27778313253012044"/>
  </r>
  <r>
    <x v="429"/>
    <x v="2"/>
    <x v="2"/>
    <x v="2"/>
    <x v="0"/>
    <x v="981"/>
    <n v="326.69"/>
    <n v="0.26093450479233227"/>
  </r>
  <r>
    <x v="712"/>
    <x v="3"/>
    <x v="2"/>
    <x v="0"/>
    <x v="5"/>
    <x v="982"/>
    <n v="479.28"/>
    <n v="9.6648517846339987E-2"/>
  </r>
  <r>
    <x v="390"/>
    <x v="6"/>
    <x v="1"/>
    <x v="3"/>
    <x v="1"/>
    <x v="983"/>
    <n v="443.81"/>
    <n v="5.4375153148738052E-2"/>
  </r>
  <r>
    <x v="251"/>
    <x v="6"/>
    <x v="1"/>
    <x v="1"/>
    <x v="2"/>
    <x v="984"/>
    <n v="253.92"/>
    <n v="0.18534306569343065"/>
  </r>
  <r>
    <x v="55"/>
    <x v="2"/>
    <x v="2"/>
    <x v="0"/>
    <x v="8"/>
    <x v="985"/>
    <n v="607.23"/>
    <n v="0.19518804243008681"/>
  </r>
  <r>
    <x v="645"/>
    <x v="1"/>
    <x v="1"/>
    <x v="2"/>
    <x v="1"/>
    <x v="986"/>
    <n v="1078.03"/>
    <n v="0.13812043561819345"/>
  </r>
  <r>
    <x v="265"/>
    <x v="7"/>
    <x v="2"/>
    <x v="2"/>
    <x v="5"/>
    <x v="987"/>
    <n v="2729.6"/>
    <n v="0.26464999030444053"/>
  </r>
  <r>
    <x v="279"/>
    <x v="8"/>
    <x v="1"/>
    <x v="2"/>
    <x v="5"/>
    <x v="988"/>
    <n v="2730.14"/>
    <n v="0.25321276201075865"/>
  </r>
  <r>
    <x v="9"/>
    <x v="6"/>
    <x v="1"/>
    <x v="3"/>
    <x v="2"/>
    <x v="989"/>
    <n v="987.96"/>
    <n v="0.22581942857142859"/>
  </r>
  <r>
    <x v="713"/>
    <x v="6"/>
    <x v="1"/>
    <x v="0"/>
    <x v="2"/>
    <x v="990"/>
    <n v="595.04999999999995"/>
    <n v="0.26271523178807943"/>
  </r>
  <r>
    <x v="102"/>
    <x v="9"/>
    <x v="2"/>
    <x v="1"/>
    <x v="4"/>
    <x v="867"/>
    <n v="9.69"/>
    <n v="5.8373493975903613E-2"/>
  </r>
  <r>
    <x v="134"/>
    <x v="4"/>
    <x v="1"/>
    <x v="0"/>
    <x v="1"/>
    <x v="991"/>
    <n v="1481.7"/>
    <n v="0.2053069142302896"/>
  </r>
  <r>
    <x v="714"/>
    <x v="2"/>
    <x v="2"/>
    <x v="1"/>
    <x v="8"/>
    <x v="992"/>
    <n v="186.54"/>
    <n v="0.10556876061120543"/>
  </r>
  <r>
    <x v="216"/>
    <x v="9"/>
    <x v="2"/>
    <x v="1"/>
    <x v="8"/>
    <x v="993"/>
    <n v="557.80999999999995"/>
    <n v="0.19348248352410682"/>
  </r>
  <r>
    <x v="235"/>
    <x v="5"/>
    <x v="2"/>
    <x v="2"/>
    <x v="8"/>
    <x v="994"/>
    <n v="396.08"/>
    <n v="0.29602391629297459"/>
  </r>
  <r>
    <x v="715"/>
    <x v="0"/>
    <x v="0"/>
    <x v="1"/>
    <x v="5"/>
    <x v="995"/>
    <n v="604.05999999999995"/>
    <n v="6.3860873242414629E-2"/>
  </r>
  <r>
    <x v="42"/>
    <x v="0"/>
    <x v="0"/>
    <x v="0"/>
    <x v="8"/>
    <x v="268"/>
    <n v="45.31"/>
    <n v="0.26970238095238097"/>
  </r>
  <r>
    <x v="716"/>
    <x v="7"/>
    <x v="2"/>
    <x v="2"/>
    <x v="5"/>
    <x v="996"/>
    <n v="479.78"/>
    <n v="0.1057716049382716"/>
  </r>
  <r>
    <x v="543"/>
    <x v="1"/>
    <x v="1"/>
    <x v="1"/>
    <x v="0"/>
    <x v="997"/>
    <n v="793.7"/>
    <n v="0.18022252497729338"/>
  </r>
  <r>
    <x v="641"/>
    <x v="6"/>
    <x v="1"/>
    <x v="0"/>
    <x v="0"/>
    <x v="507"/>
    <n v="148.66999999999999"/>
    <n v="7.6162909836065565E-2"/>
  </r>
  <r>
    <x v="717"/>
    <x v="1"/>
    <x v="1"/>
    <x v="0"/>
    <x v="8"/>
    <x v="998"/>
    <n v="467.76"/>
    <n v="0.23341317365269459"/>
  </r>
  <r>
    <x v="718"/>
    <x v="8"/>
    <x v="1"/>
    <x v="2"/>
    <x v="0"/>
    <x v="999"/>
    <n v="131.47999999999999"/>
    <n v="0.28094017094017093"/>
  </r>
  <r>
    <x v="719"/>
    <x v="7"/>
    <x v="2"/>
    <x v="3"/>
    <x v="5"/>
    <x v="40"/>
    <n v="1597.49"/>
    <n v="0.18431868005076729"/>
  </r>
  <r>
    <x v="720"/>
    <x v="0"/>
    <x v="0"/>
    <x v="3"/>
    <x v="1"/>
    <x v="1000"/>
    <n v="567.32000000000005"/>
    <n v="9.3049040511727091E-2"/>
  </r>
  <r>
    <x v="721"/>
    <x v="4"/>
    <x v="1"/>
    <x v="2"/>
    <x v="5"/>
    <x v="1001"/>
    <n v="1415.65"/>
    <n v="0.2979061447811448"/>
  </r>
  <r>
    <x v="253"/>
    <x v="8"/>
    <x v="1"/>
    <x v="1"/>
    <x v="4"/>
    <x v="1002"/>
    <n v="124.9"/>
    <n v="0.10656996587030718"/>
  </r>
  <r>
    <x v="696"/>
    <x v="8"/>
    <x v="1"/>
    <x v="0"/>
    <x v="3"/>
    <x v="960"/>
    <n v="170.29"/>
    <n v="0.10590174129353233"/>
  </r>
  <r>
    <x v="722"/>
    <x v="0"/>
    <x v="0"/>
    <x v="2"/>
    <x v="1"/>
    <x v="1003"/>
    <n v="969.07"/>
    <n v="0.12759315339038843"/>
  </r>
  <r>
    <x v="426"/>
    <x v="5"/>
    <x v="2"/>
    <x v="3"/>
    <x v="4"/>
    <x v="1004"/>
    <n v="306.83999999999997"/>
    <n v="0.26868651488616463"/>
  </r>
  <r>
    <x v="723"/>
    <x v="8"/>
    <x v="1"/>
    <x v="0"/>
    <x v="3"/>
    <x v="1005"/>
    <n v="13.67"/>
    <n v="0.1178448275862069"/>
  </r>
  <r>
    <x v="437"/>
    <x v="7"/>
    <x v="2"/>
    <x v="1"/>
    <x v="5"/>
    <x v="1006"/>
    <n v="908.13"/>
    <n v="0.22984813971146545"/>
  </r>
  <r>
    <x v="12"/>
    <x v="8"/>
    <x v="1"/>
    <x v="1"/>
    <x v="3"/>
    <x v="1007"/>
    <n v="138.96"/>
    <n v="8.6525529265255294E-2"/>
  </r>
  <r>
    <x v="724"/>
    <x v="4"/>
    <x v="1"/>
    <x v="2"/>
    <x v="8"/>
    <x v="220"/>
    <n v="403"/>
    <n v="0.19901234567901235"/>
  </r>
  <r>
    <x v="684"/>
    <x v="5"/>
    <x v="2"/>
    <x v="3"/>
    <x v="3"/>
    <x v="1008"/>
    <n v="235.52"/>
    <n v="0.11740777666999004"/>
  </r>
  <r>
    <x v="230"/>
    <x v="3"/>
    <x v="2"/>
    <x v="2"/>
    <x v="5"/>
    <x v="1009"/>
    <n v="652.05999999999995"/>
    <n v="6.9198768969542607E-2"/>
  </r>
  <r>
    <x v="108"/>
    <x v="9"/>
    <x v="2"/>
    <x v="0"/>
    <x v="0"/>
    <x v="699"/>
    <n v="399.94"/>
    <n v="0.17572056239015818"/>
  </r>
  <r>
    <x v="326"/>
    <x v="6"/>
    <x v="1"/>
    <x v="3"/>
    <x v="2"/>
    <x v="364"/>
    <n v="664.06"/>
    <n v="0.13607786885245901"/>
  </r>
  <r>
    <x v="723"/>
    <x v="9"/>
    <x v="2"/>
    <x v="1"/>
    <x v="8"/>
    <x v="787"/>
    <n v="183.15"/>
    <n v="0.10329949238578681"/>
  </r>
  <r>
    <x v="304"/>
    <x v="5"/>
    <x v="2"/>
    <x v="2"/>
    <x v="5"/>
    <x v="1010"/>
    <n v="195.97"/>
    <n v="7.2100809418690209E-2"/>
  </r>
  <r>
    <x v="256"/>
    <x v="4"/>
    <x v="1"/>
    <x v="1"/>
    <x v="0"/>
    <x v="427"/>
    <n v="939.45"/>
    <n v="0.29654356060606063"/>
  </r>
  <r>
    <x v="429"/>
    <x v="3"/>
    <x v="2"/>
    <x v="3"/>
    <x v="3"/>
    <x v="825"/>
    <n v="368.06"/>
    <n v="0.21448717948717949"/>
  </r>
  <r>
    <x v="725"/>
    <x v="7"/>
    <x v="2"/>
    <x v="3"/>
    <x v="3"/>
    <x v="1011"/>
    <n v="14.08"/>
    <n v="6.5794392523364484E-2"/>
  </r>
  <r>
    <x v="712"/>
    <x v="3"/>
    <x v="2"/>
    <x v="1"/>
    <x v="3"/>
    <x v="1012"/>
    <n v="366.12"/>
    <n v="0.1750095602294455"/>
  </r>
  <r>
    <x v="726"/>
    <x v="4"/>
    <x v="1"/>
    <x v="3"/>
    <x v="8"/>
    <x v="424"/>
    <n v="46.96"/>
    <n v="0.20871111111111113"/>
  </r>
  <r>
    <x v="99"/>
    <x v="5"/>
    <x v="2"/>
    <x v="1"/>
    <x v="4"/>
    <x v="1013"/>
    <n v="217.67"/>
    <n v="0.25339930151338763"/>
  </r>
  <r>
    <x v="243"/>
    <x v="0"/>
    <x v="0"/>
    <x v="3"/>
    <x v="3"/>
    <x v="1014"/>
    <n v="183.41"/>
    <n v="8.8603864734299514E-2"/>
  </r>
  <r>
    <x v="428"/>
    <x v="8"/>
    <x v="1"/>
    <x v="2"/>
    <x v="7"/>
    <x v="1015"/>
    <n v="758.19"/>
    <n v="0.23400925925925928"/>
  </r>
  <r>
    <x v="727"/>
    <x v="2"/>
    <x v="2"/>
    <x v="1"/>
    <x v="3"/>
    <x v="210"/>
    <n v="506.52"/>
    <n v="0.28977116704805489"/>
  </r>
  <r>
    <x v="573"/>
    <x v="1"/>
    <x v="1"/>
    <x v="3"/>
    <x v="6"/>
    <x v="1016"/>
    <n v="108.48"/>
    <n v="5.2153846153846155E-2"/>
  </r>
  <r>
    <x v="316"/>
    <x v="5"/>
    <x v="2"/>
    <x v="0"/>
    <x v="8"/>
    <x v="1017"/>
    <n v="521.14"/>
    <n v="0.23763793889648882"/>
  </r>
  <r>
    <x v="682"/>
    <x v="4"/>
    <x v="1"/>
    <x v="3"/>
    <x v="2"/>
    <x v="1016"/>
    <n v="614.77"/>
    <n v="0.29556250000000001"/>
  </r>
  <r>
    <x v="728"/>
    <x v="1"/>
    <x v="1"/>
    <x v="2"/>
    <x v="2"/>
    <x v="1018"/>
    <n v="986.39"/>
    <n v="0.19455424063116369"/>
  </r>
  <r>
    <x v="729"/>
    <x v="9"/>
    <x v="2"/>
    <x v="2"/>
    <x v="1"/>
    <x v="1019"/>
    <n v="47.4"/>
    <n v="0.10106609808102344"/>
  </r>
  <r>
    <x v="370"/>
    <x v="0"/>
    <x v="0"/>
    <x v="2"/>
    <x v="4"/>
    <x v="1020"/>
    <n v="153.55000000000001"/>
    <n v="0.19145885286783043"/>
  </r>
  <r>
    <x v="0"/>
    <x v="7"/>
    <x v="2"/>
    <x v="3"/>
    <x v="7"/>
    <x v="106"/>
    <n v="213.6"/>
    <n v="0.22967741935483871"/>
  </r>
  <r>
    <x v="730"/>
    <x v="5"/>
    <x v="2"/>
    <x v="2"/>
    <x v="4"/>
    <x v="1021"/>
    <n v="55.17"/>
    <n v="0.11145454545454546"/>
  </r>
  <r>
    <x v="452"/>
    <x v="6"/>
    <x v="1"/>
    <x v="1"/>
    <x v="7"/>
    <x v="1022"/>
    <n v="847.89"/>
    <n v="0.17170716889428919"/>
  </r>
  <r>
    <x v="116"/>
    <x v="2"/>
    <x v="2"/>
    <x v="2"/>
    <x v="3"/>
    <x v="1023"/>
    <n v="267.45999999999998"/>
    <n v="0.20573846153846151"/>
  </r>
  <r>
    <x v="731"/>
    <x v="1"/>
    <x v="1"/>
    <x v="2"/>
    <x v="1"/>
    <x v="1024"/>
    <n v="131.66999999999999"/>
    <n v="6.2699999999999992E-2"/>
  </r>
  <r>
    <x v="732"/>
    <x v="3"/>
    <x v="2"/>
    <x v="2"/>
    <x v="3"/>
    <x v="1025"/>
    <n v="636.52"/>
    <n v="0.2831494661921708"/>
  </r>
  <r>
    <x v="64"/>
    <x v="4"/>
    <x v="1"/>
    <x v="0"/>
    <x v="6"/>
    <x v="1026"/>
    <n v="991.23"/>
    <n v="0.13968855693348364"/>
  </r>
  <r>
    <x v="728"/>
    <x v="4"/>
    <x v="1"/>
    <x v="1"/>
    <x v="8"/>
    <x v="1027"/>
    <n v="252.21"/>
    <n v="0.12661144578313255"/>
  </r>
  <r>
    <x v="196"/>
    <x v="3"/>
    <x v="2"/>
    <x v="2"/>
    <x v="0"/>
    <x v="1028"/>
    <n v="1189.26"/>
    <n v="0.29321005917159765"/>
  </r>
  <r>
    <x v="733"/>
    <x v="3"/>
    <x v="2"/>
    <x v="1"/>
    <x v="3"/>
    <x v="1029"/>
    <n v="208.88"/>
    <n v="0.10517623363544813"/>
  </r>
  <r>
    <x v="263"/>
    <x v="0"/>
    <x v="0"/>
    <x v="1"/>
    <x v="8"/>
    <x v="1030"/>
    <n v="196.73"/>
    <n v="0.12032415902140672"/>
  </r>
  <r>
    <x v="408"/>
    <x v="5"/>
    <x v="2"/>
    <x v="1"/>
    <x v="5"/>
    <x v="1031"/>
    <n v="443.27"/>
    <n v="0.14152937420178799"/>
  </r>
  <r>
    <x v="722"/>
    <x v="7"/>
    <x v="2"/>
    <x v="2"/>
    <x v="6"/>
    <x v="1032"/>
    <n v="1554.52"/>
    <n v="0.22006228765571914"/>
  </r>
  <r>
    <x v="3"/>
    <x v="3"/>
    <x v="2"/>
    <x v="1"/>
    <x v="4"/>
    <x v="1033"/>
    <n v="249.2"/>
    <n v="0.27475192943770671"/>
  </r>
  <r>
    <x v="485"/>
    <x v="1"/>
    <x v="1"/>
    <x v="2"/>
    <x v="5"/>
    <x v="1034"/>
    <n v="1191.4100000000001"/>
    <n v="0.15008944318468129"/>
  </r>
  <r>
    <x v="734"/>
    <x v="0"/>
    <x v="0"/>
    <x v="2"/>
    <x v="0"/>
    <x v="103"/>
    <n v="1207.46"/>
    <n v="0.27694036697247709"/>
  </r>
  <r>
    <x v="315"/>
    <x v="8"/>
    <x v="1"/>
    <x v="3"/>
    <x v="8"/>
    <x v="708"/>
    <n v="95.04"/>
    <n v="0.25344"/>
  </r>
  <r>
    <x v="440"/>
    <x v="6"/>
    <x v="1"/>
    <x v="0"/>
    <x v="1"/>
    <x v="1035"/>
    <n v="101.01"/>
    <n v="0.12228813559322034"/>
  </r>
  <r>
    <x v="609"/>
    <x v="4"/>
    <x v="1"/>
    <x v="1"/>
    <x v="4"/>
    <x v="1036"/>
    <n v="186.42"/>
    <n v="0.18439169139465875"/>
  </r>
  <r>
    <x v="735"/>
    <x v="1"/>
    <x v="1"/>
    <x v="1"/>
    <x v="8"/>
    <x v="1037"/>
    <n v="148.58000000000001"/>
    <n v="0.18411400247831475"/>
  </r>
  <r>
    <x v="61"/>
    <x v="4"/>
    <x v="1"/>
    <x v="0"/>
    <x v="3"/>
    <x v="1038"/>
    <n v="367.7"/>
    <n v="0.19983695652173913"/>
  </r>
  <r>
    <x v="736"/>
    <x v="8"/>
    <x v="1"/>
    <x v="3"/>
    <x v="2"/>
    <x v="1039"/>
    <n v="1039.3399999999999"/>
    <n v="0.22842637362637361"/>
  </r>
  <r>
    <x v="737"/>
    <x v="7"/>
    <x v="2"/>
    <x v="0"/>
    <x v="5"/>
    <x v="1040"/>
    <n v="901.7"/>
    <n v="0.10254748095075629"/>
  </r>
  <r>
    <x v="53"/>
    <x v="4"/>
    <x v="1"/>
    <x v="0"/>
    <x v="2"/>
    <x v="889"/>
    <n v="32.01"/>
    <n v="0.10325806451612903"/>
  </r>
  <r>
    <x v="687"/>
    <x v="4"/>
    <x v="1"/>
    <x v="1"/>
    <x v="8"/>
    <x v="1041"/>
    <n v="275.04000000000002"/>
    <n v="0.24062992125984253"/>
  </r>
  <r>
    <x v="149"/>
    <x v="6"/>
    <x v="1"/>
    <x v="3"/>
    <x v="8"/>
    <x v="164"/>
    <n v="740.21"/>
    <n v="0.28360536398467434"/>
  </r>
  <r>
    <x v="462"/>
    <x v="2"/>
    <x v="2"/>
    <x v="3"/>
    <x v="7"/>
    <x v="353"/>
    <n v="269.25"/>
    <n v="0.18022088353413654"/>
  </r>
  <r>
    <x v="738"/>
    <x v="7"/>
    <x v="2"/>
    <x v="0"/>
    <x v="0"/>
    <x v="374"/>
    <n v="189.32"/>
    <n v="0.12422572178477689"/>
  </r>
  <r>
    <x v="523"/>
    <x v="2"/>
    <x v="2"/>
    <x v="0"/>
    <x v="5"/>
    <x v="1042"/>
    <n v="2171.42"/>
    <n v="0.22999894079017055"/>
  </r>
  <r>
    <x v="316"/>
    <x v="7"/>
    <x v="2"/>
    <x v="2"/>
    <x v="0"/>
    <x v="1043"/>
    <n v="417.26"/>
    <n v="0.11853977272727273"/>
  </r>
  <r>
    <x v="46"/>
    <x v="2"/>
    <x v="2"/>
    <x v="3"/>
    <x v="3"/>
    <x v="86"/>
    <n v="103.99"/>
    <n v="0.26664102564102565"/>
  </r>
  <r>
    <x v="739"/>
    <x v="0"/>
    <x v="0"/>
    <x v="2"/>
    <x v="8"/>
    <x v="1044"/>
    <n v="255.09"/>
    <n v="7.9245107176141666E-2"/>
  </r>
  <r>
    <x v="158"/>
    <x v="9"/>
    <x v="2"/>
    <x v="0"/>
    <x v="4"/>
    <x v="1045"/>
    <n v="75.89"/>
    <n v="0.16864444444444446"/>
  </r>
  <r>
    <x v="212"/>
    <x v="5"/>
    <x v="2"/>
    <x v="2"/>
    <x v="0"/>
    <x v="494"/>
    <n v="216.98"/>
    <n v="0.26205314009661834"/>
  </r>
  <r>
    <x v="47"/>
    <x v="0"/>
    <x v="0"/>
    <x v="1"/>
    <x v="4"/>
    <x v="1046"/>
    <n v="152.79"/>
    <n v="0.13332460732984291"/>
  </r>
  <r>
    <x v="53"/>
    <x v="6"/>
    <x v="1"/>
    <x v="3"/>
    <x v="8"/>
    <x v="1029"/>
    <n v="361.33"/>
    <n v="0.18193856998992949"/>
  </r>
  <r>
    <x v="88"/>
    <x v="5"/>
    <x v="2"/>
    <x v="0"/>
    <x v="6"/>
    <x v="1047"/>
    <n v="1776.83"/>
    <n v="0.24460765418502201"/>
  </r>
  <r>
    <x v="682"/>
    <x v="9"/>
    <x v="2"/>
    <x v="1"/>
    <x v="1"/>
    <x v="16"/>
    <n v="915.63"/>
    <n v="0.12259070826081135"/>
  </r>
  <r>
    <x v="740"/>
    <x v="9"/>
    <x v="2"/>
    <x v="2"/>
    <x v="2"/>
    <x v="1048"/>
    <n v="165.55"/>
    <n v="0.11953068592057763"/>
  </r>
  <r>
    <x v="420"/>
    <x v="2"/>
    <x v="2"/>
    <x v="0"/>
    <x v="0"/>
    <x v="1049"/>
    <n v="315.07"/>
    <n v="6.9154960491659354E-2"/>
  </r>
  <r>
    <x v="741"/>
    <x v="6"/>
    <x v="1"/>
    <x v="0"/>
    <x v="8"/>
    <x v="1050"/>
    <n v="61.42"/>
    <n v="0.13469298245614036"/>
  </r>
  <r>
    <x v="131"/>
    <x v="6"/>
    <x v="1"/>
    <x v="0"/>
    <x v="3"/>
    <x v="1051"/>
    <n v="125.13"/>
    <n v="6.3069556451612899E-2"/>
  </r>
  <r>
    <x v="545"/>
    <x v="5"/>
    <x v="2"/>
    <x v="0"/>
    <x v="7"/>
    <x v="1052"/>
    <n v="1321.58"/>
    <n v="0.25522981846272691"/>
  </r>
  <r>
    <x v="742"/>
    <x v="5"/>
    <x v="2"/>
    <x v="3"/>
    <x v="4"/>
    <x v="1053"/>
    <n v="30.51"/>
    <n v="0.10857651245551601"/>
  </r>
  <r>
    <x v="48"/>
    <x v="6"/>
    <x v="1"/>
    <x v="2"/>
    <x v="5"/>
    <x v="606"/>
    <n v="177.92"/>
    <n v="5.8661391361688096E-2"/>
  </r>
  <r>
    <x v="743"/>
    <x v="3"/>
    <x v="2"/>
    <x v="1"/>
    <x v="8"/>
    <x v="1054"/>
    <n v="65.88"/>
    <n v="5.9512195121951217E-2"/>
  </r>
  <r>
    <x v="243"/>
    <x v="1"/>
    <x v="1"/>
    <x v="2"/>
    <x v="8"/>
    <x v="741"/>
    <n v="356.7"/>
    <n v="0.24668049792531119"/>
  </r>
  <r>
    <x v="624"/>
    <x v="0"/>
    <x v="0"/>
    <x v="0"/>
    <x v="8"/>
    <x v="82"/>
    <n v="263.04000000000002"/>
    <n v="0.19703370786516855"/>
  </r>
  <r>
    <x v="744"/>
    <x v="1"/>
    <x v="1"/>
    <x v="2"/>
    <x v="3"/>
    <x v="1055"/>
    <n v="20.11"/>
    <n v="7.5601503759398489E-2"/>
  </r>
  <r>
    <x v="127"/>
    <x v="7"/>
    <x v="2"/>
    <x v="3"/>
    <x v="7"/>
    <x v="1056"/>
    <n v="162.30000000000001"/>
    <n v="0.250462962962963"/>
  </r>
  <r>
    <x v="745"/>
    <x v="2"/>
    <x v="2"/>
    <x v="2"/>
    <x v="3"/>
    <x v="976"/>
    <n v="80.87"/>
    <n v="0.2350872093023256"/>
  </r>
  <r>
    <x v="538"/>
    <x v="7"/>
    <x v="2"/>
    <x v="3"/>
    <x v="7"/>
    <x v="1057"/>
    <n v="1640.19"/>
    <n v="0.2865461215932914"/>
  </r>
  <r>
    <x v="746"/>
    <x v="4"/>
    <x v="1"/>
    <x v="1"/>
    <x v="2"/>
    <x v="104"/>
    <n v="323.38"/>
    <n v="6.5727642276422762E-2"/>
  </r>
  <r>
    <x v="747"/>
    <x v="3"/>
    <x v="2"/>
    <x v="3"/>
    <x v="2"/>
    <x v="1058"/>
    <n v="457.04"/>
    <n v="8.401470588235295E-2"/>
  </r>
  <r>
    <x v="702"/>
    <x v="7"/>
    <x v="2"/>
    <x v="3"/>
    <x v="1"/>
    <x v="1059"/>
    <n v="908.65"/>
    <n v="0.11366649987490618"/>
  </r>
  <r>
    <x v="320"/>
    <x v="3"/>
    <x v="2"/>
    <x v="2"/>
    <x v="5"/>
    <x v="1060"/>
    <n v="724.36"/>
    <n v="0.19162962962962962"/>
  </r>
  <r>
    <x v="748"/>
    <x v="7"/>
    <x v="2"/>
    <x v="0"/>
    <x v="4"/>
    <x v="407"/>
    <n v="209.97"/>
    <n v="0.20646017699115043"/>
  </r>
  <r>
    <x v="171"/>
    <x v="7"/>
    <x v="2"/>
    <x v="3"/>
    <x v="7"/>
    <x v="1061"/>
    <n v="82.85"/>
    <n v="5.2503168567807346E-2"/>
  </r>
  <r>
    <x v="6"/>
    <x v="7"/>
    <x v="2"/>
    <x v="2"/>
    <x v="3"/>
    <x v="1062"/>
    <n v="161.37"/>
    <n v="0.17694078947368422"/>
  </r>
  <r>
    <x v="423"/>
    <x v="9"/>
    <x v="2"/>
    <x v="3"/>
    <x v="7"/>
    <x v="186"/>
    <n v="182.59"/>
    <n v="7.2456349206349205E-2"/>
  </r>
  <r>
    <x v="486"/>
    <x v="1"/>
    <x v="1"/>
    <x v="1"/>
    <x v="6"/>
    <x v="1063"/>
    <n v="262.55"/>
    <n v="9.975303951367781E-2"/>
  </r>
  <r>
    <x v="749"/>
    <x v="6"/>
    <x v="1"/>
    <x v="3"/>
    <x v="7"/>
    <x v="1064"/>
    <n v="729.68"/>
    <n v="0.11085992099665755"/>
  </r>
  <r>
    <x v="750"/>
    <x v="3"/>
    <x v="2"/>
    <x v="1"/>
    <x v="6"/>
    <x v="1065"/>
    <n v="172.69"/>
    <n v="5.031759906759907E-2"/>
  </r>
  <r>
    <x v="593"/>
    <x v="8"/>
    <x v="1"/>
    <x v="2"/>
    <x v="3"/>
    <x v="1066"/>
    <n v="254.65"/>
    <n v="0.24723300970873788"/>
  </r>
  <r>
    <x v="375"/>
    <x v="1"/>
    <x v="1"/>
    <x v="3"/>
    <x v="6"/>
    <x v="112"/>
    <n v="289.91000000000003"/>
    <n v="0.24321308724832216"/>
  </r>
  <r>
    <x v="751"/>
    <x v="0"/>
    <x v="0"/>
    <x v="3"/>
    <x v="5"/>
    <x v="1067"/>
    <n v="994.47"/>
    <n v="0.1404023718763236"/>
  </r>
  <r>
    <x v="752"/>
    <x v="0"/>
    <x v="0"/>
    <x v="2"/>
    <x v="1"/>
    <x v="462"/>
    <n v="227.14"/>
    <n v="6.1806802721088433E-2"/>
  </r>
  <r>
    <x v="95"/>
    <x v="6"/>
    <x v="1"/>
    <x v="0"/>
    <x v="0"/>
    <x v="823"/>
    <n v="833.27"/>
    <n v="0.17579535864978901"/>
  </r>
  <r>
    <x v="290"/>
    <x v="4"/>
    <x v="1"/>
    <x v="1"/>
    <x v="0"/>
    <x v="825"/>
    <n v="364.96"/>
    <n v="0.21268065268065267"/>
  </r>
  <r>
    <x v="33"/>
    <x v="0"/>
    <x v="0"/>
    <x v="2"/>
    <x v="1"/>
    <x v="1068"/>
    <n v="260.06"/>
    <n v="7.3713151927437645E-2"/>
  </r>
  <r>
    <x v="753"/>
    <x v="3"/>
    <x v="2"/>
    <x v="2"/>
    <x v="8"/>
    <x v="1069"/>
    <n v="71.72"/>
    <n v="9.2303732303732303E-2"/>
  </r>
  <r>
    <x v="754"/>
    <x v="3"/>
    <x v="2"/>
    <x v="1"/>
    <x v="0"/>
    <x v="1070"/>
    <n v="558.92999999999995"/>
    <n v="0.16595308788598573"/>
  </r>
  <r>
    <x v="755"/>
    <x v="2"/>
    <x v="2"/>
    <x v="0"/>
    <x v="0"/>
    <x v="1071"/>
    <n v="251.46"/>
    <n v="5.9306603773584911E-2"/>
  </r>
  <r>
    <x v="102"/>
    <x v="9"/>
    <x v="2"/>
    <x v="2"/>
    <x v="8"/>
    <x v="1072"/>
    <n v="292.87"/>
    <n v="8.9153729071537291E-2"/>
  </r>
  <r>
    <x v="485"/>
    <x v="7"/>
    <x v="2"/>
    <x v="2"/>
    <x v="7"/>
    <x v="1073"/>
    <n v="612.73"/>
    <n v="0.12576559934318554"/>
  </r>
  <r>
    <x v="108"/>
    <x v="7"/>
    <x v="2"/>
    <x v="1"/>
    <x v="5"/>
    <x v="1074"/>
    <n v="638.41"/>
    <n v="0.2588848337388483"/>
  </r>
  <r>
    <x v="756"/>
    <x v="2"/>
    <x v="2"/>
    <x v="3"/>
    <x v="2"/>
    <x v="1075"/>
    <n v="497.19"/>
    <n v="0.20169979716024342"/>
  </r>
  <r>
    <x v="332"/>
    <x v="2"/>
    <x v="2"/>
    <x v="0"/>
    <x v="8"/>
    <x v="114"/>
    <n v="40.15"/>
    <n v="6.5604575163398696E-2"/>
  </r>
  <r>
    <x v="757"/>
    <x v="2"/>
    <x v="2"/>
    <x v="2"/>
    <x v="2"/>
    <x v="746"/>
    <n v="658.98"/>
    <n v="0.15802877697841727"/>
  </r>
  <r>
    <x v="420"/>
    <x v="3"/>
    <x v="2"/>
    <x v="2"/>
    <x v="6"/>
    <x v="1076"/>
    <n v="160.33000000000001"/>
    <n v="0.14736213235294118"/>
  </r>
  <r>
    <x v="539"/>
    <x v="8"/>
    <x v="1"/>
    <x v="3"/>
    <x v="3"/>
    <x v="1077"/>
    <n v="354.49"/>
    <n v="0.21801353013530136"/>
  </r>
  <r>
    <x v="577"/>
    <x v="7"/>
    <x v="2"/>
    <x v="0"/>
    <x v="7"/>
    <x v="1078"/>
    <n v="359.49"/>
    <n v="5.5425531914893619E-2"/>
  </r>
  <r>
    <x v="91"/>
    <x v="6"/>
    <x v="1"/>
    <x v="3"/>
    <x v="6"/>
    <x v="278"/>
    <n v="1226.22"/>
    <n v="0.17597876004592422"/>
  </r>
  <r>
    <x v="456"/>
    <x v="7"/>
    <x v="2"/>
    <x v="0"/>
    <x v="4"/>
    <x v="1079"/>
    <n v="82.86"/>
    <n v="0.23210084033613446"/>
  </r>
  <r>
    <x v="298"/>
    <x v="9"/>
    <x v="2"/>
    <x v="2"/>
    <x v="4"/>
    <x v="1080"/>
    <n v="58.4"/>
    <n v="0.12863436123348018"/>
  </r>
  <r>
    <x v="758"/>
    <x v="2"/>
    <x v="2"/>
    <x v="1"/>
    <x v="8"/>
    <x v="1081"/>
    <n v="501.47"/>
    <n v="0.13999720826353992"/>
  </r>
  <r>
    <x v="759"/>
    <x v="2"/>
    <x v="2"/>
    <x v="3"/>
    <x v="5"/>
    <x v="1082"/>
    <n v="484.75"/>
    <n v="0.12885433280170122"/>
  </r>
  <r>
    <x v="502"/>
    <x v="5"/>
    <x v="2"/>
    <x v="2"/>
    <x v="5"/>
    <x v="1083"/>
    <n v="394.48"/>
    <n v="5.9391749473050287E-2"/>
  </r>
  <r>
    <x v="407"/>
    <x v="6"/>
    <x v="1"/>
    <x v="3"/>
    <x v="0"/>
    <x v="1084"/>
    <n v="45.2"/>
    <n v="0.1107843137254902"/>
  </r>
  <r>
    <x v="729"/>
    <x v="2"/>
    <x v="2"/>
    <x v="3"/>
    <x v="4"/>
    <x v="1085"/>
    <n v="25.26"/>
    <n v="0.24057142857142857"/>
  </r>
  <r>
    <x v="28"/>
    <x v="2"/>
    <x v="2"/>
    <x v="3"/>
    <x v="8"/>
    <x v="1086"/>
    <n v="584.69000000000005"/>
    <n v="0.21800521998508579"/>
  </r>
  <r>
    <x v="568"/>
    <x v="8"/>
    <x v="1"/>
    <x v="1"/>
    <x v="1"/>
    <x v="1087"/>
    <n v="76.31"/>
    <n v="0.15354124748490947"/>
  </r>
  <r>
    <x v="688"/>
    <x v="0"/>
    <x v="0"/>
    <x v="2"/>
    <x v="1"/>
    <x v="1088"/>
    <n v="420.58"/>
    <n v="8.7202985693551727E-2"/>
  </r>
  <r>
    <x v="244"/>
    <x v="5"/>
    <x v="2"/>
    <x v="0"/>
    <x v="6"/>
    <x v="1089"/>
    <n v="666.1"/>
    <n v="0.164550395256917"/>
  </r>
  <r>
    <x v="668"/>
    <x v="0"/>
    <x v="0"/>
    <x v="2"/>
    <x v="1"/>
    <x v="807"/>
    <n v="459.02"/>
    <n v="0.16643219724437999"/>
  </r>
  <r>
    <x v="717"/>
    <x v="7"/>
    <x v="2"/>
    <x v="0"/>
    <x v="6"/>
    <x v="1090"/>
    <n v="266.35000000000002"/>
    <n v="6.5026855468750006E-2"/>
  </r>
  <r>
    <x v="328"/>
    <x v="0"/>
    <x v="0"/>
    <x v="0"/>
    <x v="6"/>
    <x v="1047"/>
    <n v="1318"/>
    <n v="0.18144273127753305"/>
  </r>
  <r>
    <x v="584"/>
    <x v="1"/>
    <x v="1"/>
    <x v="1"/>
    <x v="7"/>
    <x v="604"/>
    <n v="957.38"/>
    <n v="0.22254300325430032"/>
  </r>
  <r>
    <x v="204"/>
    <x v="0"/>
    <x v="0"/>
    <x v="0"/>
    <x v="1"/>
    <x v="1091"/>
    <n v="583.86"/>
    <n v="0.17708826205641492"/>
  </r>
  <r>
    <x v="760"/>
    <x v="0"/>
    <x v="0"/>
    <x v="0"/>
    <x v="2"/>
    <x v="1092"/>
    <n v="1139.78"/>
    <n v="0.19123825503355704"/>
  </r>
  <r>
    <x v="31"/>
    <x v="8"/>
    <x v="1"/>
    <x v="3"/>
    <x v="4"/>
    <x v="1093"/>
    <n v="114.9"/>
    <n v="0.29766839378238341"/>
  </r>
  <r>
    <x v="761"/>
    <x v="0"/>
    <x v="0"/>
    <x v="3"/>
    <x v="4"/>
    <x v="641"/>
    <n v="170.36"/>
    <n v="0.24906432748538013"/>
  </r>
  <r>
    <x v="575"/>
    <x v="9"/>
    <x v="2"/>
    <x v="2"/>
    <x v="8"/>
    <x v="1094"/>
    <n v="168.64"/>
    <n v="0.13226666666666664"/>
  </r>
  <r>
    <x v="698"/>
    <x v="1"/>
    <x v="1"/>
    <x v="0"/>
    <x v="5"/>
    <x v="1095"/>
    <n v="368.51"/>
    <n v="6.1944864683140019E-2"/>
  </r>
  <r>
    <x v="762"/>
    <x v="3"/>
    <x v="2"/>
    <x v="1"/>
    <x v="1"/>
    <x v="1096"/>
    <n v="755.22"/>
    <n v="0.14638883504555147"/>
  </r>
  <r>
    <x v="595"/>
    <x v="6"/>
    <x v="1"/>
    <x v="0"/>
    <x v="0"/>
    <x v="1097"/>
    <n v="127.13"/>
    <n v="0.11557272727272727"/>
  </r>
  <r>
    <x v="611"/>
    <x v="1"/>
    <x v="1"/>
    <x v="2"/>
    <x v="3"/>
    <x v="1098"/>
    <n v="50.23"/>
    <n v="0.17320689655172414"/>
  </r>
  <r>
    <x v="613"/>
    <x v="5"/>
    <x v="2"/>
    <x v="1"/>
    <x v="6"/>
    <x v="1099"/>
    <n v="492.1"/>
    <n v="6.8882978723404265E-2"/>
  </r>
  <r>
    <x v="763"/>
    <x v="8"/>
    <x v="1"/>
    <x v="3"/>
    <x v="2"/>
    <x v="1100"/>
    <n v="330.48"/>
    <n v="7.8685714285714289E-2"/>
  </r>
  <r>
    <x v="89"/>
    <x v="6"/>
    <x v="1"/>
    <x v="0"/>
    <x v="7"/>
    <x v="1101"/>
    <n v="291.89"/>
    <n v="5.812226204699323E-2"/>
  </r>
  <r>
    <x v="764"/>
    <x v="7"/>
    <x v="2"/>
    <x v="3"/>
    <x v="3"/>
    <x v="1102"/>
    <n v="371.34"/>
    <n v="0.1577485131690739"/>
  </r>
  <r>
    <x v="152"/>
    <x v="7"/>
    <x v="2"/>
    <x v="2"/>
    <x v="3"/>
    <x v="1103"/>
    <n v="149.69999999999999"/>
    <n v="7.3671259842519682E-2"/>
  </r>
  <r>
    <x v="478"/>
    <x v="0"/>
    <x v="0"/>
    <x v="2"/>
    <x v="6"/>
    <x v="1104"/>
    <n v="1942.35"/>
    <n v="0.20385705289672543"/>
  </r>
  <r>
    <x v="538"/>
    <x v="8"/>
    <x v="1"/>
    <x v="2"/>
    <x v="3"/>
    <x v="27"/>
    <n v="275.88"/>
    <n v="0.11630691399662732"/>
  </r>
  <r>
    <x v="699"/>
    <x v="9"/>
    <x v="2"/>
    <x v="3"/>
    <x v="8"/>
    <x v="1105"/>
    <n v="609.75"/>
    <n v="0.2255826859045505"/>
  </r>
  <r>
    <x v="34"/>
    <x v="9"/>
    <x v="2"/>
    <x v="2"/>
    <x v="0"/>
    <x v="1106"/>
    <n v="267.82"/>
    <n v="0.21188291139240506"/>
  </r>
  <r>
    <x v="765"/>
    <x v="7"/>
    <x v="2"/>
    <x v="2"/>
    <x v="0"/>
    <x v="435"/>
    <n v="333.74"/>
    <n v="0.2055049261083744"/>
  </r>
  <r>
    <x v="654"/>
    <x v="1"/>
    <x v="1"/>
    <x v="3"/>
    <x v="6"/>
    <x v="1107"/>
    <n v="507.77"/>
    <n v="0.17062163978494624"/>
  </r>
  <r>
    <x v="766"/>
    <x v="4"/>
    <x v="1"/>
    <x v="3"/>
    <x v="7"/>
    <x v="1108"/>
    <n v="863.82"/>
    <n v="0.17283313325330132"/>
  </r>
  <r>
    <x v="705"/>
    <x v="0"/>
    <x v="0"/>
    <x v="2"/>
    <x v="4"/>
    <x v="80"/>
    <n v="29.57"/>
    <n v="6.6449438202247191E-2"/>
  </r>
  <r>
    <x v="199"/>
    <x v="0"/>
    <x v="0"/>
    <x v="3"/>
    <x v="4"/>
    <x v="1109"/>
    <n v="28.57"/>
    <n v="0.29153061224489796"/>
  </r>
  <r>
    <x v="326"/>
    <x v="2"/>
    <x v="2"/>
    <x v="0"/>
    <x v="1"/>
    <x v="1110"/>
    <n v="354.03"/>
    <n v="8.63066796684544E-2"/>
  </r>
  <r>
    <x v="182"/>
    <x v="0"/>
    <x v="0"/>
    <x v="0"/>
    <x v="4"/>
    <x v="1111"/>
    <n v="171.31"/>
    <n v="0.16861220472440946"/>
  </r>
  <r>
    <x v="641"/>
    <x v="4"/>
    <x v="1"/>
    <x v="2"/>
    <x v="0"/>
    <x v="371"/>
    <n v="234.88"/>
    <n v="0.11983673469387755"/>
  </r>
  <r>
    <x v="767"/>
    <x v="1"/>
    <x v="1"/>
    <x v="3"/>
    <x v="1"/>
    <x v="1112"/>
    <n v="675.95"/>
    <n v="0.24571065067248274"/>
  </r>
  <r>
    <x v="494"/>
    <x v="7"/>
    <x v="2"/>
    <x v="1"/>
    <x v="1"/>
    <x v="1113"/>
    <n v="742.98"/>
    <n v="0.18427083333333333"/>
  </r>
  <r>
    <x v="311"/>
    <x v="7"/>
    <x v="2"/>
    <x v="3"/>
    <x v="1"/>
    <x v="1114"/>
    <n v="1791.25"/>
    <n v="0.2996403479424557"/>
  </r>
  <r>
    <x v="309"/>
    <x v="4"/>
    <x v="1"/>
    <x v="3"/>
    <x v="1"/>
    <x v="1115"/>
    <n v="2129.9699999999998"/>
    <n v="0.2645925465838509"/>
  </r>
  <r>
    <x v="342"/>
    <x v="6"/>
    <x v="1"/>
    <x v="1"/>
    <x v="1"/>
    <x v="1116"/>
    <n v="1240.98"/>
    <n v="0.26699225473321858"/>
  </r>
  <r>
    <x v="646"/>
    <x v="7"/>
    <x v="2"/>
    <x v="0"/>
    <x v="8"/>
    <x v="286"/>
    <n v="108.68"/>
    <n v="9.7122430741733698E-2"/>
  </r>
  <r>
    <x v="242"/>
    <x v="0"/>
    <x v="0"/>
    <x v="2"/>
    <x v="5"/>
    <x v="1117"/>
    <n v="382.67"/>
    <n v="0.17569788797061525"/>
  </r>
  <r>
    <x v="731"/>
    <x v="9"/>
    <x v="2"/>
    <x v="1"/>
    <x v="4"/>
    <x v="1118"/>
    <n v="180.31"/>
    <n v="0.19641612200435729"/>
  </r>
  <r>
    <x v="43"/>
    <x v="7"/>
    <x v="2"/>
    <x v="1"/>
    <x v="5"/>
    <x v="1119"/>
    <n v="837.35"/>
    <n v="0.12130233231928148"/>
  </r>
  <r>
    <x v="445"/>
    <x v="8"/>
    <x v="1"/>
    <x v="0"/>
    <x v="2"/>
    <x v="1120"/>
    <n v="534.23"/>
    <n v="0.11003707518022657"/>
  </r>
  <r>
    <x v="700"/>
    <x v="3"/>
    <x v="2"/>
    <x v="2"/>
    <x v="3"/>
    <x v="1121"/>
    <n v="483.94"/>
    <n v="0.22425393883225209"/>
  </r>
  <r>
    <x v="129"/>
    <x v="1"/>
    <x v="1"/>
    <x v="0"/>
    <x v="1"/>
    <x v="1039"/>
    <n v="1077.8"/>
    <n v="0.23687912087912086"/>
  </r>
  <r>
    <x v="425"/>
    <x v="2"/>
    <x v="2"/>
    <x v="3"/>
    <x v="0"/>
    <x v="1122"/>
    <n v="249.54"/>
    <n v="6.9471046770601327E-2"/>
  </r>
  <r>
    <x v="768"/>
    <x v="2"/>
    <x v="2"/>
    <x v="2"/>
    <x v="6"/>
    <x v="578"/>
    <n v="943.25"/>
    <n v="0.27042717889908258"/>
  </r>
  <r>
    <x v="414"/>
    <x v="6"/>
    <x v="1"/>
    <x v="0"/>
    <x v="3"/>
    <x v="1123"/>
    <n v="163.80000000000001"/>
    <n v="0.13492586490939046"/>
  </r>
  <r>
    <x v="769"/>
    <x v="1"/>
    <x v="1"/>
    <x v="3"/>
    <x v="5"/>
    <x v="1124"/>
    <n v="1469.23"/>
    <n v="0.20405972222222221"/>
  </r>
  <r>
    <x v="650"/>
    <x v="9"/>
    <x v="2"/>
    <x v="1"/>
    <x v="6"/>
    <x v="1125"/>
    <n v="339.31"/>
    <n v="0.18767146017699116"/>
  </r>
  <r>
    <x v="597"/>
    <x v="3"/>
    <x v="2"/>
    <x v="3"/>
    <x v="5"/>
    <x v="1067"/>
    <n v="560.88"/>
    <n v="7.9186785260482839E-2"/>
  </r>
  <r>
    <x v="230"/>
    <x v="6"/>
    <x v="1"/>
    <x v="1"/>
    <x v="0"/>
    <x v="153"/>
    <n v="260.20999999999998"/>
    <n v="0.24548113207547168"/>
  </r>
  <r>
    <x v="54"/>
    <x v="5"/>
    <x v="2"/>
    <x v="2"/>
    <x v="5"/>
    <x v="1126"/>
    <n v="461.61"/>
    <n v="6.4273182957393482E-2"/>
  </r>
  <r>
    <x v="517"/>
    <x v="7"/>
    <x v="2"/>
    <x v="3"/>
    <x v="7"/>
    <x v="1127"/>
    <n v="552.74"/>
    <n v="9.9916847433116421E-2"/>
  </r>
  <r>
    <x v="770"/>
    <x v="4"/>
    <x v="1"/>
    <x v="2"/>
    <x v="6"/>
    <x v="689"/>
    <n v="326.02999999999997"/>
    <n v="0.18112777777777778"/>
  </r>
  <r>
    <x v="232"/>
    <x v="4"/>
    <x v="1"/>
    <x v="2"/>
    <x v="4"/>
    <x v="1128"/>
    <n v="32.61"/>
    <n v="9.2905982905982898E-2"/>
  </r>
  <r>
    <x v="771"/>
    <x v="5"/>
    <x v="2"/>
    <x v="3"/>
    <x v="3"/>
    <x v="1129"/>
    <n v="191.43"/>
    <n v="0.159525"/>
  </r>
  <r>
    <x v="5"/>
    <x v="2"/>
    <x v="2"/>
    <x v="2"/>
    <x v="5"/>
    <x v="1130"/>
    <n v="322.45999999999998"/>
    <n v="0.20242310106716885"/>
  </r>
  <r>
    <x v="701"/>
    <x v="6"/>
    <x v="1"/>
    <x v="1"/>
    <x v="8"/>
    <x v="1131"/>
    <n v="448.02"/>
    <n v="0.17365116279069767"/>
  </r>
  <r>
    <x v="655"/>
    <x v="8"/>
    <x v="1"/>
    <x v="1"/>
    <x v="7"/>
    <x v="936"/>
    <n v="1794.97"/>
    <n v="0.26474483775811208"/>
  </r>
  <r>
    <x v="219"/>
    <x v="7"/>
    <x v="2"/>
    <x v="2"/>
    <x v="3"/>
    <x v="1132"/>
    <n v="204.08"/>
    <n v="0.15722650231124807"/>
  </r>
  <r>
    <x v="413"/>
    <x v="5"/>
    <x v="2"/>
    <x v="2"/>
    <x v="1"/>
    <x v="1133"/>
    <n v="383.97"/>
    <n v="8.3744820065430756E-2"/>
  </r>
  <r>
    <x v="498"/>
    <x v="2"/>
    <x v="2"/>
    <x v="0"/>
    <x v="4"/>
    <x v="1134"/>
    <n v="70.53"/>
    <n v="0.13668604651162791"/>
  </r>
  <r>
    <x v="146"/>
    <x v="2"/>
    <x v="2"/>
    <x v="3"/>
    <x v="0"/>
    <x v="1135"/>
    <n v="420.28"/>
    <n v="0.23611235955056178"/>
  </r>
  <r>
    <x v="256"/>
    <x v="8"/>
    <x v="1"/>
    <x v="0"/>
    <x v="2"/>
    <x v="1136"/>
    <n v="94.05"/>
    <n v="0.25767123287671234"/>
  </r>
  <r>
    <x v="140"/>
    <x v="2"/>
    <x v="2"/>
    <x v="2"/>
    <x v="6"/>
    <x v="1137"/>
    <n v="735.66"/>
    <n v="0.18882443531827514"/>
  </r>
  <r>
    <x v="74"/>
    <x v="9"/>
    <x v="2"/>
    <x v="2"/>
    <x v="4"/>
    <x v="1138"/>
    <n v="169.24"/>
    <n v="0.26610062893081765"/>
  </r>
  <r>
    <x v="624"/>
    <x v="6"/>
    <x v="1"/>
    <x v="1"/>
    <x v="1"/>
    <x v="1139"/>
    <n v="87.86"/>
    <n v="0.13792778649921508"/>
  </r>
  <r>
    <x v="673"/>
    <x v="8"/>
    <x v="1"/>
    <x v="2"/>
    <x v="8"/>
    <x v="1140"/>
    <n v="180.82"/>
    <n v="0.13887864823348695"/>
  </r>
  <r>
    <x v="715"/>
    <x v="7"/>
    <x v="2"/>
    <x v="3"/>
    <x v="4"/>
    <x v="1141"/>
    <n v="40.42"/>
    <n v="5.6216968011126564E-2"/>
  </r>
  <r>
    <x v="259"/>
    <x v="3"/>
    <x v="2"/>
    <x v="3"/>
    <x v="7"/>
    <x v="1142"/>
    <n v="1341.93"/>
    <n v="0.26281433607520566"/>
  </r>
  <r>
    <x v="398"/>
    <x v="1"/>
    <x v="1"/>
    <x v="3"/>
    <x v="8"/>
    <x v="468"/>
    <n v="129.80000000000001"/>
    <n v="0.10683127572016461"/>
  </r>
  <r>
    <x v="324"/>
    <x v="3"/>
    <x v="2"/>
    <x v="1"/>
    <x v="5"/>
    <x v="1143"/>
    <n v="187.28"/>
    <n v="0.10456728084868788"/>
  </r>
  <r>
    <x v="338"/>
    <x v="0"/>
    <x v="0"/>
    <x v="1"/>
    <x v="5"/>
    <x v="1144"/>
    <n v="452.46"/>
    <n v="7.2335731414868099E-2"/>
  </r>
  <r>
    <x v="772"/>
    <x v="0"/>
    <x v="0"/>
    <x v="1"/>
    <x v="2"/>
    <x v="819"/>
    <n v="1012.37"/>
    <n v="0.24306602641056424"/>
  </r>
  <r>
    <x v="383"/>
    <x v="6"/>
    <x v="1"/>
    <x v="2"/>
    <x v="2"/>
    <x v="1145"/>
    <n v="1192.1099999999999"/>
    <n v="0.19901669449081802"/>
  </r>
  <r>
    <x v="5"/>
    <x v="2"/>
    <x v="2"/>
    <x v="2"/>
    <x v="4"/>
    <x v="1146"/>
    <n v="142.74"/>
    <n v="0.16852420306965762"/>
  </r>
  <r>
    <x v="649"/>
    <x v="3"/>
    <x v="2"/>
    <x v="1"/>
    <x v="6"/>
    <x v="1147"/>
    <n v="131.26"/>
    <n v="0.19078488372093022"/>
  </r>
  <r>
    <x v="96"/>
    <x v="2"/>
    <x v="2"/>
    <x v="1"/>
    <x v="3"/>
    <x v="414"/>
    <n v="286.38"/>
    <n v="0.24106060606060606"/>
  </r>
  <r>
    <x v="500"/>
    <x v="3"/>
    <x v="2"/>
    <x v="0"/>
    <x v="1"/>
    <x v="1148"/>
    <n v="926.09"/>
    <n v="0.29864237342792649"/>
  </r>
  <r>
    <x v="773"/>
    <x v="4"/>
    <x v="1"/>
    <x v="3"/>
    <x v="5"/>
    <x v="1149"/>
    <n v="1562.88"/>
    <n v="0.17957945536022063"/>
  </r>
  <r>
    <x v="774"/>
    <x v="0"/>
    <x v="0"/>
    <x v="3"/>
    <x v="5"/>
    <x v="1150"/>
    <n v="2416.9299999999998"/>
    <n v="0.25921600171600168"/>
  </r>
  <r>
    <x v="775"/>
    <x v="9"/>
    <x v="2"/>
    <x v="0"/>
    <x v="4"/>
    <x v="1151"/>
    <n v="68.17"/>
    <n v="9.1014686248331117E-2"/>
  </r>
  <r>
    <x v="686"/>
    <x v="5"/>
    <x v="2"/>
    <x v="3"/>
    <x v="0"/>
    <x v="1152"/>
    <n v="871.53"/>
    <n v="0.270325682382134"/>
  </r>
  <r>
    <x v="487"/>
    <x v="6"/>
    <x v="1"/>
    <x v="2"/>
    <x v="8"/>
    <x v="1153"/>
    <n v="40.96"/>
    <n v="8.923747276688454E-2"/>
  </r>
  <r>
    <x v="413"/>
    <x v="5"/>
    <x v="2"/>
    <x v="1"/>
    <x v="1"/>
    <x v="1154"/>
    <n v="976.14"/>
    <n v="0.17047502619629759"/>
  </r>
  <r>
    <x v="776"/>
    <x v="8"/>
    <x v="1"/>
    <x v="3"/>
    <x v="0"/>
    <x v="1155"/>
    <n v="175.75"/>
    <n v="0.28530844155844154"/>
  </r>
  <r>
    <x v="413"/>
    <x v="9"/>
    <x v="2"/>
    <x v="0"/>
    <x v="3"/>
    <x v="1156"/>
    <n v="406.25"/>
    <n v="0.25647095959595961"/>
  </r>
  <r>
    <x v="96"/>
    <x v="9"/>
    <x v="2"/>
    <x v="1"/>
    <x v="2"/>
    <x v="1157"/>
    <n v="368.41"/>
    <n v="0.11494851794071764"/>
  </r>
  <r>
    <x v="314"/>
    <x v="0"/>
    <x v="0"/>
    <x v="1"/>
    <x v="4"/>
    <x v="1158"/>
    <n v="186.76"/>
    <n v="0.19494780793319413"/>
  </r>
  <r>
    <x v="700"/>
    <x v="9"/>
    <x v="2"/>
    <x v="1"/>
    <x v="5"/>
    <x v="1159"/>
    <n v="1315.93"/>
    <n v="0.25606732827398326"/>
  </r>
  <r>
    <x v="329"/>
    <x v="7"/>
    <x v="2"/>
    <x v="3"/>
    <x v="2"/>
    <x v="1160"/>
    <n v="239.15"/>
    <n v="6.3017127799736491E-2"/>
  </r>
  <r>
    <x v="293"/>
    <x v="3"/>
    <x v="2"/>
    <x v="1"/>
    <x v="3"/>
    <x v="693"/>
    <n v="229.33"/>
    <n v="0.28312345679012346"/>
  </r>
  <r>
    <x v="239"/>
    <x v="3"/>
    <x v="2"/>
    <x v="2"/>
    <x v="7"/>
    <x v="1142"/>
    <n v="1500.2"/>
    <n v="0.29381120250685466"/>
  </r>
  <r>
    <x v="561"/>
    <x v="6"/>
    <x v="1"/>
    <x v="3"/>
    <x v="3"/>
    <x v="884"/>
    <n v="79.25"/>
    <n v="9.9310776942355891E-2"/>
  </r>
  <r>
    <x v="752"/>
    <x v="9"/>
    <x v="2"/>
    <x v="3"/>
    <x v="2"/>
    <x v="1161"/>
    <n v="895.33"/>
    <n v="0.28288467614533969"/>
  </r>
  <r>
    <x v="630"/>
    <x v="2"/>
    <x v="2"/>
    <x v="1"/>
    <x v="2"/>
    <x v="1162"/>
    <n v="875.84"/>
    <n v="0.14757203032855939"/>
  </r>
  <r>
    <x v="777"/>
    <x v="8"/>
    <x v="1"/>
    <x v="2"/>
    <x v="0"/>
    <x v="1163"/>
    <n v="663.15"/>
    <n v="0.19783711217183769"/>
  </r>
  <r>
    <x v="778"/>
    <x v="7"/>
    <x v="2"/>
    <x v="3"/>
    <x v="5"/>
    <x v="1164"/>
    <n v="821"/>
    <n v="9.8405849214910704E-2"/>
  </r>
  <r>
    <x v="779"/>
    <x v="6"/>
    <x v="1"/>
    <x v="1"/>
    <x v="0"/>
    <x v="1165"/>
    <n v="411.38"/>
    <n v="0.1579800307219662"/>
  </r>
  <r>
    <x v="780"/>
    <x v="4"/>
    <x v="1"/>
    <x v="3"/>
    <x v="4"/>
    <x v="1166"/>
    <n v="108.88"/>
    <n v="0.20699619771863118"/>
  </r>
  <r>
    <x v="477"/>
    <x v="6"/>
    <x v="1"/>
    <x v="3"/>
    <x v="5"/>
    <x v="1167"/>
    <n v="1324.01"/>
    <n v="0.25364176245210729"/>
  </r>
  <r>
    <x v="477"/>
    <x v="0"/>
    <x v="0"/>
    <x v="0"/>
    <x v="5"/>
    <x v="1168"/>
    <n v="152.97999999999999"/>
    <n v="8.8071387449625782E-2"/>
  </r>
  <r>
    <x v="781"/>
    <x v="1"/>
    <x v="1"/>
    <x v="3"/>
    <x v="7"/>
    <x v="454"/>
    <n v="841.04"/>
    <n v="0.26397991211550531"/>
  </r>
  <r>
    <x v="616"/>
    <x v="7"/>
    <x v="2"/>
    <x v="3"/>
    <x v="7"/>
    <x v="1169"/>
    <n v="1202.25"/>
    <n v="0.17140718562874252"/>
  </r>
  <r>
    <x v="386"/>
    <x v="1"/>
    <x v="1"/>
    <x v="2"/>
    <x v="5"/>
    <x v="1170"/>
    <n v="444.87"/>
    <n v="0.13042216358839051"/>
  </r>
  <r>
    <x v="761"/>
    <x v="6"/>
    <x v="1"/>
    <x v="1"/>
    <x v="4"/>
    <x v="698"/>
    <n v="87.58"/>
    <n v="0.17072124756335283"/>
  </r>
  <r>
    <x v="782"/>
    <x v="7"/>
    <x v="2"/>
    <x v="3"/>
    <x v="4"/>
    <x v="390"/>
    <n v="277.85000000000002"/>
    <n v="0.25167572463768118"/>
  </r>
  <r>
    <x v="783"/>
    <x v="7"/>
    <x v="2"/>
    <x v="1"/>
    <x v="5"/>
    <x v="1010"/>
    <n v="271.51"/>
    <n v="9.9893303899926414E-2"/>
  </r>
  <r>
    <x v="654"/>
    <x v="4"/>
    <x v="1"/>
    <x v="0"/>
    <x v="7"/>
    <x v="425"/>
    <n v="416.3"/>
    <n v="0.25048134777376657"/>
  </r>
  <r>
    <x v="309"/>
    <x v="1"/>
    <x v="1"/>
    <x v="3"/>
    <x v="2"/>
    <x v="1171"/>
    <n v="360.59"/>
    <n v="0.21211176470588233"/>
  </r>
  <r>
    <x v="486"/>
    <x v="2"/>
    <x v="2"/>
    <x v="2"/>
    <x v="0"/>
    <x v="1172"/>
    <n v="597.65"/>
    <n v="0.2038369713506139"/>
  </r>
  <r>
    <x v="533"/>
    <x v="1"/>
    <x v="1"/>
    <x v="0"/>
    <x v="0"/>
    <x v="1173"/>
    <n v="971.14"/>
    <n v="0.2694617092119867"/>
  </r>
  <r>
    <x v="38"/>
    <x v="3"/>
    <x v="2"/>
    <x v="3"/>
    <x v="0"/>
    <x v="1174"/>
    <n v="553.58000000000004"/>
    <n v="0.12044821583986076"/>
  </r>
  <r>
    <x v="75"/>
    <x v="5"/>
    <x v="2"/>
    <x v="1"/>
    <x v="7"/>
    <x v="106"/>
    <n v="68.239999999999995"/>
    <n v="7.3376344086021505E-2"/>
  </r>
  <r>
    <x v="96"/>
    <x v="2"/>
    <x v="2"/>
    <x v="0"/>
    <x v="8"/>
    <x v="1175"/>
    <n v="470.93"/>
    <n v="0.1687921146953405"/>
  </r>
  <r>
    <x v="371"/>
    <x v="7"/>
    <x v="2"/>
    <x v="0"/>
    <x v="7"/>
    <x v="1174"/>
    <n v="1162.75"/>
    <n v="0.25299173194081809"/>
  </r>
  <r>
    <x v="499"/>
    <x v="8"/>
    <x v="1"/>
    <x v="2"/>
    <x v="4"/>
    <x v="1176"/>
    <n v="260.27999999999997"/>
    <n v="0.27056133056133053"/>
  </r>
  <r>
    <x v="784"/>
    <x v="7"/>
    <x v="2"/>
    <x v="0"/>
    <x v="4"/>
    <x v="1177"/>
    <n v="14.88"/>
    <n v="0.16173913043478261"/>
  </r>
  <r>
    <x v="158"/>
    <x v="8"/>
    <x v="1"/>
    <x v="0"/>
    <x v="2"/>
    <x v="965"/>
    <n v="254.99"/>
    <n v="0.22565486725663716"/>
  </r>
  <r>
    <x v="423"/>
    <x v="4"/>
    <x v="1"/>
    <x v="1"/>
    <x v="7"/>
    <x v="1178"/>
    <n v="1706.41"/>
    <n v="0.28326859229747675"/>
  </r>
  <r>
    <x v="750"/>
    <x v="0"/>
    <x v="0"/>
    <x v="2"/>
    <x v="4"/>
    <x v="1179"/>
    <n v="135"/>
    <n v="0.15358361774744028"/>
  </r>
  <r>
    <x v="437"/>
    <x v="6"/>
    <x v="1"/>
    <x v="1"/>
    <x v="6"/>
    <x v="46"/>
    <n v="444.98"/>
    <n v="0.18665268456375839"/>
  </r>
  <r>
    <x v="366"/>
    <x v="3"/>
    <x v="2"/>
    <x v="2"/>
    <x v="0"/>
    <x v="1180"/>
    <n v="277.26"/>
    <n v="5.9702842377260978E-2"/>
  </r>
  <r>
    <x v="758"/>
    <x v="8"/>
    <x v="1"/>
    <x v="1"/>
    <x v="4"/>
    <x v="1181"/>
    <n v="79.78"/>
    <n v="0.1314332784184514"/>
  </r>
  <r>
    <x v="464"/>
    <x v="1"/>
    <x v="1"/>
    <x v="2"/>
    <x v="1"/>
    <x v="1182"/>
    <n v="129.11000000000001"/>
    <n v="0.1676753246753247"/>
  </r>
  <r>
    <x v="785"/>
    <x v="8"/>
    <x v="1"/>
    <x v="2"/>
    <x v="4"/>
    <x v="1183"/>
    <n v="158.88999999999999"/>
    <n v="0.22347398030942334"/>
  </r>
  <r>
    <x v="786"/>
    <x v="8"/>
    <x v="1"/>
    <x v="2"/>
    <x v="3"/>
    <x v="1076"/>
    <n v="235.83"/>
    <n v="0.21675551470588236"/>
  </r>
  <r>
    <x v="20"/>
    <x v="9"/>
    <x v="2"/>
    <x v="1"/>
    <x v="1"/>
    <x v="1184"/>
    <n v="513.14"/>
    <n v="0.10908588435374149"/>
  </r>
  <r>
    <x v="787"/>
    <x v="9"/>
    <x v="2"/>
    <x v="1"/>
    <x v="2"/>
    <x v="1185"/>
    <n v="90.86"/>
    <n v="0.13766666666666666"/>
  </r>
  <r>
    <x v="788"/>
    <x v="4"/>
    <x v="1"/>
    <x v="2"/>
    <x v="2"/>
    <x v="185"/>
    <n v="516.26"/>
    <n v="0.11031196581196581"/>
  </r>
  <r>
    <x v="789"/>
    <x v="3"/>
    <x v="2"/>
    <x v="1"/>
    <x v="1"/>
    <x v="1186"/>
    <n v="665.29"/>
    <n v="9.7879947035456813E-2"/>
  </r>
  <r>
    <x v="731"/>
    <x v="1"/>
    <x v="1"/>
    <x v="0"/>
    <x v="5"/>
    <x v="1187"/>
    <n v="38.86"/>
    <n v="6.9641577060931895E-2"/>
  </r>
  <r>
    <x v="280"/>
    <x v="6"/>
    <x v="1"/>
    <x v="1"/>
    <x v="0"/>
    <x v="1188"/>
    <n v="1115.75"/>
    <n v="0.24816503558718861"/>
  </r>
  <r>
    <x v="670"/>
    <x v="8"/>
    <x v="1"/>
    <x v="2"/>
    <x v="4"/>
    <x v="1189"/>
    <n v="62.78"/>
    <n v="8.805049088359046E-2"/>
  </r>
  <r>
    <x v="653"/>
    <x v="3"/>
    <x v="2"/>
    <x v="1"/>
    <x v="3"/>
    <x v="1190"/>
    <n v="212.43"/>
    <n v="0.16216030534351145"/>
  </r>
  <r>
    <x v="502"/>
    <x v="8"/>
    <x v="1"/>
    <x v="3"/>
    <x v="5"/>
    <x v="443"/>
    <n v="564.04999999999995"/>
    <n v="0.1977041710480196"/>
  </r>
  <r>
    <x v="159"/>
    <x v="3"/>
    <x v="2"/>
    <x v="2"/>
    <x v="3"/>
    <x v="1191"/>
    <n v="516.05999999999995"/>
    <n v="0.22205679862306366"/>
  </r>
  <r>
    <x v="397"/>
    <x v="9"/>
    <x v="2"/>
    <x v="0"/>
    <x v="4"/>
    <x v="305"/>
    <n v="53.42"/>
    <n v="0.16187878787878787"/>
  </r>
  <r>
    <x v="247"/>
    <x v="3"/>
    <x v="2"/>
    <x v="2"/>
    <x v="8"/>
    <x v="1192"/>
    <n v="100.52"/>
    <n v="0.17095238095238094"/>
  </r>
  <r>
    <x v="517"/>
    <x v="7"/>
    <x v="2"/>
    <x v="1"/>
    <x v="4"/>
    <x v="1193"/>
    <n v="11.91"/>
    <n v="0.18904761904761905"/>
  </r>
  <r>
    <x v="532"/>
    <x v="2"/>
    <x v="2"/>
    <x v="1"/>
    <x v="1"/>
    <x v="1146"/>
    <n v="147.71"/>
    <n v="0.17439197166469894"/>
  </r>
  <r>
    <x v="168"/>
    <x v="0"/>
    <x v="0"/>
    <x v="1"/>
    <x v="4"/>
    <x v="1194"/>
    <n v="56.89"/>
    <n v="5.486017357762777E-2"/>
  </r>
  <r>
    <x v="790"/>
    <x v="1"/>
    <x v="1"/>
    <x v="0"/>
    <x v="4"/>
    <x v="1195"/>
    <n v="72.17"/>
    <n v="0.19348525469168901"/>
  </r>
  <r>
    <x v="119"/>
    <x v="9"/>
    <x v="2"/>
    <x v="0"/>
    <x v="4"/>
    <x v="602"/>
    <n v="157.47"/>
    <n v="0.13390306122448981"/>
  </r>
  <r>
    <x v="182"/>
    <x v="7"/>
    <x v="2"/>
    <x v="1"/>
    <x v="8"/>
    <x v="165"/>
    <n v="422.52"/>
    <n v="0.19753155680224402"/>
  </r>
  <r>
    <x v="731"/>
    <x v="6"/>
    <x v="1"/>
    <x v="3"/>
    <x v="5"/>
    <x v="1196"/>
    <n v="301.12"/>
    <n v="7.2734299516908213E-2"/>
  </r>
  <r>
    <x v="791"/>
    <x v="9"/>
    <x v="2"/>
    <x v="0"/>
    <x v="4"/>
    <x v="1197"/>
    <n v="63.23"/>
    <n v="6.0915221579961459E-2"/>
  </r>
  <r>
    <x v="311"/>
    <x v="6"/>
    <x v="1"/>
    <x v="1"/>
    <x v="6"/>
    <x v="1198"/>
    <n v="203.11"/>
    <n v="0.100350790513834"/>
  </r>
  <r>
    <x v="102"/>
    <x v="5"/>
    <x v="2"/>
    <x v="2"/>
    <x v="7"/>
    <x v="1199"/>
    <n v="1136.0899999999999"/>
    <n v="0.17151117149758452"/>
  </r>
  <r>
    <x v="276"/>
    <x v="5"/>
    <x v="2"/>
    <x v="1"/>
    <x v="1"/>
    <x v="1200"/>
    <n v="1154.79"/>
    <n v="0.23008368200836821"/>
  </r>
  <r>
    <x v="404"/>
    <x v="7"/>
    <x v="2"/>
    <x v="1"/>
    <x v="2"/>
    <x v="1201"/>
    <n v="207.77"/>
    <n v="0.2770266666666667"/>
  </r>
  <r>
    <x v="580"/>
    <x v="3"/>
    <x v="2"/>
    <x v="0"/>
    <x v="1"/>
    <x v="841"/>
    <n v="1455.36"/>
    <n v="0.22525305680235255"/>
  </r>
  <r>
    <x v="609"/>
    <x v="2"/>
    <x v="2"/>
    <x v="3"/>
    <x v="7"/>
    <x v="1202"/>
    <n v="208.01"/>
    <n v="7.060760353021045E-2"/>
  </r>
  <r>
    <x v="342"/>
    <x v="6"/>
    <x v="1"/>
    <x v="2"/>
    <x v="4"/>
    <x v="1203"/>
    <n v="81.040000000000006"/>
    <n v="0.13113268608414241"/>
  </r>
  <r>
    <x v="743"/>
    <x v="0"/>
    <x v="0"/>
    <x v="2"/>
    <x v="3"/>
    <x v="1204"/>
    <n v="322.49"/>
    <n v="0.18178692220969561"/>
  </r>
  <r>
    <x v="2"/>
    <x v="3"/>
    <x v="2"/>
    <x v="1"/>
    <x v="5"/>
    <x v="1205"/>
    <n v="700.37"/>
    <n v="8.157116235732588E-2"/>
  </r>
  <r>
    <x v="792"/>
    <x v="9"/>
    <x v="2"/>
    <x v="2"/>
    <x v="2"/>
    <x v="1206"/>
    <n v="232.41"/>
    <n v="0.116205"/>
  </r>
  <r>
    <x v="390"/>
    <x v="1"/>
    <x v="1"/>
    <x v="1"/>
    <x v="4"/>
    <x v="1207"/>
    <n v="205.88"/>
    <n v="0.24249705535924618"/>
  </r>
  <r>
    <x v="162"/>
    <x v="1"/>
    <x v="1"/>
    <x v="1"/>
    <x v="7"/>
    <x v="454"/>
    <n v="374.63"/>
    <n v="0.11758631512868802"/>
  </r>
  <r>
    <x v="405"/>
    <x v="6"/>
    <x v="1"/>
    <x v="2"/>
    <x v="0"/>
    <x v="1208"/>
    <n v="495.13"/>
    <n v="0.19524053627760252"/>
  </r>
  <r>
    <x v="321"/>
    <x v="5"/>
    <x v="2"/>
    <x v="2"/>
    <x v="3"/>
    <x v="1209"/>
    <n v="228.41"/>
    <n v="0.1748928024502297"/>
  </r>
  <r>
    <x v="658"/>
    <x v="2"/>
    <x v="2"/>
    <x v="1"/>
    <x v="8"/>
    <x v="1210"/>
    <n v="631.85"/>
    <n v="0.25193381180223284"/>
  </r>
  <r>
    <x v="164"/>
    <x v="2"/>
    <x v="2"/>
    <x v="0"/>
    <x v="6"/>
    <x v="1211"/>
    <n v="107.56"/>
    <n v="0.10263358778625954"/>
  </r>
  <r>
    <x v="511"/>
    <x v="8"/>
    <x v="1"/>
    <x v="1"/>
    <x v="0"/>
    <x v="1212"/>
    <n v="256.95999999999998"/>
    <n v="0.16949868073878627"/>
  </r>
  <r>
    <x v="117"/>
    <x v="7"/>
    <x v="2"/>
    <x v="3"/>
    <x v="5"/>
    <x v="275"/>
    <n v="1835.21"/>
    <n v="0.17548384012239435"/>
  </r>
  <r>
    <x v="229"/>
    <x v="4"/>
    <x v="1"/>
    <x v="1"/>
    <x v="5"/>
    <x v="1213"/>
    <n v="259.16000000000003"/>
    <n v="9.4103122730573724E-2"/>
  </r>
  <r>
    <x v="711"/>
    <x v="0"/>
    <x v="0"/>
    <x v="3"/>
    <x v="0"/>
    <x v="1065"/>
    <n v="364.27"/>
    <n v="0.10613927738927738"/>
  </r>
  <r>
    <x v="793"/>
    <x v="6"/>
    <x v="1"/>
    <x v="2"/>
    <x v="3"/>
    <x v="1214"/>
    <n v="257.89"/>
    <n v="0.20898703403565638"/>
  </r>
  <r>
    <x v="794"/>
    <x v="6"/>
    <x v="1"/>
    <x v="1"/>
    <x v="4"/>
    <x v="1146"/>
    <n v="146.25"/>
    <n v="0.17266824085005902"/>
  </r>
  <r>
    <x v="139"/>
    <x v="8"/>
    <x v="1"/>
    <x v="2"/>
    <x v="1"/>
    <x v="481"/>
    <n v="896.11"/>
    <n v="0.11680265901981231"/>
  </r>
  <r>
    <x v="758"/>
    <x v="6"/>
    <x v="1"/>
    <x v="0"/>
    <x v="5"/>
    <x v="1215"/>
    <n v="1454.15"/>
    <n v="0.19143628225381781"/>
  </r>
  <r>
    <x v="795"/>
    <x v="8"/>
    <x v="1"/>
    <x v="1"/>
    <x v="1"/>
    <x v="1216"/>
    <n v="1357.27"/>
    <n v="0.18715802537231108"/>
  </r>
  <r>
    <x v="227"/>
    <x v="5"/>
    <x v="2"/>
    <x v="3"/>
    <x v="7"/>
    <x v="1217"/>
    <n v="136.59"/>
    <n v="0.18659836065573771"/>
  </r>
  <r>
    <x v="128"/>
    <x v="7"/>
    <x v="2"/>
    <x v="3"/>
    <x v="4"/>
    <x v="1218"/>
    <n v="20.96"/>
    <n v="0.12115606936416186"/>
  </r>
  <r>
    <x v="26"/>
    <x v="3"/>
    <x v="2"/>
    <x v="0"/>
    <x v="8"/>
    <x v="1219"/>
    <n v="749.5"/>
    <n v="0.26720142602495545"/>
  </r>
  <r>
    <x v="796"/>
    <x v="7"/>
    <x v="2"/>
    <x v="3"/>
    <x v="6"/>
    <x v="1220"/>
    <n v="391.96"/>
    <n v="5.561293984108967E-2"/>
  </r>
  <r>
    <x v="797"/>
    <x v="1"/>
    <x v="1"/>
    <x v="1"/>
    <x v="7"/>
    <x v="1221"/>
    <n v="1020.11"/>
    <n v="0.21713707960834397"/>
  </r>
  <r>
    <x v="607"/>
    <x v="5"/>
    <x v="2"/>
    <x v="2"/>
    <x v="4"/>
    <x v="1222"/>
    <n v="148.79"/>
    <n v="0.2633451327433628"/>
  </r>
  <r>
    <x v="427"/>
    <x v="6"/>
    <x v="1"/>
    <x v="0"/>
    <x v="4"/>
    <x v="9"/>
    <n v="198.75"/>
    <n v="0.29575892857142855"/>
  </r>
  <r>
    <x v="798"/>
    <x v="3"/>
    <x v="2"/>
    <x v="2"/>
    <x v="7"/>
    <x v="1165"/>
    <n v="566.34"/>
    <n v="0.21748847926267281"/>
  </r>
  <r>
    <x v="678"/>
    <x v="2"/>
    <x v="2"/>
    <x v="3"/>
    <x v="7"/>
    <x v="296"/>
    <n v="501.5"/>
    <n v="9.7872755659640903E-2"/>
  </r>
  <r>
    <x v="201"/>
    <x v="5"/>
    <x v="2"/>
    <x v="3"/>
    <x v="2"/>
    <x v="1223"/>
    <n v="714.35"/>
    <n v="0.29097759674134421"/>
  </r>
  <r>
    <x v="799"/>
    <x v="0"/>
    <x v="0"/>
    <x v="0"/>
    <x v="3"/>
    <x v="1224"/>
    <n v="225.15"/>
    <n v="0.12536191536748331"/>
  </r>
  <r>
    <x v="676"/>
    <x v="9"/>
    <x v="2"/>
    <x v="2"/>
    <x v="4"/>
    <x v="1225"/>
    <n v="61.85"/>
    <n v="0.21475694444444446"/>
  </r>
  <r>
    <x v="476"/>
    <x v="9"/>
    <x v="2"/>
    <x v="0"/>
    <x v="2"/>
    <x v="1226"/>
    <n v="553.41"/>
    <n v="0.25620833333333332"/>
  </r>
  <r>
    <x v="149"/>
    <x v="2"/>
    <x v="2"/>
    <x v="3"/>
    <x v="4"/>
    <x v="1085"/>
    <n v="27.36"/>
    <n v="0.26057142857142856"/>
  </r>
  <r>
    <x v="345"/>
    <x v="6"/>
    <x v="1"/>
    <x v="2"/>
    <x v="5"/>
    <x v="1227"/>
    <n v="1596.64"/>
    <n v="0.21069411454209555"/>
  </r>
  <r>
    <x v="563"/>
    <x v="4"/>
    <x v="1"/>
    <x v="2"/>
    <x v="4"/>
    <x v="1136"/>
    <n v="50.1"/>
    <n v="0.13726027397260274"/>
  </r>
  <r>
    <x v="800"/>
    <x v="3"/>
    <x v="2"/>
    <x v="3"/>
    <x v="6"/>
    <x v="1228"/>
    <n v="537.98"/>
    <n v="0.14338486140724946"/>
  </r>
  <r>
    <x v="200"/>
    <x v="8"/>
    <x v="1"/>
    <x v="0"/>
    <x v="3"/>
    <x v="1229"/>
    <n v="316.20999999999998"/>
    <n v="0.22847543352601155"/>
  </r>
  <r>
    <x v="801"/>
    <x v="7"/>
    <x v="2"/>
    <x v="3"/>
    <x v="2"/>
    <x v="1230"/>
    <n v="76.22"/>
    <n v="0.16046315789473684"/>
  </r>
  <r>
    <x v="188"/>
    <x v="0"/>
    <x v="0"/>
    <x v="3"/>
    <x v="0"/>
    <x v="1231"/>
    <n v="242.31"/>
    <n v="0.2171236559139785"/>
  </r>
  <r>
    <x v="354"/>
    <x v="7"/>
    <x v="2"/>
    <x v="3"/>
    <x v="4"/>
    <x v="1232"/>
    <n v="39.35"/>
    <n v="0.28722627737226281"/>
  </r>
  <r>
    <x v="187"/>
    <x v="4"/>
    <x v="1"/>
    <x v="2"/>
    <x v="7"/>
    <x v="770"/>
    <n v="158.96"/>
    <n v="0.2153929539295393"/>
  </r>
  <r>
    <x v="6"/>
    <x v="3"/>
    <x v="2"/>
    <x v="3"/>
    <x v="8"/>
    <x v="1233"/>
    <n v="543.01"/>
    <n v="0.29819330038440417"/>
  </r>
  <r>
    <x v="802"/>
    <x v="8"/>
    <x v="1"/>
    <x v="3"/>
    <x v="1"/>
    <x v="517"/>
    <n v="670.16"/>
    <n v="0.18340448823207442"/>
  </r>
  <r>
    <x v="340"/>
    <x v="8"/>
    <x v="1"/>
    <x v="1"/>
    <x v="7"/>
    <x v="1234"/>
    <n v="404.89"/>
    <n v="0.15620756172839506"/>
  </r>
  <r>
    <x v="803"/>
    <x v="3"/>
    <x v="2"/>
    <x v="1"/>
    <x v="7"/>
    <x v="1235"/>
    <n v="225.75"/>
    <n v="0.22665662650602408"/>
  </r>
  <r>
    <x v="180"/>
    <x v="1"/>
    <x v="1"/>
    <x v="0"/>
    <x v="4"/>
    <x v="1236"/>
    <n v="62.75"/>
    <n v="9.0548340548340545E-2"/>
  </r>
  <r>
    <x v="126"/>
    <x v="8"/>
    <x v="1"/>
    <x v="1"/>
    <x v="8"/>
    <x v="698"/>
    <n v="48.23"/>
    <n v="9.401559454191033E-2"/>
  </r>
  <r>
    <x v="432"/>
    <x v="5"/>
    <x v="2"/>
    <x v="1"/>
    <x v="6"/>
    <x v="1237"/>
    <n v="937.62"/>
    <n v="0.16346234309623431"/>
  </r>
  <r>
    <x v="98"/>
    <x v="1"/>
    <x v="1"/>
    <x v="1"/>
    <x v="3"/>
    <x v="1238"/>
    <n v="208.93"/>
    <n v="0.14329903978052128"/>
  </r>
  <r>
    <x v="553"/>
    <x v="7"/>
    <x v="2"/>
    <x v="1"/>
    <x v="6"/>
    <x v="1239"/>
    <n v="1104.93"/>
    <n v="0.201042576419214"/>
  </r>
  <r>
    <x v="804"/>
    <x v="2"/>
    <x v="2"/>
    <x v="0"/>
    <x v="8"/>
    <x v="629"/>
    <n v="358.87"/>
    <n v="0.11274583726044612"/>
  </r>
  <r>
    <x v="346"/>
    <x v="4"/>
    <x v="1"/>
    <x v="1"/>
    <x v="7"/>
    <x v="1240"/>
    <n v="975.5"/>
    <n v="0.24448621553884711"/>
  </r>
  <r>
    <x v="805"/>
    <x v="7"/>
    <x v="2"/>
    <x v="3"/>
    <x v="3"/>
    <x v="1241"/>
    <n v="76.45"/>
    <n v="0.13135738831615121"/>
  </r>
  <r>
    <x v="806"/>
    <x v="0"/>
    <x v="0"/>
    <x v="2"/>
    <x v="2"/>
    <x v="1242"/>
    <n v="845.53"/>
    <n v="0.25315269461077844"/>
  </r>
  <r>
    <x v="614"/>
    <x v="6"/>
    <x v="1"/>
    <x v="3"/>
    <x v="4"/>
    <x v="1243"/>
    <n v="59.1"/>
    <n v="6.6404494382022478E-2"/>
  </r>
  <r>
    <x v="807"/>
    <x v="0"/>
    <x v="0"/>
    <x v="1"/>
    <x v="7"/>
    <x v="1244"/>
    <n v="689.01"/>
    <n v="0.14090184049079754"/>
  </r>
  <r>
    <x v="668"/>
    <x v="8"/>
    <x v="1"/>
    <x v="1"/>
    <x v="8"/>
    <x v="1245"/>
    <n v="349.61"/>
    <n v="0.13318476190476192"/>
  </r>
  <r>
    <x v="415"/>
    <x v="5"/>
    <x v="2"/>
    <x v="0"/>
    <x v="0"/>
    <x v="313"/>
    <n v="200.09"/>
    <n v="0.13895138888888889"/>
  </r>
  <r>
    <x v="618"/>
    <x v="4"/>
    <x v="1"/>
    <x v="0"/>
    <x v="2"/>
    <x v="1246"/>
    <n v="93.85"/>
    <n v="0.18584158415841584"/>
  </r>
  <r>
    <x v="245"/>
    <x v="9"/>
    <x v="2"/>
    <x v="0"/>
    <x v="6"/>
    <x v="1247"/>
    <n v="1822.87"/>
    <n v="0.22251831054687499"/>
  </r>
  <r>
    <x v="479"/>
    <x v="8"/>
    <x v="1"/>
    <x v="1"/>
    <x v="8"/>
    <x v="492"/>
    <n v="144.30000000000001"/>
    <n v="7.5156250000000008E-2"/>
  </r>
  <r>
    <x v="264"/>
    <x v="5"/>
    <x v="2"/>
    <x v="3"/>
    <x v="6"/>
    <x v="1248"/>
    <n v="1065.8"/>
    <n v="0.12155565693430656"/>
  </r>
  <r>
    <x v="808"/>
    <x v="1"/>
    <x v="1"/>
    <x v="0"/>
    <x v="4"/>
    <x v="577"/>
    <n v="117.05"/>
    <n v="0.10267543859649123"/>
  </r>
  <r>
    <x v="744"/>
    <x v="9"/>
    <x v="2"/>
    <x v="0"/>
    <x v="0"/>
    <x v="255"/>
    <n v="264.61"/>
    <n v="0.27795168067226894"/>
  </r>
  <r>
    <x v="348"/>
    <x v="7"/>
    <x v="2"/>
    <x v="0"/>
    <x v="4"/>
    <x v="424"/>
    <n v="51.07"/>
    <n v="0.22697777777777778"/>
  </r>
  <r>
    <x v="306"/>
    <x v="0"/>
    <x v="0"/>
    <x v="2"/>
    <x v="0"/>
    <x v="1249"/>
    <n v="336.95"/>
    <n v="0.25839723926380365"/>
  </r>
  <r>
    <x v="22"/>
    <x v="3"/>
    <x v="2"/>
    <x v="1"/>
    <x v="8"/>
    <x v="307"/>
    <n v="206.83"/>
    <n v="0.20100097181729837"/>
  </r>
  <r>
    <x v="544"/>
    <x v="0"/>
    <x v="0"/>
    <x v="2"/>
    <x v="8"/>
    <x v="608"/>
    <n v="442.67"/>
    <n v="0.13012051734273958"/>
  </r>
  <r>
    <x v="82"/>
    <x v="9"/>
    <x v="2"/>
    <x v="0"/>
    <x v="5"/>
    <x v="1250"/>
    <n v="1201.94"/>
    <n v="0.14207328605200947"/>
  </r>
  <r>
    <x v="588"/>
    <x v="6"/>
    <x v="1"/>
    <x v="0"/>
    <x v="4"/>
    <x v="1251"/>
    <n v="26.86"/>
    <n v="0.25826923076923075"/>
  </r>
  <r>
    <x v="700"/>
    <x v="6"/>
    <x v="1"/>
    <x v="3"/>
    <x v="5"/>
    <x v="1252"/>
    <n v="1595.08"/>
    <n v="0.14956211908110642"/>
  </r>
  <r>
    <x v="212"/>
    <x v="5"/>
    <x v="2"/>
    <x v="1"/>
    <x v="6"/>
    <x v="1253"/>
    <n v="183.07"/>
    <n v="0.18604674796747966"/>
  </r>
  <r>
    <x v="314"/>
    <x v="7"/>
    <x v="2"/>
    <x v="0"/>
    <x v="0"/>
    <x v="1254"/>
    <n v="359.3"/>
    <n v="0.17407945736434108"/>
  </r>
  <r>
    <x v="123"/>
    <x v="9"/>
    <x v="2"/>
    <x v="0"/>
    <x v="3"/>
    <x v="323"/>
    <n v="172.47"/>
    <n v="0.29035353535353536"/>
  </r>
  <r>
    <x v="809"/>
    <x v="0"/>
    <x v="0"/>
    <x v="2"/>
    <x v="6"/>
    <x v="1255"/>
    <n v="898.33"/>
    <n v="0.14932347074468086"/>
  </r>
  <r>
    <x v="589"/>
    <x v="7"/>
    <x v="2"/>
    <x v="0"/>
    <x v="6"/>
    <x v="1256"/>
    <n v="195.16"/>
    <n v="6.8142458100558662E-2"/>
  </r>
  <r>
    <x v="426"/>
    <x v="2"/>
    <x v="2"/>
    <x v="0"/>
    <x v="0"/>
    <x v="797"/>
    <n v="186.95"/>
    <n v="0.25821823204419886"/>
  </r>
  <r>
    <x v="490"/>
    <x v="1"/>
    <x v="1"/>
    <x v="1"/>
    <x v="7"/>
    <x v="1257"/>
    <n v="1174.46"/>
    <n v="0.28659346022449977"/>
  </r>
  <r>
    <x v="810"/>
    <x v="6"/>
    <x v="1"/>
    <x v="0"/>
    <x v="4"/>
    <x v="1258"/>
    <n v="32.61"/>
    <n v="9.6479289940828397E-2"/>
  </r>
  <r>
    <x v="811"/>
    <x v="0"/>
    <x v="0"/>
    <x v="3"/>
    <x v="6"/>
    <x v="1259"/>
    <n v="1596.88"/>
    <n v="0.17207758620689656"/>
  </r>
  <r>
    <x v="812"/>
    <x v="5"/>
    <x v="2"/>
    <x v="1"/>
    <x v="4"/>
    <x v="1243"/>
    <n v="57.04"/>
    <n v="6.4089887640449442E-2"/>
  </r>
  <r>
    <x v="621"/>
    <x v="2"/>
    <x v="2"/>
    <x v="2"/>
    <x v="3"/>
    <x v="1260"/>
    <n v="442.75"/>
    <n v="0.24734636871508381"/>
  </r>
  <r>
    <x v="487"/>
    <x v="2"/>
    <x v="2"/>
    <x v="0"/>
    <x v="5"/>
    <x v="1261"/>
    <n v="978.97"/>
    <n v="0.1148621377449255"/>
  </r>
  <r>
    <x v="801"/>
    <x v="4"/>
    <x v="1"/>
    <x v="3"/>
    <x v="5"/>
    <x v="1262"/>
    <n v="677.74"/>
    <n v="8.715792181069959E-2"/>
  </r>
  <r>
    <x v="541"/>
    <x v="1"/>
    <x v="1"/>
    <x v="0"/>
    <x v="1"/>
    <x v="1263"/>
    <n v="417.5"/>
    <n v="0.13774331903662157"/>
  </r>
  <r>
    <x v="186"/>
    <x v="3"/>
    <x v="2"/>
    <x v="2"/>
    <x v="5"/>
    <x v="1221"/>
    <n v="1262.47"/>
    <n v="0.26872498935717326"/>
  </r>
  <r>
    <x v="347"/>
    <x v="8"/>
    <x v="1"/>
    <x v="3"/>
    <x v="5"/>
    <x v="1264"/>
    <n v="1408.41"/>
    <n v="0.29033395176252319"/>
  </r>
  <r>
    <x v="357"/>
    <x v="3"/>
    <x v="2"/>
    <x v="1"/>
    <x v="7"/>
    <x v="1265"/>
    <n v="1169.1600000000001"/>
    <n v="0.25741083223249672"/>
  </r>
  <r>
    <x v="813"/>
    <x v="4"/>
    <x v="1"/>
    <x v="0"/>
    <x v="3"/>
    <x v="1266"/>
    <n v="210.75"/>
    <n v="0.21549079754601227"/>
  </r>
  <r>
    <x v="814"/>
    <x v="1"/>
    <x v="1"/>
    <x v="2"/>
    <x v="5"/>
    <x v="1267"/>
    <n v="1740.97"/>
    <n v="0.18564406056728514"/>
  </r>
  <r>
    <x v="665"/>
    <x v="5"/>
    <x v="2"/>
    <x v="0"/>
    <x v="6"/>
    <x v="1268"/>
    <n v="2043.73"/>
    <n v="0.21594780219780221"/>
  </r>
  <r>
    <x v="447"/>
    <x v="0"/>
    <x v="0"/>
    <x v="3"/>
    <x v="6"/>
    <x v="1269"/>
    <n v="401.26"/>
    <n v="0.2332906976744186"/>
  </r>
  <r>
    <x v="568"/>
    <x v="8"/>
    <x v="1"/>
    <x v="3"/>
    <x v="6"/>
    <x v="1001"/>
    <n v="1124.22"/>
    <n v="0.23657828282828283"/>
  </r>
  <r>
    <x v="320"/>
    <x v="8"/>
    <x v="1"/>
    <x v="2"/>
    <x v="0"/>
    <x v="853"/>
    <n v="127.28"/>
    <n v="0.21794520547945206"/>
  </r>
  <r>
    <x v="311"/>
    <x v="3"/>
    <x v="2"/>
    <x v="0"/>
    <x v="5"/>
    <x v="1270"/>
    <n v="1031.0899999999999"/>
    <n v="0.2264141414141414"/>
  </r>
  <r>
    <x v="692"/>
    <x v="2"/>
    <x v="2"/>
    <x v="2"/>
    <x v="3"/>
    <x v="1271"/>
    <n v="483.39"/>
    <n v="0.20208612040133778"/>
  </r>
  <r>
    <x v="159"/>
    <x v="3"/>
    <x v="2"/>
    <x v="2"/>
    <x v="1"/>
    <x v="1272"/>
    <n v="916.13"/>
    <n v="0.23122917718324079"/>
  </r>
  <r>
    <x v="722"/>
    <x v="9"/>
    <x v="2"/>
    <x v="0"/>
    <x v="8"/>
    <x v="501"/>
    <n v="141.04"/>
    <n v="0.10782874617737002"/>
  </r>
  <r>
    <x v="124"/>
    <x v="0"/>
    <x v="0"/>
    <x v="2"/>
    <x v="6"/>
    <x v="71"/>
    <n v="1153.18"/>
    <n v="0.19505751014884981"/>
  </r>
  <r>
    <x v="253"/>
    <x v="3"/>
    <x v="2"/>
    <x v="2"/>
    <x v="1"/>
    <x v="1273"/>
    <n v="1416.31"/>
    <n v="0.24289315726290514"/>
  </r>
  <r>
    <x v="815"/>
    <x v="3"/>
    <x v="2"/>
    <x v="3"/>
    <x v="1"/>
    <x v="980"/>
    <n v="690.68"/>
    <n v="0.12395549174443646"/>
  </r>
  <r>
    <x v="138"/>
    <x v="6"/>
    <x v="1"/>
    <x v="0"/>
    <x v="7"/>
    <x v="1274"/>
    <n v="1093.04"/>
    <n v="0.20963559647103949"/>
  </r>
  <r>
    <x v="316"/>
    <x v="1"/>
    <x v="1"/>
    <x v="1"/>
    <x v="5"/>
    <x v="1275"/>
    <n v="1283.78"/>
    <n v="0.19146607009694258"/>
  </r>
  <r>
    <x v="438"/>
    <x v="4"/>
    <x v="1"/>
    <x v="0"/>
    <x v="4"/>
    <x v="1276"/>
    <n v="93.83"/>
    <n v="0.2202582159624413"/>
  </r>
  <r>
    <x v="177"/>
    <x v="7"/>
    <x v="2"/>
    <x v="3"/>
    <x v="3"/>
    <x v="1277"/>
    <n v="523.82000000000005"/>
    <n v="0.2376678765880218"/>
  </r>
  <r>
    <x v="286"/>
    <x v="7"/>
    <x v="2"/>
    <x v="0"/>
    <x v="8"/>
    <x v="1278"/>
    <n v="161.66999999999999"/>
    <n v="6.0961538461538456E-2"/>
  </r>
  <r>
    <x v="459"/>
    <x v="0"/>
    <x v="0"/>
    <x v="2"/>
    <x v="7"/>
    <x v="1031"/>
    <n v="919.52"/>
    <n v="0.29358876117496807"/>
  </r>
  <r>
    <x v="712"/>
    <x v="0"/>
    <x v="0"/>
    <x v="3"/>
    <x v="2"/>
    <x v="386"/>
    <n v="437.35"/>
    <n v="0.23898907103825137"/>
  </r>
  <r>
    <x v="739"/>
    <x v="9"/>
    <x v="2"/>
    <x v="1"/>
    <x v="5"/>
    <x v="978"/>
    <n v="676.25"/>
    <n v="0.24475208107129931"/>
  </r>
  <r>
    <x v="816"/>
    <x v="6"/>
    <x v="1"/>
    <x v="0"/>
    <x v="6"/>
    <x v="618"/>
    <n v="2281.9699999999998"/>
    <n v="0.25198431978798586"/>
  </r>
  <r>
    <x v="149"/>
    <x v="3"/>
    <x v="2"/>
    <x v="0"/>
    <x v="1"/>
    <x v="1279"/>
    <n v="1416.62"/>
    <n v="0.26045596617025185"/>
  </r>
  <r>
    <x v="306"/>
    <x v="3"/>
    <x v="2"/>
    <x v="2"/>
    <x v="7"/>
    <x v="494"/>
    <n v="47.91"/>
    <n v="5.7862318840579706E-2"/>
  </r>
  <r>
    <x v="244"/>
    <x v="5"/>
    <x v="2"/>
    <x v="1"/>
    <x v="2"/>
    <x v="1280"/>
    <n v="463.07"/>
    <n v="0.24244502617801048"/>
  </r>
  <r>
    <x v="817"/>
    <x v="2"/>
    <x v="2"/>
    <x v="0"/>
    <x v="3"/>
    <x v="411"/>
    <n v="333.86"/>
    <n v="0.17815368196371398"/>
  </r>
  <r>
    <x v="786"/>
    <x v="1"/>
    <x v="1"/>
    <x v="1"/>
    <x v="4"/>
    <x v="1281"/>
    <n v="291.41000000000003"/>
    <n v="0.28237403100775194"/>
  </r>
  <r>
    <x v="334"/>
    <x v="8"/>
    <x v="1"/>
    <x v="1"/>
    <x v="8"/>
    <x v="1282"/>
    <n v="556.86"/>
    <n v="0.17060661764705884"/>
  </r>
  <r>
    <x v="818"/>
    <x v="7"/>
    <x v="2"/>
    <x v="3"/>
    <x v="4"/>
    <x v="1283"/>
    <n v="110.99"/>
    <n v="0.1265564424173318"/>
  </r>
  <r>
    <x v="369"/>
    <x v="3"/>
    <x v="2"/>
    <x v="0"/>
    <x v="8"/>
    <x v="686"/>
    <n v="183.18"/>
    <n v="0.19824675324675325"/>
  </r>
  <r>
    <x v="621"/>
    <x v="3"/>
    <x v="2"/>
    <x v="3"/>
    <x v="8"/>
    <x v="1284"/>
    <n v="114.42"/>
    <n v="0.27438848920863312"/>
  </r>
  <r>
    <x v="819"/>
    <x v="9"/>
    <x v="2"/>
    <x v="3"/>
    <x v="2"/>
    <x v="806"/>
    <n v="155.88999999999999"/>
    <n v="5.8385767790262166E-2"/>
  </r>
  <r>
    <x v="113"/>
    <x v="8"/>
    <x v="1"/>
    <x v="2"/>
    <x v="1"/>
    <x v="1285"/>
    <n v="512.09"/>
    <n v="0.18854565537555229"/>
  </r>
  <r>
    <x v="698"/>
    <x v="4"/>
    <x v="1"/>
    <x v="3"/>
    <x v="5"/>
    <x v="1286"/>
    <n v="1334.37"/>
    <n v="0.13167258732978093"/>
  </r>
  <r>
    <x v="260"/>
    <x v="6"/>
    <x v="1"/>
    <x v="0"/>
    <x v="2"/>
    <x v="1287"/>
    <n v="1230.98"/>
    <n v="0.22381454545454546"/>
  </r>
  <r>
    <x v="820"/>
    <x v="2"/>
    <x v="2"/>
    <x v="1"/>
    <x v="7"/>
    <x v="728"/>
    <n v="1756.82"/>
    <n v="0.28208413615928069"/>
  </r>
  <r>
    <x v="821"/>
    <x v="9"/>
    <x v="2"/>
    <x v="3"/>
    <x v="1"/>
    <x v="972"/>
    <n v="274.77"/>
    <n v="0.2516208791208791"/>
  </r>
  <r>
    <x v="96"/>
    <x v="6"/>
    <x v="1"/>
    <x v="3"/>
    <x v="2"/>
    <x v="1288"/>
    <n v="332.54"/>
    <n v="0.10216282642089095"/>
  </r>
  <r>
    <x v="620"/>
    <x v="2"/>
    <x v="2"/>
    <x v="3"/>
    <x v="2"/>
    <x v="1289"/>
    <n v="1320.86"/>
    <n v="0.23398759964570415"/>
  </r>
  <r>
    <x v="541"/>
    <x v="7"/>
    <x v="2"/>
    <x v="0"/>
    <x v="5"/>
    <x v="1227"/>
    <n v="466.87"/>
    <n v="6.1608603853259433E-2"/>
  </r>
  <r>
    <x v="364"/>
    <x v="8"/>
    <x v="1"/>
    <x v="2"/>
    <x v="5"/>
    <x v="1290"/>
    <n v="1594.61"/>
    <n v="0.25383794969754853"/>
  </r>
  <r>
    <x v="343"/>
    <x v="9"/>
    <x v="2"/>
    <x v="2"/>
    <x v="7"/>
    <x v="1291"/>
    <n v="639.29"/>
    <n v="0.27042724196277496"/>
  </r>
  <r>
    <x v="706"/>
    <x v="8"/>
    <x v="1"/>
    <x v="0"/>
    <x v="6"/>
    <x v="1292"/>
    <n v="1570.91"/>
    <n v="0.22832994186046512"/>
  </r>
  <r>
    <x v="822"/>
    <x v="7"/>
    <x v="2"/>
    <x v="1"/>
    <x v="7"/>
    <x v="1293"/>
    <n v="249.02"/>
    <n v="7.5736009732360096E-2"/>
  </r>
  <r>
    <x v="69"/>
    <x v="6"/>
    <x v="1"/>
    <x v="1"/>
    <x v="7"/>
    <x v="636"/>
    <n v="659.58"/>
    <n v="0.12463718820861679"/>
  </r>
  <r>
    <x v="577"/>
    <x v="0"/>
    <x v="0"/>
    <x v="0"/>
    <x v="8"/>
    <x v="358"/>
    <n v="883.41"/>
    <n v="0.25082623509369678"/>
  </r>
  <r>
    <x v="727"/>
    <x v="5"/>
    <x v="2"/>
    <x v="3"/>
    <x v="3"/>
    <x v="956"/>
    <n v="87.6"/>
    <n v="5.7707509881422918E-2"/>
  </r>
  <r>
    <x v="427"/>
    <x v="2"/>
    <x v="2"/>
    <x v="0"/>
    <x v="1"/>
    <x v="1294"/>
    <n v="690.55"/>
    <n v="0.28105413105413102"/>
  </r>
  <r>
    <x v="77"/>
    <x v="4"/>
    <x v="1"/>
    <x v="3"/>
    <x v="4"/>
    <x v="1295"/>
    <n v="62.08"/>
    <n v="0.20090614886731392"/>
  </r>
  <r>
    <x v="823"/>
    <x v="6"/>
    <x v="1"/>
    <x v="0"/>
    <x v="7"/>
    <x v="1296"/>
    <n v="717.46"/>
    <n v="0.11586886304909562"/>
  </r>
  <r>
    <x v="824"/>
    <x v="3"/>
    <x v="2"/>
    <x v="1"/>
    <x v="2"/>
    <x v="1297"/>
    <n v="747.96"/>
    <n v="0.17661393152302243"/>
  </r>
  <r>
    <x v="581"/>
    <x v="5"/>
    <x v="2"/>
    <x v="0"/>
    <x v="5"/>
    <x v="1298"/>
    <n v="457.11"/>
    <n v="6.4128787878787882E-2"/>
  </r>
  <r>
    <x v="825"/>
    <x v="2"/>
    <x v="2"/>
    <x v="0"/>
    <x v="2"/>
    <x v="1299"/>
    <n v="641.69000000000005"/>
    <n v="0.11337279151943463"/>
  </r>
  <r>
    <x v="324"/>
    <x v="7"/>
    <x v="2"/>
    <x v="2"/>
    <x v="4"/>
    <x v="1300"/>
    <n v="120.38"/>
    <n v="0.15296060991105465"/>
  </r>
  <r>
    <x v="514"/>
    <x v="1"/>
    <x v="1"/>
    <x v="3"/>
    <x v="8"/>
    <x v="708"/>
    <n v="107.26"/>
    <n v="0.28602666666666671"/>
  </r>
  <r>
    <x v="372"/>
    <x v="3"/>
    <x v="2"/>
    <x v="2"/>
    <x v="0"/>
    <x v="126"/>
    <n v="44.79"/>
    <n v="0.15131756756756756"/>
  </r>
  <r>
    <x v="105"/>
    <x v="8"/>
    <x v="1"/>
    <x v="1"/>
    <x v="7"/>
    <x v="1301"/>
    <n v="570.75"/>
    <n v="8.9571563088512246E-2"/>
  </r>
  <r>
    <x v="821"/>
    <x v="1"/>
    <x v="1"/>
    <x v="3"/>
    <x v="7"/>
    <x v="924"/>
    <n v="322.73"/>
    <n v="0.14576784101174345"/>
  </r>
  <r>
    <x v="389"/>
    <x v="4"/>
    <x v="1"/>
    <x v="2"/>
    <x v="7"/>
    <x v="116"/>
    <n v="734.44"/>
    <n v="0.27819696969696972"/>
  </r>
  <r>
    <x v="826"/>
    <x v="3"/>
    <x v="2"/>
    <x v="2"/>
    <x v="1"/>
    <x v="261"/>
    <n v="580.47"/>
    <n v="0.25913839285714285"/>
  </r>
  <r>
    <x v="441"/>
    <x v="5"/>
    <x v="2"/>
    <x v="1"/>
    <x v="1"/>
    <x v="1302"/>
    <n v="1347.74"/>
    <n v="0.21536273569830616"/>
  </r>
  <r>
    <x v="240"/>
    <x v="0"/>
    <x v="0"/>
    <x v="3"/>
    <x v="6"/>
    <x v="1303"/>
    <n v="574.57000000000005"/>
    <n v="0.15056865828092245"/>
  </r>
  <r>
    <x v="16"/>
    <x v="5"/>
    <x v="2"/>
    <x v="2"/>
    <x v="3"/>
    <x v="86"/>
    <n v="115.48"/>
    <n v="0.29610256410256414"/>
  </r>
  <r>
    <x v="827"/>
    <x v="2"/>
    <x v="2"/>
    <x v="2"/>
    <x v="1"/>
    <x v="316"/>
    <n v="83.28"/>
    <n v="0.13219047619047619"/>
  </r>
  <r>
    <x v="156"/>
    <x v="7"/>
    <x v="2"/>
    <x v="2"/>
    <x v="0"/>
    <x v="1304"/>
    <n v="819.26"/>
    <n v="0.21180455015511893"/>
  </r>
  <r>
    <x v="128"/>
    <x v="6"/>
    <x v="1"/>
    <x v="0"/>
    <x v="4"/>
    <x v="1069"/>
    <n v="211.31"/>
    <n v="0.27195624195624196"/>
  </r>
  <r>
    <x v="828"/>
    <x v="6"/>
    <x v="1"/>
    <x v="0"/>
    <x v="8"/>
    <x v="1305"/>
    <n v="196.59"/>
    <n v="0.14594654788418709"/>
  </r>
  <r>
    <x v="97"/>
    <x v="9"/>
    <x v="2"/>
    <x v="1"/>
    <x v="5"/>
    <x v="1306"/>
    <n v="500.32"/>
    <n v="6.8800880088008803E-2"/>
  </r>
  <r>
    <x v="505"/>
    <x v="0"/>
    <x v="0"/>
    <x v="0"/>
    <x v="7"/>
    <x v="1057"/>
    <n v="857.33"/>
    <n v="0.14977812718378758"/>
  </r>
  <r>
    <x v="829"/>
    <x v="4"/>
    <x v="1"/>
    <x v="3"/>
    <x v="8"/>
    <x v="1307"/>
    <n v="74.8"/>
    <n v="0.23974358974358972"/>
  </r>
  <r>
    <x v="698"/>
    <x v="9"/>
    <x v="2"/>
    <x v="1"/>
    <x v="8"/>
    <x v="1308"/>
    <n v="239.63"/>
    <n v="0.12307652799178223"/>
  </r>
  <r>
    <x v="6"/>
    <x v="2"/>
    <x v="2"/>
    <x v="0"/>
    <x v="7"/>
    <x v="958"/>
    <n v="207.97"/>
    <n v="0.18437056737588653"/>
  </r>
  <r>
    <x v="617"/>
    <x v="9"/>
    <x v="2"/>
    <x v="1"/>
    <x v="5"/>
    <x v="1309"/>
    <n v="672.32"/>
    <n v="0.16169312169312169"/>
  </r>
  <r>
    <x v="562"/>
    <x v="8"/>
    <x v="1"/>
    <x v="1"/>
    <x v="7"/>
    <x v="806"/>
    <n v="782.28"/>
    <n v="0.29298876404494378"/>
  </r>
  <r>
    <x v="678"/>
    <x v="4"/>
    <x v="1"/>
    <x v="1"/>
    <x v="4"/>
    <x v="1310"/>
    <n v="17.71"/>
    <n v="0.2083529411764706"/>
  </r>
  <r>
    <x v="103"/>
    <x v="1"/>
    <x v="1"/>
    <x v="1"/>
    <x v="6"/>
    <x v="1311"/>
    <n v="1056.54"/>
    <n v="0.25544970986460347"/>
  </r>
  <r>
    <x v="829"/>
    <x v="2"/>
    <x v="2"/>
    <x v="0"/>
    <x v="7"/>
    <x v="1312"/>
    <n v="348.61"/>
    <n v="8.0473222530009242E-2"/>
  </r>
  <r>
    <x v="827"/>
    <x v="6"/>
    <x v="1"/>
    <x v="0"/>
    <x v="6"/>
    <x v="1313"/>
    <n v="305.3"/>
    <n v="0.1908125"/>
  </r>
  <r>
    <x v="780"/>
    <x v="2"/>
    <x v="2"/>
    <x v="1"/>
    <x v="1"/>
    <x v="1314"/>
    <n v="471.21"/>
    <n v="9.2849261083743834E-2"/>
  </r>
  <r>
    <x v="830"/>
    <x v="2"/>
    <x v="2"/>
    <x v="2"/>
    <x v="7"/>
    <x v="320"/>
    <n v="1065.46"/>
    <n v="0.2566136801541426"/>
  </r>
  <r>
    <x v="728"/>
    <x v="0"/>
    <x v="0"/>
    <x v="1"/>
    <x v="1"/>
    <x v="504"/>
    <n v="1665.01"/>
    <n v="0.29547648624667255"/>
  </r>
  <r>
    <x v="615"/>
    <x v="5"/>
    <x v="2"/>
    <x v="1"/>
    <x v="8"/>
    <x v="1315"/>
    <n v="220.97"/>
    <n v="7.1097168597168595E-2"/>
  </r>
  <r>
    <x v="781"/>
    <x v="5"/>
    <x v="2"/>
    <x v="2"/>
    <x v="1"/>
    <x v="1316"/>
    <n v="1197.44"/>
    <n v="0.28043091334894615"/>
  </r>
  <r>
    <x v="831"/>
    <x v="6"/>
    <x v="1"/>
    <x v="3"/>
    <x v="2"/>
    <x v="864"/>
    <n v="321.89999999999998"/>
    <n v="0.23844444444444443"/>
  </r>
  <r>
    <x v="588"/>
    <x v="8"/>
    <x v="1"/>
    <x v="1"/>
    <x v="8"/>
    <x v="305"/>
    <n v="81.86"/>
    <n v="0.24806060606060606"/>
  </r>
  <r>
    <x v="679"/>
    <x v="3"/>
    <x v="2"/>
    <x v="2"/>
    <x v="7"/>
    <x v="541"/>
    <n v="504.82"/>
    <n v="0.11850234741784037"/>
  </r>
  <r>
    <x v="462"/>
    <x v="4"/>
    <x v="1"/>
    <x v="0"/>
    <x v="8"/>
    <x v="1317"/>
    <n v="751.52"/>
    <n v="0.27710914454277286"/>
  </r>
  <r>
    <x v="38"/>
    <x v="7"/>
    <x v="2"/>
    <x v="3"/>
    <x v="4"/>
    <x v="74"/>
    <n v="46.23"/>
    <n v="0.1409451219512195"/>
  </r>
  <r>
    <x v="162"/>
    <x v="7"/>
    <x v="2"/>
    <x v="3"/>
    <x v="6"/>
    <x v="1262"/>
    <n v="498.6"/>
    <n v="6.4120370370370369E-2"/>
  </r>
  <r>
    <x v="176"/>
    <x v="9"/>
    <x v="2"/>
    <x v="1"/>
    <x v="0"/>
    <x v="1318"/>
    <n v="522.82000000000005"/>
    <n v="0.18053176795580111"/>
  </r>
  <r>
    <x v="344"/>
    <x v="2"/>
    <x v="2"/>
    <x v="0"/>
    <x v="3"/>
    <x v="1319"/>
    <n v="388.83"/>
    <n v="0.2044321766561514"/>
  </r>
  <r>
    <x v="196"/>
    <x v="5"/>
    <x v="2"/>
    <x v="0"/>
    <x v="1"/>
    <x v="1288"/>
    <n v="814.85"/>
    <n v="0.25033794162826423"/>
  </r>
  <r>
    <x v="520"/>
    <x v="8"/>
    <x v="1"/>
    <x v="0"/>
    <x v="8"/>
    <x v="1320"/>
    <n v="162.4"/>
    <n v="0.25655608214849923"/>
  </r>
  <r>
    <x v="832"/>
    <x v="2"/>
    <x v="2"/>
    <x v="1"/>
    <x v="1"/>
    <x v="1321"/>
    <n v="402.78"/>
    <n v="6.4870349492671925E-2"/>
  </r>
  <r>
    <x v="175"/>
    <x v="5"/>
    <x v="2"/>
    <x v="1"/>
    <x v="5"/>
    <x v="1221"/>
    <n v="1167.9000000000001"/>
    <n v="0.24859514687100895"/>
  </r>
  <r>
    <x v="325"/>
    <x v="7"/>
    <x v="2"/>
    <x v="3"/>
    <x v="6"/>
    <x v="1322"/>
    <n v="1878.07"/>
    <n v="0.25297279094827585"/>
  </r>
  <r>
    <x v="833"/>
    <x v="0"/>
    <x v="0"/>
    <x v="1"/>
    <x v="4"/>
    <x v="1323"/>
    <n v="58.3"/>
    <n v="0.11706827309236947"/>
  </r>
  <r>
    <x v="614"/>
    <x v="4"/>
    <x v="1"/>
    <x v="1"/>
    <x v="4"/>
    <x v="79"/>
    <n v="27.91"/>
    <n v="0.25144144144144143"/>
  </r>
  <r>
    <x v="641"/>
    <x v="9"/>
    <x v="2"/>
    <x v="0"/>
    <x v="6"/>
    <x v="1324"/>
    <n v="1201.4000000000001"/>
    <n v="0.15976063829787235"/>
  </r>
  <r>
    <x v="70"/>
    <x v="3"/>
    <x v="2"/>
    <x v="2"/>
    <x v="4"/>
    <x v="1325"/>
    <n v="30.97"/>
    <n v="0.17016483516483516"/>
  </r>
  <r>
    <x v="337"/>
    <x v="1"/>
    <x v="1"/>
    <x v="3"/>
    <x v="2"/>
    <x v="1326"/>
    <n v="309"/>
    <n v="5.2461799660441427E-2"/>
  </r>
  <r>
    <x v="426"/>
    <x v="9"/>
    <x v="2"/>
    <x v="2"/>
    <x v="0"/>
    <x v="1327"/>
    <n v="357.55"/>
    <n v="0.11021886559802713"/>
  </r>
  <r>
    <x v="395"/>
    <x v="7"/>
    <x v="2"/>
    <x v="2"/>
    <x v="1"/>
    <x v="1328"/>
    <n v="1058.26"/>
    <n v="0.20238286479250334"/>
  </r>
  <r>
    <x v="834"/>
    <x v="5"/>
    <x v="2"/>
    <x v="0"/>
    <x v="5"/>
    <x v="1329"/>
    <n v="1271.47"/>
    <n v="0.24441945405613227"/>
  </r>
  <r>
    <x v="532"/>
    <x v="8"/>
    <x v="1"/>
    <x v="3"/>
    <x v="8"/>
    <x v="1330"/>
    <n v="67.430000000000007"/>
    <n v="0.15394977168949772"/>
  </r>
  <r>
    <x v="835"/>
    <x v="8"/>
    <x v="1"/>
    <x v="1"/>
    <x v="7"/>
    <x v="1331"/>
    <n v="1109.73"/>
    <n v="0.16083043478260869"/>
  </r>
  <r>
    <x v="37"/>
    <x v="2"/>
    <x v="2"/>
    <x v="1"/>
    <x v="8"/>
    <x v="1332"/>
    <n v="36.07"/>
    <n v="9.7750677506775074E-2"/>
  </r>
  <r>
    <x v="607"/>
    <x v="9"/>
    <x v="2"/>
    <x v="3"/>
    <x v="0"/>
    <x v="1196"/>
    <n v="1229.8499999999999"/>
    <n v="0.29706521739130431"/>
  </r>
  <r>
    <x v="631"/>
    <x v="0"/>
    <x v="0"/>
    <x v="2"/>
    <x v="8"/>
    <x v="1333"/>
    <n v="188.65"/>
    <n v="0.17371086556169429"/>
  </r>
  <r>
    <x v="267"/>
    <x v="1"/>
    <x v="1"/>
    <x v="2"/>
    <x v="3"/>
    <x v="1334"/>
    <n v="269.52999999999997"/>
    <n v="0.12630271790065603"/>
  </r>
  <r>
    <x v="467"/>
    <x v="9"/>
    <x v="2"/>
    <x v="0"/>
    <x v="7"/>
    <x v="917"/>
    <n v="637.80999999999995"/>
    <n v="0.12011487758945386"/>
  </r>
  <r>
    <x v="500"/>
    <x v="4"/>
    <x v="1"/>
    <x v="1"/>
    <x v="7"/>
    <x v="1335"/>
    <n v="682.8"/>
    <n v="0.24847161572052401"/>
  </r>
  <r>
    <x v="314"/>
    <x v="0"/>
    <x v="0"/>
    <x v="2"/>
    <x v="5"/>
    <x v="1336"/>
    <n v="405.61"/>
    <n v="0.12082514149538279"/>
  </r>
  <r>
    <x v="438"/>
    <x v="5"/>
    <x v="2"/>
    <x v="3"/>
    <x v="5"/>
    <x v="1337"/>
    <n v="592.77"/>
    <n v="5.8080540858318631E-2"/>
  </r>
  <r>
    <x v="836"/>
    <x v="7"/>
    <x v="2"/>
    <x v="2"/>
    <x v="7"/>
    <x v="1338"/>
    <n v="425.9"/>
    <n v="0.14340067340067339"/>
  </r>
  <r>
    <x v="531"/>
    <x v="1"/>
    <x v="1"/>
    <x v="3"/>
    <x v="0"/>
    <x v="792"/>
    <n v="351.47"/>
    <n v="0.29095198675496692"/>
  </r>
  <r>
    <x v="534"/>
    <x v="5"/>
    <x v="2"/>
    <x v="2"/>
    <x v="8"/>
    <x v="125"/>
    <n v="135.59"/>
    <n v="0.14348148148148149"/>
  </r>
  <r>
    <x v="837"/>
    <x v="6"/>
    <x v="1"/>
    <x v="1"/>
    <x v="6"/>
    <x v="1339"/>
    <n v="996.02"/>
    <n v="0.14148011363636365"/>
  </r>
  <r>
    <x v="424"/>
    <x v="7"/>
    <x v="2"/>
    <x v="3"/>
    <x v="0"/>
    <x v="1340"/>
    <n v="1009.1"/>
    <n v="0.27391422366992402"/>
  </r>
  <r>
    <x v="838"/>
    <x v="4"/>
    <x v="1"/>
    <x v="1"/>
    <x v="3"/>
    <x v="1341"/>
    <n v="190.02"/>
    <n v="0.1505705229793978"/>
  </r>
  <r>
    <x v="839"/>
    <x v="1"/>
    <x v="1"/>
    <x v="2"/>
    <x v="8"/>
    <x v="1342"/>
    <n v="807.65"/>
    <n v="0.23049372146118721"/>
  </r>
  <r>
    <x v="787"/>
    <x v="0"/>
    <x v="0"/>
    <x v="1"/>
    <x v="7"/>
    <x v="1343"/>
    <n v="1122.3699999999999"/>
    <n v="0.25142697132616487"/>
  </r>
  <r>
    <x v="491"/>
    <x v="9"/>
    <x v="2"/>
    <x v="1"/>
    <x v="0"/>
    <x v="1344"/>
    <n v="227.2"/>
    <n v="0.1716012084592145"/>
  </r>
  <r>
    <x v="466"/>
    <x v="3"/>
    <x v="2"/>
    <x v="1"/>
    <x v="7"/>
    <x v="1196"/>
    <n v="451.27"/>
    <n v="0.1090024154589372"/>
  </r>
  <r>
    <x v="840"/>
    <x v="1"/>
    <x v="1"/>
    <x v="3"/>
    <x v="6"/>
    <x v="46"/>
    <n v="120.28"/>
    <n v="5.0453020134228185E-2"/>
  </r>
  <r>
    <x v="658"/>
    <x v="9"/>
    <x v="2"/>
    <x v="3"/>
    <x v="6"/>
    <x v="1345"/>
    <n v="1313.36"/>
    <n v="0.28403114186851208"/>
  </r>
  <r>
    <x v="841"/>
    <x v="5"/>
    <x v="2"/>
    <x v="3"/>
    <x v="7"/>
    <x v="1346"/>
    <n v="662.54"/>
    <n v="0.13768495428096425"/>
  </r>
  <r>
    <x v="842"/>
    <x v="2"/>
    <x v="2"/>
    <x v="0"/>
    <x v="7"/>
    <x v="1347"/>
    <n v="856.44"/>
    <n v="0.15185106382978725"/>
  </r>
  <r>
    <x v="482"/>
    <x v="5"/>
    <x v="2"/>
    <x v="3"/>
    <x v="2"/>
    <x v="1038"/>
    <n v="307.08999999999997"/>
    <n v="0.16689673913043476"/>
  </r>
  <r>
    <x v="252"/>
    <x v="8"/>
    <x v="1"/>
    <x v="0"/>
    <x v="1"/>
    <x v="324"/>
    <n v="435.51"/>
    <n v="5.3959856275554455E-2"/>
  </r>
  <r>
    <x v="757"/>
    <x v="8"/>
    <x v="1"/>
    <x v="0"/>
    <x v="8"/>
    <x v="1348"/>
    <n v="297.07"/>
    <n v="0.12377916666666666"/>
  </r>
  <r>
    <x v="336"/>
    <x v="5"/>
    <x v="2"/>
    <x v="1"/>
    <x v="7"/>
    <x v="283"/>
    <n v="265.62"/>
    <n v="7.4403361344537816E-2"/>
  </r>
  <r>
    <x v="743"/>
    <x v="9"/>
    <x v="2"/>
    <x v="1"/>
    <x v="8"/>
    <x v="760"/>
    <n v="245.92"/>
    <n v="0.13988623435722411"/>
  </r>
  <r>
    <x v="665"/>
    <x v="6"/>
    <x v="1"/>
    <x v="0"/>
    <x v="0"/>
    <x v="1349"/>
    <n v="394.2"/>
    <n v="0.12832031250000001"/>
  </r>
  <r>
    <x v="173"/>
    <x v="1"/>
    <x v="1"/>
    <x v="2"/>
    <x v="2"/>
    <x v="1350"/>
    <n v="136.1"/>
    <n v="6.2288329519450798E-2"/>
  </r>
  <r>
    <x v="268"/>
    <x v="7"/>
    <x v="2"/>
    <x v="0"/>
    <x v="6"/>
    <x v="1351"/>
    <n v="1251.6500000000001"/>
    <n v="0.16331550104384135"/>
  </r>
  <r>
    <x v="732"/>
    <x v="4"/>
    <x v="1"/>
    <x v="3"/>
    <x v="2"/>
    <x v="1352"/>
    <n v="338.1"/>
    <n v="0.19771929824561404"/>
  </r>
  <r>
    <x v="571"/>
    <x v="0"/>
    <x v="0"/>
    <x v="2"/>
    <x v="3"/>
    <x v="1353"/>
    <n v="386.28"/>
    <n v="0.20568690095846645"/>
  </r>
  <r>
    <x v="843"/>
    <x v="2"/>
    <x v="2"/>
    <x v="2"/>
    <x v="4"/>
    <x v="237"/>
    <n v="141.33000000000001"/>
    <n v="0.24838312829525486"/>
  </r>
  <r>
    <x v="246"/>
    <x v="5"/>
    <x v="2"/>
    <x v="3"/>
    <x v="8"/>
    <x v="1354"/>
    <n v="296.36"/>
    <n v="0.19916666666666669"/>
  </r>
  <r>
    <x v="341"/>
    <x v="1"/>
    <x v="1"/>
    <x v="3"/>
    <x v="5"/>
    <x v="1355"/>
    <n v="1956.17"/>
    <n v="0.19723432143577335"/>
  </r>
  <r>
    <x v="768"/>
    <x v="5"/>
    <x v="2"/>
    <x v="2"/>
    <x v="8"/>
    <x v="1356"/>
    <n v="36.840000000000003"/>
    <n v="8.5277777777777786E-2"/>
  </r>
  <r>
    <x v="796"/>
    <x v="2"/>
    <x v="2"/>
    <x v="1"/>
    <x v="5"/>
    <x v="1357"/>
    <n v="1300.68"/>
    <n v="0.13234432234432236"/>
  </r>
  <r>
    <x v="66"/>
    <x v="5"/>
    <x v="2"/>
    <x v="0"/>
    <x v="2"/>
    <x v="417"/>
    <n v="245.52"/>
    <n v="6.7729655172413791E-2"/>
  </r>
  <r>
    <x v="190"/>
    <x v="5"/>
    <x v="2"/>
    <x v="2"/>
    <x v="8"/>
    <x v="134"/>
    <n v="491.13"/>
    <n v="0.22456790123456791"/>
  </r>
  <r>
    <x v="126"/>
    <x v="6"/>
    <x v="1"/>
    <x v="2"/>
    <x v="2"/>
    <x v="1358"/>
    <n v="1003.4"/>
    <n v="0.19655239960822724"/>
  </r>
  <r>
    <x v="677"/>
    <x v="4"/>
    <x v="1"/>
    <x v="2"/>
    <x v="8"/>
    <x v="627"/>
    <n v="345.78"/>
    <n v="0.24840517241379309"/>
  </r>
  <r>
    <x v="256"/>
    <x v="7"/>
    <x v="2"/>
    <x v="0"/>
    <x v="3"/>
    <x v="786"/>
    <n v="110.81"/>
    <n v="0.14893817204301077"/>
  </r>
  <r>
    <x v="844"/>
    <x v="5"/>
    <x v="2"/>
    <x v="2"/>
    <x v="0"/>
    <x v="1359"/>
    <n v="233.21"/>
    <n v="0.13527262180974478"/>
  </r>
  <r>
    <x v="845"/>
    <x v="1"/>
    <x v="1"/>
    <x v="3"/>
    <x v="2"/>
    <x v="1360"/>
    <n v="423.17"/>
    <n v="0.21812886597938144"/>
  </r>
  <r>
    <x v="846"/>
    <x v="1"/>
    <x v="1"/>
    <x v="2"/>
    <x v="0"/>
    <x v="1361"/>
    <n v="59.15"/>
    <n v="0.16615168539325842"/>
  </r>
  <r>
    <x v="251"/>
    <x v="6"/>
    <x v="1"/>
    <x v="3"/>
    <x v="2"/>
    <x v="1362"/>
    <n v="269.87"/>
    <n v="0.24645662100456622"/>
  </r>
  <r>
    <x v="847"/>
    <x v="2"/>
    <x v="2"/>
    <x v="0"/>
    <x v="6"/>
    <x v="1363"/>
    <n v="543.9"/>
    <n v="0.13383366141732284"/>
  </r>
  <r>
    <x v="211"/>
    <x v="5"/>
    <x v="2"/>
    <x v="3"/>
    <x v="1"/>
    <x v="1364"/>
    <n v="1592.37"/>
    <n v="0.29201723821749492"/>
  </r>
  <r>
    <x v="376"/>
    <x v="6"/>
    <x v="1"/>
    <x v="2"/>
    <x v="6"/>
    <x v="1365"/>
    <n v="529.35"/>
    <n v="7.4514358108108109E-2"/>
  </r>
  <r>
    <x v="57"/>
    <x v="8"/>
    <x v="1"/>
    <x v="1"/>
    <x v="5"/>
    <x v="1366"/>
    <n v="660.56"/>
    <n v="0.24064116575591984"/>
  </r>
  <r>
    <x v="274"/>
    <x v="3"/>
    <x v="2"/>
    <x v="0"/>
    <x v="2"/>
    <x v="1066"/>
    <n v="64.81"/>
    <n v="6.2922330097087378E-2"/>
  </r>
  <r>
    <x v="848"/>
    <x v="2"/>
    <x v="2"/>
    <x v="0"/>
    <x v="5"/>
    <x v="1367"/>
    <n v="471.86"/>
    <n v="5.2586648835395072E-2"/>
  </r>
  <r>
    <x v="91"/>
    <x v="8"/>
    <x v="1"/>
    <x v="0"/>
    <x v="3"/>
    <x v="1368"/>
    <n v="128.5"/>
    <n v="0.16183879093198991"/>
  </r>
  <r>
    <x v="119"/>
    <x v="0"/>
    <x v="0"/>
    <x v="2"/>
    <x v="7"/>
    <x v="1369"/>
    <n v="476.19"/>
    <n v="0.22231092436974789"/>
  </r>
  <r>
    <x v="533"/>
    <x v="4"/>
    <x v="1"/>
    <x v="1"/>
    <x v="3"/>
    <x v="1370"/>
    <n v="51.1"/>
    <n v="0.12342995169082126"/>
  </r>
  <r>
    <x v="242"/>
    <x v="2"/>
    <x v="2"/>
    <x v="0"/>
    <x v="8"/>
    <x v="1371"/>
    <n v="220.7"/>
    <n v="0.15586158192090394"/>
  </r>
  <r>
    <x v="8"/>
    <x v="2"/>
    <x v="2"/>
    <x v="2"/>
    <x v="8"/>
    <x v="1372"/>
    <n v="541.35"/>
    <n v="0.2574179743223966"/>
  </r>
  <r>
    <x v="295"/>
    <x v="3"/>
    <x v="2"/>
    <x v="3"/>
    <x v="8"/>
    <x v="1373"/>
    <n v="173.49"/>
    <n v="0.20149825783972128"/>
  </r>
  <r>
    <x v="849"/>
    <x v="4"/>
    <x v="1"/>
    <x v="3"/>
    <x v="8"/>
    <x v="1374"/>
    <n v="222.26"/>
    <n v="9.389945078158006E-2"/>
  </r>
  <r>
    <x v="283"/>
    <x v="2"/>
    <x v="2"/>
    <x v="2"/>
    <x v="2"/>
    <x v="1375"/>
    <n v="688.82"/>
    <n v="0.28288295687885012"/>
  </r>
  <r>
    <x v="344"/>
    <x v="0"/>
    <x v="0"/>
    <x v="2"/>
    <x v="0"/>
    <x v="1376"/>
    <n v="163.61000000000001"/>
    <n v="6.6616449511400652E-2"/>
  </r>
  <r>
    <x v="336"/>
    <x v="9"/>
    <x v="2"/>
    <x v="1"/>
    <x v="0"/>
    <x v="300"/>
    <n v="962.49"/>
    <n v="0.29928171641791046"/>
  </r>
  <r>
    <x v="619"/>
    <x v="5"/>
    <x v="2"/>
    <x v="1"/>
    <x v="0"/>
    <x v="639"/>
    <n v="833.11"/>
    <n v="0.19267113783533765"/>
  </r>
  <r>
    <x v="850"/>
    <x v="1"/>
    <x v="1"/>
    <x v="2"/>
    <x v="0"/>
    <x v="751"/>
    <n v="727.87"/>
    <n v="0.27696727549467276"/>
  </r>
  <r>
    <x v="212"/>
    <x v="8"/>
    <x v="1"/>
    <x v="3"/>
    <x v="6"/>
    <x v="1377"/>
    <n v="2018.64"/>
    <n v="0.22449288256227759"/>
  </r>
  <r>
    <x v="751"/>
    <x v="9"/>
    <x v="2"/>
    <x v="3"/>
    <x v="7"/>
    <x v="183"/>
    <n v="22.16"/>
    <n v="6.1555555555555558E-2"/>
  </r>
  <r>
    <x v="530"/>
    <x v="2"/>
    <x v="2"/>
    <x v="2"/>
    <x v="8"/>
    <x v="1378"/>
    <n v="479.39"/>
    <n v="0.23192549588776004"/>
  </r>
  <r>
    <x v="353"/>
    <x v="1"/>
    <x v="1"/>
    <x v="2"/>
    <x v="5"/>
    <x v="1379"/>
    <n v="550.44000000000005"/>
    <n v="0.15405541561712849"/>
  </r>
  <r>
    <x v="625"/>
    <x v="9"/>
    <x v="2"/>
    <x v="2"/>
    <x v="6"/>
    <x v="689"/>
    <n v="142.86000000000001"/>
    <n v="7.9366666666666669E-2"/>
  </r>
  <r>
    <x v="687"/>
    <x v="0"/>
    <x v="0"/>
    <x v="2"/>
    <x v="6"/>
    <x v="1380"/>
    <n v="334.1"/>
    <n v="8.5403885480572608E-2"/>
  </r>
  <r>
    <x v="474"/>
    <x v="4"/>
    <x v="1"/>
    <x v="0"/>
    <x v="6"/>
    <x v="1347"/>
    <n v="747.26"/>
    <n v="0.13249290780141842"/>
  </r>
  <r>
    <x v="851"/>
    <x v="2"/>
    <x v="2"/>
    <x v="2"/>
    <x v="4"/>
    <x v="1381"/>
    <n v="115.74"/>
    <n v="0.20967391304347824"/>
  </r>
  <r>
    <x v="803"/>
    <x v="1"/>
    <x v="1"/>
    <x v="2"/>
    <x v="1"/>
    <x v="1382"/>
    <n v="289.64999999999998"/>
    <n v="0.20283613445378149"/>
  </r>
  <r>
    <x v="187"/>
    <x v="0"/>
    <x v="0"/>
    <x v="3"/>
    <x v="4"/>
    <x v="1383"/>
    <n v="42.05"/>
    <n v="0.12048710601719197"/>
  </r>
  <r>
    <x v="822"/>
    <x v="2"/>
    <x v="2"/>
    <x v="0"/>
    <x v="7"/>
    <x v="1384"/>
    <n v="1366.28"/>
    <n v="0.21341455795064043"/>
  </r>
  <r>
    <x v="636"/>
    <x v="6"/>
    <x v="1"/>
    <x v="1"/>
    <x v="5"/>
    <x v="1385"/>
    <n v="185.95"/>
    <n v="0.28302891933028917"/>
  </r>
  <r>
    <x v="616"/>
    <x v="1"/>
    <x v="1"/>
    <x v="3"/>
    <x v="1"/>
    <x v="1386"/>
    <n v="950.7"/>
    <n v="0.17846818096489583"/>
  </r>
  <r>
    <x v="739"/>
    <x v="8"/>
    <x v="1"/>
    <x v="0"/>
    <x v="0"/>
    <x v="1387"/>
    <n v="1152.45"/>
    <n v="0.27465443279313634"/>
  </r>
  <r>
    <x v="609"/>
    <x v="9"/>
    <x v="2"/>
    <x v="1"/>
    <x v="0"/>
    <x v="1388"/>
    <n v="863.47"/>
    <n v="0.29857192254495157"/>
  </r>
  <r>
    <x v="852"/>
    <x v="9"/>
    <x v="2"/>
    <x v="3"/>
    <x v="5"/>
    <x v="1389"/>
    <n v="432.77"/>
    <n v="0.15612193362193361"/>
  </r>
  <r>
    <x v="164"/>
    <x v="5"/>
    <x v="2"/>
    <x v="0"/>
    <x v="7"/>
    <x v="1390"/>
    <n v="1044.97"/>
    <n v="0.22271312872975277"/>
  </r>
  <r>
    <x v="847"/>
    <x v="1"/>
    <x v="1"/>
    <x v="1"/>
    <x v="7"/>
    <x v="1391"/>
    <n v="334.48"/>
    <n v="0.12198395331874545"/>
  </r>
  <r>
    <x v="283"/>
    <x v="7"/>
    <x v="2"/>
    <x v="0"/>
    <x v="6"/>
    <x v="1392"/>
    <n v="1154.96"/>
    <n v="0.1298291366906475"/>
  </r>
  <r>
    <x v="853"/>
    <x v="1"/>
    <x v="1"/>
    <x v="0"/>
    <x v="3"/>
    <x v="1393"/>
    <n v="385.19"/>
    <n v="0.16433020477815699"/>
  </r>
  <r>
    <x v="833"/>
    <x v="4"/>
    <x v="1"/>
    <x v="2"/>
    <x v="1"/>
    <x v="1394"/>
    <n v="655.53"/>
    <n v="0.15660057333970376"/>
  </r>
  <r>
    <x v="583"/>
    <x v="2"/>
    <x v="2"/>
    <x v="1"/>
    <x v="5"/>
    <x v="1395"/>
    <n v="1152.42"/>
    <n v="0.2200114547537228"/>
  </r>
  <r>
    <x v="199"/>
    <x v="1"/>
    <x v="1"/>
    <x v="0"/>
    <x v="8"/>
    <x v="1396"/>
    <n v="452.22"/>
    <n v="0.15164989939637827"/>
  </r>
  <r>
    <x v="146"/>
    <x v="5"/>
    <x v="2"/>
    <x v="3"/>
    <x v="0"/>
    <x v="1131"/>
    <n v="602.5"/>
    <n v="0.23352713178294573"/>
  </r>
  <r>
    <x v="607"/>
    <x v="8"/>
    <x v="1"/>
    <x v="3"/>
    <x v="2"/>
    <x v="1397"/>
    <n v="671.6"/>
    <n v="0.25106542056074765"/>
  </r>
  <r>
    <x v="539"/>
    <x v="0"/>
    <x v="0"/>
    <x v="1"/>
    <x v="0"/>
    <x v="1398"/>
    <n v="608.5"/>
    <n v="0.25396494156928212"/>
  </r>
  <r>
    <x v="58"/>
    <x v="9"/>
    <x v="2"/>
    <x v="3"/>
    <x v="2"/>
    <x v="1313"/>
    <n v="242.25"/>
    <n v="0.15140624999999999"/>
  </r>
  <r>
    <x v="735"/>
    <x v="5"/>
    <x v="2"/>
    <x v="0"/>
    <x v="0"/>
    <x v="1399"/>
    <n v="34.729999999999997"/>
    <n v="0.11424342105263156"/>
  </r>
  <r>
    <x v="342"/>
    <x v="8"/>
    <x v="1"/>
    <x v="1"/>
    <x v="5"/>
    <x v="1014"/>
    <n v="457.39"/>
    <n v="0.22096135265700481"/>
  </r>
  <r>
    <x v="854"/>
    <x v="0"/>
    <x v="0"/>
    <x v="0"/>
    <x v="2"/>
    <x v="1400"/>
    <n v="158.22999999999999"/>
    <n v="0.12864227642276421"/>
  </r>
  <r>
    <x v="377"/>
    <x v="3"/>
    <x v="2"/>
    <x v="2"/>
    <x v="7"/>
    <x v="1401"/>
    <n v="758.78"/>
    <n v="0.1217163939685595"/>
  </r>
  <r>
    <x v="739"/>
    <x v="4"/>
    <x v="1"/>
    <x v="2"/>
    <x v="3"/>
    <x v="347"/>
    <n v="46.33"/>
    <n v="0.11699494949494949"/>
  </r>
  <r>
    <x v="191"/>
    <x v="1"/>
    <x v="1"/>
    <x v="1"/>
    <x v="5"/>
    <x v="1402"/>
    <n v="244.18"/>
    <n v="0.10395061728395062"/>
  </r>
  <r>
    <x v="160"/>
    <x v="4"/>
    <x v="1"/>
    <x v="0"/>
    <x v="5"/>
    <x v="1095"/>
    <n v="626.91999999999996"/>
    <n v="0.10538241721297696"/>
  </r>
  <r>
    <x v="147"/>
    <x v="0"/>
    <x v="0"/>
    <x v="1"/>
    <x v="1"/>
    <x v="1403"/>
    <n v="1433.85"/>
    <n v="0.24070001678697328"/>
  </r>
  <r>
    <x v="436"/>
    <x v="4"/>
    <x v="1"/>
    <x v="1"/>
    <x v="8"/>
    <x v="1404"/>
    <n v="299.79000000000002"/>
    <n v="0.1507239819004525"/>
  </r>
  <r>
    <x v="422"/>
    <x v="1"/>
    <x v="1"/>
    <x v="2"/>
    <x v="4"/>
    <x v="1405"/>
    <n v="243.36"/>
    <n v="0.21384885764499123"/>
  </r>
  <r>
    <x v="102"/>
    <x v="2"/>
    <x v="2"/>
    <x v="3"/>
    <x v="5"/>
    <x v="1406"/>
    <n v="689.64"/>
    <n v="0.20766034327009936"/>
  </r>
  <r>
    <x v="855"/>
    <x v="3"/>
    <x v="2"/>
    <x v="2"/>
    <x v="0"/>
    <x v="1407"/>
    <n v="592.82000000000005"/>
    <n v="0.13232589285714286"/>
  </r>
  <r>
    <x v="835"/>
    <x v="5"/>
    <x v="2"/>
    <x v="1"/>
    <x v="8"/>
    <x v="1408"/>
    <n v="440.88"/>
    <n v="0.28759295499021525"/>
  </r>
  <r>
    <x v="392"/>
    <x v="1"/>
    <x v="1"/>
    <x v="1"/>
    <x v="4"/>
    <x v="1409"/>
    <n v="10.35"/>
    <n v="9.4954128440366964E-2"/>
  </r>
  <r>
    <x v="263"/>
    <x v="7"/>
    <x v="2"/>
    <x v="2"/>
    <x v="0"/>
    <x v="1410"/>
    <n v="594.86"/>
    <n v="0.24994117647058825"/>
  </r>
  <r>
    <x v="326"/>
    <x v="0"/>
    <x v="0"/>
    <x v="2"/>
    <x v="6"/>
    <x v="1234"/>
    <n v="432.37"/>
    <n v="0.16680941358024692"/>
  </r>
  <r>
    <x v="856"/>
    <x v="9"/>
    <x v="2"/>
    <x v="1"/>
    <x v="7"/>
    <x v="1411"/>
    <n v="1289.47"/>
    <n v="0.25224374021909235"/>
  </r>
  <r>
    <x v="610"/>
    <x v="5"/>
    <x v="2"/>
    <x v="0"/>
    <x v="6"/>
    <x v="918"/>
    <n v="1753.08"/>
    <n v="0.18665672913117545"/>
  </r>
  <r>
    <x v="257"/>
    <x v="9"/>
    <x v="2"/>
    <x v="3"/>
    <x v="3"/>
    <x v="1412"/>
    <n v="381.83"/>
    <n v="0.16002933780385581"/>
  </r>
  <r>
    <x v="353"/>
    <x v="5"/>
    <x v="2"/>
    <x v="2"/>
    <x v="2"/>
    <x v="1413"/>
    <n v="71.23"/>
    <n v="0.15318279569892473"/>
  </r>
  <r>
    <x v="704"/>
    <x v="7"/>
    <x v="2"/>
    <x v="3"/>
    <x v="3"/>
    <x v="1414"/>
    <n v="102.52"/>
    <n v="0.16973509933774833"/>
  </r>
  <r>
    <x v="186"/>
    <x v="5"/>
    <x v="2"/>
    <x v="1"/>
    <x v="3"/>
    <x v="1415"/>
    <n v="650.27"/>
    <n v="0.29344314079422384"/>
  </r>
  <r>
    <x v="68"/>
    <x v="1"/>
    <x v="1"/>
    <x v="1"/>
    <x v="0"/>
    <x v="1416"/>
    <n v="220.22"/>
    <n v="0.18854452054794521"/>
  </r>
  <r>
    <x v="833"/>
    <x v="6"/>
    <x v="1"/>
    <x v="2"/>
    <x v="1"/>
    <x v="505"/>
    <n v="230.43"/>
    <n v="5.6367416829745595E-2"/>
  </r>
  <r>
    <x v="857"/>
    <x v="8"/>
    <x v="1"/>
    <x v="3"/>
    <x v="1"/>
    <x v="1417"/>
    <n v="152.09"/>
    <n v="5.8563727377743555E-2"/>
  </r>
  <r>
    <x v="858"/>
    <x v="5"/>
    <x v="2"/>
    <x v="3"/>
    <x v="8"/>
    <x v="1418"/>
    <n v="322.02999999999997"/>
    <n v="0.14971176197117619"/>
  </r>
  <r>
    <x v="303"/>
    <x v="9"/>
    <x v="2"/>
    <x v="1"/>
    <x v="7"/>
    <x v="1419"/>
    <n v="71.22"/>
    <n v="0.15415584415584416"/>
  </r>
  <r>
    <x v="139"/>
    <x v="1"/>
    <x v="1"/>
    <x v="0"/>
    <x v="1"/>
    <x v="1403"/>
    <n v="1077.8599999999999"/>
    <n v="0.18094007050528788"/>
  </r>
  <r>
    <x v="841"/>
    <x v="7"/>
    <x v="2"/>
    <x v="3"/>
    <x v="7"/>
    <x v="1420"/>
    <n v="2028.63"/>
    <n v="0.29071797076526229"/>
  </r>
  <r>
    <x v="836"/>
    <x v="4"/>
    <x v="1"/>
    <x v="2"/>
    <x v="4"/>
    <x v="1421"/>
    <n v="72.5"/>
    <n v="0.25709219858156029"/>
  </r>
  <r>
    <x v="64"/>
    <x v="3"/>
    <x v="2"/>
    <x v="1"/>
    <x v="4"/>
    <x v="1422"/>
    <n v="27.65"/>
    <n v="0.17611464968152865"/>
  </r>
  <r>
    <x v="63"/>
    <x v="6"/>
    <x v="1"/>
    <x v="0"/>
    <x v="6"/>
    <x v="1423"/>
    <n v="404.33"/>
    <n v="0.12237590799031477"/>
  </r>
  <r>
    <x v="516"/>
    <x v="4"/>
    <x v="1"/>
    <x v="0"/>
    <x v="8"/>
    <x v="281"/>
    <n v="201.26"/>
    <n v="6.5965257292690913E-2"/>
  </r>
  <r>
    <x v="821"/>
    <x v="1"/>
    <x v="1"/>
    <x v="1"/>
    <x v="5"/>
    <x v="1424"/>
    <n v="1783.55"/>
    <n v="0.22068176194011382"/>
  </r>
  <r>
    <x v="859"/>
    <x v="9"/>
    <x v="2"/>
    <x v="3"/>
    <x v="8"/>
    <x v="742"/>
    <n v="110.38"/>
    <n v="0.21643137254901959"/>
  </r>
  <r>
    <x v="341"/>
    <x v="2"/>
    <x v="2"/>
    <x v="1"/>
    <x v="6"/>
    <x v="1425"/>
    <n v="1170.3599999999999"/>
    <n v="0.29435613682092554"/>
  </r>
  <r>
    <x v="262"/>
    <x v="7"/>
    <x v="2"/>
    <x v="1"/>
    <x v="5"/>
    <x v="494"/>
    <n v="59.99"/>
    <n v="7.2451690821256035E-2"/>
  </r>
  <r>
    <x v="246"/>
    <x v="4"/>
    <x v="1"/>
    <x v="3"/>
    <x v="1"/>
    <x v="1294"/>
    <n v="388.11"/>
    <n v="0.15796092796092798"/>
  </r>
  <r>
    <x v="786"/>
    <x v="3"/>
    <x v="2"/>
    <x v="0"/>
    <x v="0"/>
    <x v="1426"/>
    <n v="298.07"/>
    <n v="7.5960754332313959E-2"/>
  </r>
  <r>
    <x v="860"/>
    <x v="4"/>
    <x v="1"/>
    <x v="3"/>
    <x v="3"/>
    <x v="1427"/>
    <n v="227.75"/>
    <n v="0.11285926660059464"/>
  </r>
  <r>
    <x v="303"/>
    <x v="6"/>
    <x v="1"/>
    <x v="3"/>
    <x v="8"/>
    <x v="1428"/>
    <n v="479.9"/>
    <n v="0.23489965736661772"/>
  </r>
  <r>
    <x v="648"/>
    <x v="0"/>
    <x v="0"/>
    <x v="3"/>
    <x v="2"/>
    <x v="1429"/>
    <n v="187.12"/>
    <n v="0.18079227053140098"/>
  </r>
  <r>
    <x v="212"/>
    <x v="5"/>
    <x v="2"/>
    <x v="0"/>
    <x v="7"/>
    <x v="1430"/>
    <n v="675.53"/>
    <n v="0.24799192364170336"/>
  </r>
  <r>
    <x v="772"/>
    <x v="3"/>
    <x v="2"/>
    <x v="1"/>
    <x v="4"/>
    <x v="1431"/>
    <n v="127.32"/>
    <n v="0.11367857142857142"/>
  </r>
  <r>
    <x v="756"/>
    <x v="6"/>
    <x v="1"/>
    <x v="0"/>
    <x v="7"/>
    <x v="1432"/>
    <n v="631.95000000000005"/>
    <n v="0.18381326352530541"/>
  </r>
  <r>
    <x v="11"/>
    <x v="5"/>
    <x v="2"/>
    <x v="3"/>
    <x v="2"/>
    <x v="207"/>
    <n v="379.27"/>
    <n v="0.11964353312302839"/>
  </r>
  <r>
    <x v="22"/>
    <x v="5"/>
    <x v="2"/>
    <x v="1"/>
    <x v="0"/>
    <x v="1185"/>
    <n v="83.96"/>
    <n v="0.12721212121212119"/>
  </r>
  <r>
    <x v="861"/>
    <x v="2"/>
    <x v="2"/>
    <x v="1"/>
    <x v="1"/>
    <x v="916"/>
    <n v="1088.1500000000001"/>
    <n v="0.23305847076461772"/>
  </r>
  <r>
    <x v="209"/>
    <x v="5"/>
    <x v="2"/>
    <x v="3"/>
    <x v="2"/>
    <x v="1433"/>
    <n v="89"/>
    <n v="8.5167464114832531E-2"/>
  </r>
  <r>
    <x v="558"/>
    <x v="8"/>
    <x v="1"/>
    <x v="0"/>
    <x v="0"/>
    <x v="1430"/>
    <n v="229.47"/>
    <n v="8.4240088105726876E-2"/>
  </r>
  <r>
    <x v="496"/>
    <x v="4"/>
    <x v="1"/>
    <x v="3"/>
    <x v="6"/>
    <x v="1434"/>
    <n v="1583"/>
    <n v="0.29800451807228917"/>
  </r>
  <r>
    <x v="862"/>
    <x v="2"/>
    <x v="2"/>
    <x v="3"/>
    <x v="0"/>
    <x v="1435"/>
    <n v="445.18"/>
    <n v="0.10469896519285042"/>
  </r>
  <r>
    <x v="62"/>
    <x v="0"/>
    <x v="0"/>
    <x v="1"/>
    <x v="1"/>
    <x v="1436"/>
    <n v="1652.27"/>
    <n v="0.20507260767034877"/>
  </r>
  <r>
    <x v="657"/>
    <x v="8"/>
    <x v="1"/>
    <x v="2"/>
    <x v="1"/>
    <x v="1437"/>
    <n v="274.25"/>
    <n v="0.13556599110232329"/>
  </r>
  <r>
    <x v="3"/>
    <x v="6"/>
    <x v="1"/>
    <x v="2"/>
    <x v="6"/>
    <x v="1438"/>
    <n v="2125.54"/>
    <n v="0.22573704333050126"/>
  </r>
  <r>
    <x v="412"/>
    <x v="6"/>
    <x v="1"/>
    <x v="1"/>
    <x v="6"/>
    <x v="1439"/>
    <n v="494.34"/>
    <n v="6.5388888888888885E-2"/>
  </r>
  <r>
    <x v="690"/>
    <x v="6"/>
    <x v="1"/>
    <x v="3"/>
    <x v="3"/>
    <x v="494"/>
    <n v="50.07"/>
    <n v="6.0471014492753626E-2"/>
  </r>
  <r>
    <x v="863"/>
    <x v="1"/>
    <x v="1"/>
    <x v="3"/>
    <x v="4"/>
    <x v="1440"/>
    <n v="27.45"/>
    <n v="5.208728652751423E-2"/>
  </r>
  <r>
    <x v="37"/>
    <x v="8"/>
    <x v="1"/>
    <x v="0"/>
    <x v="3"/>
    <x v="1441"/>
    <n v="206.49"/>
    <n v="0.17800862068965517"/>
  </r>
  <r>
    <x v="540"/>
    <x v="1"/>
    <x v="1"/>
    <x v="3"/>
    <x v="2"/>
    <x v="1442"/>
    <n v="310.86"/>
    <n v="5.7248618784530386E-2"/>
  </r>
  <r>
    <x v="864"/>
    <x v="2"/>
    <x v="2"/>
    <x v="2"/>
    <x v="1"/>
    <x v="1443"/>
    <n v="454.53"/>
    <n v="6.6123072446901368E-2"/>
  </r>
  <r>
    <x v="865"/>
    <x v="0"/>
    <x v="0"/>
    <x v="1"/>
    <x v="6"/>
    <x v="1444"/>
    <n v="1825.37"/>
    <n v="0.20390638963360141"/>
  </r>
  <r>
    <x v="437"/>
    <x v="1"/>
    <x v="1"/>
    <x v="1"/>
    <x v="6"/>
    <x v="1445"/>
    <n v="67.81"/>
    <n v="0.16300480769230768"/>
  </r>
  <r>
    <x v="249"/>
    <x v="7"/>
    <x v="2"/>
    <x v="2"/>
    <x v="8"/>
    <x v="1446"/>
    <n v="140.27000000000001"/>
    <n v="8.3494047619047621E-2"/>
  </r>
  <r>
    <x v="866"/>
    <x v="1"/>
    <x v="1"/>
    <x v="2"/>
    <x v="1"/>
    <x v="1447"/>
    <n v="383.9"/>
    <n v="8.8456221198156673E-2"/>
  </r>
  <r>
    <x v="714"/>
    <x v="9"/>
    <x v="2"/>
    <x v="3"/>
    <x v="5"/>
    <x v="241"/>
    <n v="2130.8200000000002"/>
    <n v="0.27853856209150329"/>
  </r>
  <r>
    <x v="840"/>
    <x v="5"/>
    <x v="2"/>
    <x v="3"/>
    <x v="6"/>
    <x v="1448"/>
    <n v="412.76"/>
    <n v="6.52275600505689E-2"/>
  </r>
  <r>
    <x v="688"/>
    <x v="8"/>
    <x v="1"/>
    <x v="3"/>
    <x v="3"/>
    <x v="1449"/>
    <n v="344"/>
    <n v="0.26219512195121952"/>
  </r>
  <r>
    <x v="633"/>
    <x v="3"/>
    <x v="2"/>
    <x v="1"/>
    <x v="5"/>
    <x v="1450"/>
    <n v="2300.17"/>
    <n v="0.28555803848541278"/>
  </r>
  <r>
    <x v="120"/>
    <x v="3"/>
    <x v="2"/>
    <x v="2"/>
    <x v="3"/>
    <x v="1451"/>
    <n v="153.61000000000001"/>
    <n v="0.18286904761904763"/>
  </r>
  <r>
    <x v="867"/>
    <x v="2"/>
    <x v="2"/>
    <x v="2"/>
    <x v="5"/>
    <x v="1009"/>
    <n v="2794.89"/>
    <n v="0.29660299267749124"/>
  </r>
  <r>
    <x v="80"/>
    <x v="6"/>
    <x v="1"/>
    <x v="0"/>
    <x v="6"/>
    <x v="1452"/>
    <n v="1113.1199999999999"/>
    <n v="0.17072392638036807"/>
  </r>
  <r>
    <x v="199"/>
    <x v="9"/>
    <x v="2"/>
    <x v="0"/>
    <x v="8"/>
    <x v="1453"/>
    <n v="116.12"/>
    <n v="5.9548717948717952E-2"/>
  </r>
  <r>
    <x v="868"/>
    <x v="3"/>
    <x v="2"/>
    <x v="2"/>
    <x v="7"/>
    <x v="1454"/>
    <n v="1177.2"/>
    <n v="0.19858299595141701"/>
  </r>
  <r>
    <x v="587"/>
    <x v="3"/>
    <x v="2"/>
    <x v="2"/>
    <x v="1"/>
    <x v="1455"/>
    <n v="1418.72"/>
    <n v="0.29501351632355999"/>
  </r>
  <r>
    <x v="388"/>
    <x v="7"/>
    <x v="2"/>
    <x v="3"/>
    <x v="0"/>
    <x v="1361"/>
    <n v="23.4"/>
    <n v="6.5730337078651682E-2"/>
  </r>
  <r>
    <x v="869"/>
    <x v="9"/>
    <x v="2"/>
    <x v="2"/>
    <x v="3"/>
    <x v="14"/>
    <n v="94.39"/>
    <n v="0.16559649122807019"/>
  </r>
  <r>
    <x v="728"/>
    <x v="6"/>
    <x v="1"/>
    <x v="1"/>
    <x v="1"/>
    <x v="1456"/>
    <n v="907.96"/>
    <n v="0.11653959697086382"/>
  </r>
  <r>
    <x v="870"/>
    <x v="5"/>
    <x v="2"/>
    <x v="1"/>
    <x v="0"/>
    <x v="294"/>
    <n v="494.48"/>
    <n v="0.11863723608445298"/>
  </r>
  <r>
    <x v="445"/>
    <x v="2"/>
    <x v="2"/>
    <x v="0"/>
    <x v="3"/>
    <x v="641"/>
    <n v="183.85"/>
    <n v="0.26878654970760235"/>
  </r>
  <r>
    <x v="638"/>
    <x v="7"/>
    <x v="2"/>
    <x v="1"/>
    <x v="1"/>
    <x v="1457"/>
    <n v="447.99"/>
    <n v="0.11614985740212601"/>
  </r>
  <r>
    <x v="189"/>
    <x v="3"/>
    <x v="2"/>
    <x v="0"/>
    <x v="2"/>
    <x v="1458"/>
    <n v="699.99"/>
    <n v="0.21538153846153846"/>
  </r>
  <r>
    <x v="871"/>
    <x v="0"/>
    <x v="0"/>
    <x v="0"/>
    <x v="7"/>
    <x v="1459"/>
    <n v="79.62"/>
    <n v="6.6683417085427146E-2"/>
  </r>
  <r>
    <x v="344"/>
    <x v="9"/>
    <x v="2"/>
    <x v="3"/>
    <x v="7"/>
    <x v="638"/>
    <n v="320.91000000000003"/>
    <n v="9.2056798623063693E-2"/>
  </r>
  <r>
    <x v="87"/>
    <x v="6"/>
    <x v="1"/>
    <x v="3"/>
    <x v="1"/>
    <x v="1460"/>
    <n v="370.97"/>
    <n v="0.23871943371943374"/>
  </r>
  <r>
    <x v="292"/>
    <x v="5"/>
    <x v="2"/>
    <x v="0"/>
    <x v="8"/>
    <x v="1461"/>
    <n v="463.36"/>
    <n v="0.17814686658977316"/>
  </r>
  <r>
    <x v="872"/>
    <x v="4"/>
    <x v="1"/>
    <x v="3"/>
    <x v="0"/>
    <x v="1462"/>
    <n v="745.75"/>
    <n v="0.20623617256637169"/>
  </r>
  <r>
    <x v="73"/>
    <x v="1"/>
    <x v="1"/>
    <x v="3"/>
    <x v="2"/>
    <x v="1463"/>
    <n v="986.33"/>
    <n v="0.29442686567164178"/>
  </r>
  <r>
    <x v="119"/>
    <x v="5"/>
    <x v="2"/>
    <x v="2"/>
    <x v="2"/>
    <x v="1464"/>
    <n v="588.47"/>
    <n v="0.23122593320235757"/>
  </r>
  <r>
    <x v="873"/>
    <x v="6"/>
    <x v="1"/>
    <x v="1"/>
    <x v="4"/>
    <x v="1465"/>
    <n v="68.28"/>
    <n v="0.12528440366972476"/>
  </r>
  <r>
    <x v="453"/>
    <x v="1"/>
    <x v="1"/>
    <x v="0"/>
    <x v="1"/>
    <x v="1466"/>
    <n v="178.85"/>
    <n v="0.12166666666666666"/>
  </r>
  <r>
    <x v="554"/>
    <x v="3"/>
    <x v="2"/>
    <x v="2"/>
    <x v="8"/>
    <x v="1467"/>
    <n v="870.95"/>
    <n v="0.27861484325015995"/>
  </r>
  <r>
    <x v="874"/>
    <x v="9"/>
    <x v="2"/>
    <x v="3"/>
    <x v="8"/>
    <x v="1468"/>
    <n v="302.29000000000002"/>
    <n v="0.22097222222222224"/>
  </r>
  <r>
    <x v="378"/>
    <x v="4"/>
    <x v="1"/>
    <x v="1"/>
    <x v="5"/>
    <x v="1067"/>
    <n v="1353.39"/>
    <n v="0.19107581533248624"/>
  </r>
  <r>
    <x v="551"/>
    <x v="0"/>
    <x v="0"/>
    <x v="1"/>
    <x v="3"/>
    <x v="1469"/>
    <n v="453.74"/>
    <n v="0.22755265797392177"/>
  </r>
  <r>
    <x v="52"/>
    <x v="3"/>
    <x v="2"/>
    <x v="0"/>
    <x v="0"/>
    <x v="1470"/>
    <n v="1084.1600000000001"/>
    <n v="0.2298897370653096"/>
  </r>
  <r>
    <x v="544"/>
    <x v="6"/>
    <x v="1"/>
    <x v="2"/>
    <x v="4"/>
    <x v="1471"/>
    <n v="125.85"/>
    <n v="0.12907692307692306"/>
  </r>
  <r>
    <x v="364"/>
    <x v="7"/>
    <x v="2"/>
    <x v="3"/>
    <x v="5"/>
    <x v="1472"/>
    <n v="1774.03"/>
    <n v="0.17935800222424425"/>
  </r>
  <r>
    <x v="342"/>
    <x v="5"/>
    <x v="2"/>
    <x v="2"/>
    <x v="3"/>
    <x v="1473"/>
    <n v="159.49"/>
    <n v="0.25477635782747604"/>
  </r>
  <r>
    <x v="849"/>
    <x v="6"/>
    <x v="1"/>
    <x v="1"/>
    <x v="6"/>
    <x v="1474"/>
    <n v="1620.04"/>
    <n v="0.28764914772727274"/>
  </r>
  <r>
    <x v="112"/>
    <x v="0"/>
    <x v="0"/>
    <x v="3"/>
    <x v="8"/>
    <x v="1475"/>
    <n v="734.6"/>
    <n v="0.28605919003115265"/>
  </r>
  <r>
    <x v="250"/>
    <x v="2"/>
    <x v="2"/>
    <x v="1"/>
    <x v="1"/>
    <x v="1476"/>
    <n v="629.07000000000005"/>
    <n v="0.11902932828760644"/>
  </r>
  <r>
    <x v="826"/>
    <x v="3"/>
    <x v="2"/>
    <x v="1"/>
    <x v="3"/>
    <x v="1134"/>
    <n v="122.77"/>
    <n v="0.23792635658914729"/>
  </r>
  <r>
    <x v="169"/>
    <x v="6"/>
    <x v="1"/>
    <x v="1"/>
    <x v="8"/>
    <x v="165"/>
    <n v="503.08"/>
    <n v="0.23519401589527816"/>
  </r>
  <r>
    <x v="875"/>
    <x v="9"/>
    <x v="2"/>
    <x v="1"/>
    <x v="5"/>
    <x v="1477"/>
    <n v="1923.89"/>
    <n v="0.23646632251720748"/>
  </r>
  <r>
    <x v="876"/>
    <x v="9"/>
    <x v="2"/>
    <x v="3"/>
    <x v="2"/>
    <x v="194"/>
    <n v="318.99"/>
    <n v="0.14976056338028171"/>
  </r>
  <r>
    <x v="330"/>
    <x v="4"/>
    <x v="1"/>
    <x v="2"/>
    <x v="2"/>
    <x v="1478"/>
    <n v="202.15"/>
    <n v="5.867924528301887E-2"/>
  </r>
  <r>
    <x v="877"/>
    <x v="2"/>
    <x v="2"/>
    <x v="1"/>
    <x v="6"/>
    <x v="1479"/>
    <n v="429.84"/>
    <n v="7.9955357142857134E-2"/>
  </r>
  <r>
    <x v="613"/>
    <x v="0"/>
    <x v="0"/>
    <x v="3"/>
    <x v="7"/>
    <x v="1480"/>
    <n v="730.14"/>
    <n v="0.24289421157684629"/>
  </r>
  <r>
    <x v="403"/>
    <x v="4"/>
    <x v="1"/>
    <x v="0"/>
    <x v="1"/>
    <x v="1481"/>
    <n v="1113.8499999999999"/>
    <n v="0.28263131184978429"/>
  </r>
  <r>
    <x v="563"/>
    <x v="6"/>
    <x v="1"/>
    <x v="0"/>
    <x v="2"/>
    <x v="1463"/>
    <n v="389.95"/>
    <n v="0.11640298507462686"/>
  </r>
  <r>
    <x v="387"/>
    <x v="0"/>
    <x v="0"/>
    <x v="2"/>
    <x v="8"/>
    <x v="1482"/>
    <n v="265.44"/>
    <n v="0.13147102526002971"/>
  </r>
  <r>
    <x v="317"/>
    <x v="4"/>
    <x v="1"/>
    <x v="0"/>
    <x v="6"/>
    <x v="1483"/>
    <n v="403.38"/>
    <n v="0.16696192052980133"/>
  </r>
  <r>
    <x v="728"/>
    <x v="6"/>
    <x v="1"/>
    <x v="3"/>
    <x v="6"/>
    <x v="1484"/>
    <n v="684.71"/>
    <n v="0.11115422077922078"/>
  </r>
  <r>
    <x v="709"/>
    <x v="0"/>
    <x v="0"/>
    <x v="1"/>
    <x v="0"/>
    <x v="1485"/>
    <n v="682.65"/>
    <n v="0.24415236051502145"/>
  </r>
  <r>
    <x v="221"/>
    <x v="5"/>
    <x v="2"/>
    <x v="2"/>
    <x v="1"/>
    <x v="1486"/>
    <n v="1573.41"/>
    <n v="0.20433896103896104"/>
  </r>
  <r>
    <x v="373"/>
    <x v="5"/>
    <x v="2"/>
    <x v="3"/>
    <x v="2"/>
    <x v="1487"/>
    <n v="193.93"/>
    <n v="9.2568019093078768E-2"/>
  </r>
  <r>
    <x v="407"/>
    <x v="3"/>
    <x v="2"/>
    <x v="0"/>
    <x v="2"/>
    <x v="1145"/>
    <n v="1548.62"/>
    <n v="0.25853422370617696"/>
  </r>
  <r>
    <x v="874"/>
    <x v="5"/>
    <x v="2"/>
    <x v="0"/>
    <x v="3"/>
    <x v="1488"/>
    <n v="307.02"/>
    <n v="0.25457711442786068"/>
  </r>
  <r>
    <x v="878"/>
    <x v="5"/>
    <x v="2"/>
    <x v="2"/>
    <x v="2"/>
    <x v="1489"/>
    <n v="285.77999999999997"/>
    <n v="0.2148721804511278"/>
  </r>
  <r>
    <x v="879"/>
    <x v="3"/>
    <x v="2"/>
    <x v="3"/>
    <x v="7"/>
    <x v="379"/>
    <n v="766.68"/>
    <n v="0.28332594235033259"/>
  </r>
  <r>
    <x v="485"/>
    <x v="9"/>
    <x v="2"/>
    <x v="1"/>
    <x v="8"/>
    <x v="1276"/>
    <n v="50.8"/>
    <n v="0.1192488262910798"/>
  </r>
  <r>
    <x v="880"/>
    <x v="2"/>
    <x v="2"/>
    <x v="3"/>
    <x v="4"/>
    <x v="1370"/>
    <n v="50.26"/>
    <n v="0.12140096618357488"/>
  </r>
  <r>
    <x v="136"/>
    <x v="9"/>
    <x v="2"/>
    <x v="1"/>
    <x v="2"/>
    <x v="357"/>
    <n v="546.33000000000004"/>
    <n v="9.9968892955169267E-2"/>
  </r>
  <r>
    <x v="79"/>
    <x v="2"/>
    <x v="2"/>
    <x v="2"/>
    <x v="8"/>
    <x v="750"/>
    <n v="71.06"/>
    <n v="9.7878787878787885E-2"/>
  </r>
  <r>
    <x v="881"/>
    <x v="5"/>
    <x v="2"/>
    <x v="1"/>
    <x v="4"/>
    <x v="1490"/>
    <n v="225.75"/>
    <n v="0.22552447552447552"/>
  </r>
  <r>
    <x v="93"/>
    <x v="1"/>
    <x v="1"/>
    <x v="3"/>
    <x v="5"/>
    <x v="1491"/>
    <n v="1866.65"/>
    <n v="0.25355202390654713"/>
  </r>
  <r>
    <x v="92"/>
    <x v="8"/>
    <x v="1"/>
    <x v="1"/>
    <x v="0"/>
    <x v="1492"/>
    <n v="576.59"/>
    <n v="0.25244746059544659"/>
  </r>
  <r>
    <x v="527"/>
    <x v="2"/>
    <x v="2"/>
    <x v="1"/>
    <x v="0"/>
    <x v="1493"/>
    <n v="566.36"/>
    <n v="0.19263945578231292"/>
  </r>
  <r>
    <x v="663"/>
    <x v="0"/>
    <x v="0"/>
    <x v="2"/>
    <x v="0"/>
    <x v="1494"/>
    <n v="868.89"/>
    <n v="0.28321056062581484"/>
  </r>
  <r>
    <x v="852"/>
    <x v="7"/>
    <x v="2"/>
    <x v="0"/>
    <x v="8"/>
    <x v="23"/>
    <n v="862.21"/>
    <n v="0.24797526603393732"/>
  </r>
  <r>
    <x v="218"/>
    <x v="5"/>
    <x v="2"/>
    <x v="3"/>
    <x v="5"/>
    <x v="594"/>
    <n v="204.48"/>
    <n v="5.094170403587444E-2"/>
  </r>
  <r>
    <x v="852"/>
    <x v="6"/>
    <x v="1"/>
    <x v="0"/>
    <x v="6"/>
    <x v="1124"/>
    <n v="804.53"/>
    <n v="0.11174027777777777"/>
  </r>
  <r>
    <x v="840"/>
    <x v="5"/>
    <x v="2"/>
    <x v="3"/>
    <x v="8"/>
    <x v="1495"/>
    <n v="134.53"/>
    <n v="0.18303401360544219"/>
  </r>
  <r>
    <x v="171"/>
    <x v="6"/>
    <x v="1"/>
    <x v="1"/>
    <x v="8"/>
    <x v="1496"/>
    <n v="446.54"/>
    <n v="0.15065452091767881"/>
  </r>
  <r>
    <x v="219"/>
    <x v="3"/>
    <x v="2"/>
    <x v="3"/>
    <x v="5"/>
    <x v="1497"/>
    <n v="276.07"/>
    <n v="7.4633684779670181E-2"/>
  </r>
  <r>
    <x v="92"/>
    <x v="0"/>
    <x v="0"/>
    <x v="3"/>
    <x v="8"/>
    <x v="1498"/>
    <n v="221.62"/>
    <n v="0.14179142674344211"/>
  </r>
  <r>
    <x v="442"/>
    <x v="1"/>
    <x v="1"/>
    <x v="2"/>
    <x v="3"/>
    <x v="139"/>
    <n v="32.270000000000003"/>
    <n v="0.26024193548387098"/>
  </r>
  <r>
    <x v="237"/>
    <x v="1"/>
    <x v="1"/>
    <x v="0"/>
    <x v="3"/>
    <x v="1445"/>
    <n v="71.680000000000007"/>
    <n v="0.17230769230769233"/>
  </r>
  <r>
    <x v="401"/>
    <x v="3"/>
    <x v="2"/>
    <x v="2"/>
    <x v="6"/>
    <x v="1499"/>
    <n v="294.24"/>
    <n v="0.11213414634146342"/>
  </r>
  <r>
    <x v="143"/>
    <x v="4"/>
    <x v="1"/>
    <x v="1"/>
    <x v="0"/>
    <x v="1500"/>
    <n v="134.85"/>
    <n v="8.2426650366748164E-2"/>
  </r>
  <r>
    <x v="161"/>
    <x v="4"/>
    <x v="1"/>
    <x v="1"/>
    <x v="6"/>
    <x v="1501"/>
    <n v="1978.93"/>
    <n v="0.2413329268292683"/>
  </r>
  <r>
    <x v="149"/>
    <x v="1"/>
    <x v="1"/>
    <x v="1"/>
    <x v="2"/>
    <x v="1502"/>
    <n v="715.58"/>
    <n v="0.12744078361531613"/>
  </r>
  <r>
    <x v="365"/>
    <x v="0"/>
    <x v="0"/>
    <x v="1"/>
    <x v="2"/>
    <x v="1503"/>
    <n v="413.52"/>
    <n v="0.13404213938411669"/>
  </r>
  <r>
    <x v="820"/>
    <x v="8"/>
    <x v="1"/>
    <x v="2"/>
    <x v="7"/>
    <x v="1504"/>
    <n v="913.76"/>
    <n v="0.28572858036272669"/>
  </r>
  <r>
    <x v="516"/>
    <x v="3"/>
    <x v="2"/>
    <x v="3"/>
    <x v="0"/>
    <x v="1505"/>
    <n v="374.66"/>
    <n v="0.20273809523809525"/>
  </r>
  <r>
    <x v="832"/>
    <x v="5"/>
    <x v="2"/>
    <x v="0"/>
    <x v="0"/>
    <x v="1506"/>
    <n v="116.06"/>
    <n v="0.17800613496932516"/>
  </r>
  <r>
    <x v="601"/>
    <x v="1"/>
    <x v="1"/>
    <x v="2"/>
    <x v="7"/>
    <x v="1493"/>
    <n v="609.99"/>
    <n v="0.2074795918367347"/>
  </r>
  <r>
    <x v="282"/>
    <x v="4"/>
    <x v="1"/>
    <x v="1"/>
    <x v="0"/>
    <x v="1380"/>
    <n v="454.89"/>
    <n v="0.11628067484662577"/>
  </r>
  <r>
    <x v="672"/>
    <x v="2"/>
    <x v="2"/>
    <x v="2"/>
    <x v="6"/>
    <x v="918"/>
    <n v="891.07"/>
    <n v="9.4875425894378196E-2"/>
  </r>
  <r>
    <x v="30"/>
    <x v="6"/>
    <x v="1"/>
    <x v="3"/>
    <x v="4"/>
    <x v="1307"/>
    <n v="43.01"/>
    <n v="0.13785256410256411"/>
  </r>
  <r>
    <x v="661"/>
    <x v="9"/>
    <x v="2"/>
    <x v="1"/>
    <x v="5"/>
    <x v="714"/>
    <n v="1459.74"/>
    <n v="0.1888164532402018"/>
  </r>
  <r>
    <x v="882"/>
    <x v="2"/>
    <x v="2"/>
    <x v="3"/>
    <x v="4"/>
    <x v="1507"/>
    <n v="229.32"/>
    <n v="0.21213691026827011"/>
  </r>
  <r>
    <x v="173"/>
    <x v="7"/>
    <x v="2"/>
    <x v="3"/>
    <x v="7"/>
    <x v="1508"/>
    <n v="393.01"/>
    <n v="0.20405503634475597"/>
  </r>
  <r>
    <x v="530"/>
    <x v="6"/>
    <x v="1"/>
    <x v="1"/>
    <x v="8"/>
    <x v="35"/>
    <n v="88.51"/>
    <n v="9.4561965811965812E-2"/>
  </r>
  <r>
    <x v="343"/>
    <x v="9"/>
    <x v="2"/>
    <x v="2"/>
    <x v="5"/>
    <x v="1509"/>
    <n v="1970.98"/>
    <n v="0.23052397660818713"/>
  </r>
  <r>
    <x v="354"/>
    <x v="6"/>
    <x v="1"/>
    <x v="0"/>
    <x v="0"/>
    <x v="1510"/>
    <n v="457.51"/>
    <n v="0.18537682333873581"/>
  </r>
  <r>
    <x v="339"/>
    <x v="2"/>
    <x v="2"/>
    <x v="3"/>
    <x v="8"/>
    <x v="1511"/>
    <n v="90.34"/>
    <n v="0.11278401997503122"/>
  </r>
  <r>
    <x v="564"/>
    <x v="9"/>
    <x v="2"/>
    <x v="1"/>
    <x v="5"/>
    <x v="342"/>
    <n v="701.11"/>
    <n v="0.26407156308851226"/>
  </r>
  <r>
    <x v="554"/>
    <x v="5"/>
    <x v="2"/>
    <x v="3"/>
    <x v="6"/>
    <x v="1512"/>
    <n v="700.38"/>
    <n v="0.17830448065173116"/>
  </r>
  <r>
    <x v="325"/>
    <x v="6"/>
    <x v="1"/>
    <x v="1"/>
    <x v="6"/>
    <x v="459"/>
    <n v="1438.34"/>
    <n v="0.22169235511713933"/>
  </r>
  <r>
    <x v="13"/>
    <x v="4"/>
    <x v="1"/>
    <x v="3"/>
    <x v="5"/>
    <x v="1513"/>
    <n v="1749.26"/>
    <n v="0.22732423651721897"/>
  </r>
  <r>
    <x v="431"/>
    <x v="4"/>
    <x v="1"/>
    <x v="3"/>
    <x v="3"/>
    <x v="1514"/>
    <n v="468.19"/>
    <n v="0.25225754310344828"/>
  </r>
  <r>
    <x v="406"/>
    <x v="5"/>
    <x v="2"/>
    <x v="0"/>
    <x v="1"/>
    <x v="1515"/>
    <n v="403.63"/>
    <n v="0.26572086899275837"/>
  </r>
  <r>
    <x v="385"/>
    <x v="2"/>
    <x v="2"/>
    <x v="3"/>
    <x v="8"/>
    <x v="1516"/>
    <n v="996.05"/>
    <n v="0.28065652296421528"/>
  </r>
  <r>
    <x v="393"/>
    <x v="9"/>
    <x v="2"/>
    <x v="1"/>
    <x v="8"/>
    <x v="359"/>
    <n v="378.84"/>
    <n v="0.22876811594202898"/>
  </r>
  <r>
    <x v="715"/>
    <x v="8"/>
    <x v="1"/>
    <x v="0"/>
    <x v="1"/>
    <x v="547"/>
    <n v="175.55"/>
    <n v="0.2161945812807882"/>
  </r>
  <r>
    <x v="793"/>
    <x v="1"/>
    <x v="1"/>
    <x v="0"/>
    <x v="2"/>
    <x v="1517"/>
    <n v="864.41"/>
    <n v="0.23174530831099194"/>
  </r>
  <r>
    <x v="161"/>
    <x v="6"/>
    <x v="1"/>
    <x v="2"/>
    <x v="4"/>
    <x v="1518"/>
    <n v="210.87"/>
    <n v="0.18162790697674419"/>
  </r>
  <r>
    <x v="531"/>
    <x v="4"/>
    <x v="1"/>
    <x v="0"/>
    <x v="8"/>
    <x v="790"/>
    <n v="282.52"/>
    <n v="0.12523049645390069"/>
  </r>
  <r>
    <x v="505"/>
    <x v="6"/>
    <x v="1"/>
    <x v="1"/>
    <x v="4"/>
    <x v="1519"/>
    <n v="78.17"/>
    <n v="0.21774373259052926"/>
  </r>
  <r>
    <x v="628"/>
    <x v="4"/>
    <x v="1"/>
    <x v="1"/>
    <x v="3"/>
    <x v="1520"/>
    <n v="11.1"/>
    <n v="8.5384615384615378E-2"/>
  </r>
  <r>
    <x v="60"/>
    <x v="1"/>
    <x v="1"/>
    <x v="2"/>
    <x v="6"/>
    <x v="382"/>
    <n v="831.54"/>
    <n v="0.19574858757062147"/>
  </r>
  <r>
    <x v="883"/>
    <x v="3"/>
    <x v="2"/>
    <x v="2"/>
    <x v="2"/>
    <x v="1521"/>
    <n v="221.47"/>
    <n v="0.12135342465753425"/>
  </r>
  <r>
    <x v="407"/>
    <x v="8"/>
    <x v="1"/>
    <x v="1"/>
    <x v="3"/>
    <x v="1522"/>
    <n v="224.01"/>
    <n v="0.25571917808219174"/>
  </r>
  <r>
    <x v="564"/>
    <x v="3"/>
    <x v="2"/>
    <x v="0"/>
    <x v="5"/>
    <x v="1523"/>
    <n v="2752.84"/>
    <n v="0.29987363834422659"/>
  </r>
  <r>
    <x v="38"/>
    <x v="6"/>
    <x v="1"/>
    <x v="3"/>
    <x v="2"/>
    <x v="765"/>
    <n v="160.88999999999999"/>
    <n v="9.1155807365439087E-2"/>
  </r>
  <r>
    <x v="789"/>
    <x v="6"/>
    <x v="1"/>
    <x v="2"/>
    <x v="3"/>
    <x v="473"/>
    <n v="164.51"/>
    <n v="0.10938164893617021"/>
  </r>
  <r>
    <x v="718"/>
    <x v="8"/>
    <x v="1"/>
    <x v="2"/>
    <x v="5"/>
    <x v="1524"/>
    <n v="430.78"/>
    <n v="0.22901648059542795"/>
  </r>
  <r>
    <x v="714"/>
    <x v="8"/>
    <x v="1"/>
    <x v="1"/>
    <x v="5"/>
    <x v="497"/>
    <n v="1533.72"/>
    <n v="0.20656161616161617"/>
  </r>
  <r>
    <x v="15"/>
    <x v="2"/>
    <x v="2"/>
    <x v="1"/>
    <x v="5"/>
    <x v="1525"/>
    <n v="192.83"/>
    <n v="0.26781944444444444"/>
  </r>
  <r>
    <x v="517"/>
    <x v="7"/>
    <x v="2"/>
    <x v="3"/>
    <x v="2"/>
    <x v="1526"/>
    <n v="698.22"/>
    <n v="0.23390954773869346"/>
  </r>
  <r>
    <x v="814"/>
    <x v="9"/>
    <x v="2"/>
    <x v="0"/>
    <x v="5"/>
    <x v="1183"/>
    <n v="200.11"/>
    <n v="0.28144866385372719"/>
  </r>
  <r>
    <x v="884"/>
    <x v="0"/>
    <x v="0"/>
    <x v="2"/>
    <x v="7"/>
    <x v="1527"/>
    <n v="1396.25"/>
    <n v="0.22247450605481198"/>
  </r>
  <r>
    <x v="616"/>
    <x v="1"/>
    <x v="1"/>
    <x v="1"/>
    <x v="1"/>
    <x v="651"/>
    <n v="955.8"/>
    <n v="0.11998493597790609"/>
  </r>
  <r>
    <x v="107"/>
    <x v="4"/>
    <x v="1"/>
    <x v="1"/>
    <x v="6"/>
    <x v="1100"/>
    <n v="854.89"/>
    <n v="0.20354523809523808"/>
  </r>
  <r>
    <x v="432"/>
    <x v="9"/>
    <x v="2"/>
    <x v="1"/>
    <x v="1"/>
    <x v="1528"/>
    <n v="80"/>
    <n v="0.17582417582417584"/>
  </r>
  <r>
    <x v="478"/>
    <x v="8"/>
    <x v="1"/>
    <x v="2"/>
    <x v="6"/>
    <x v="1529"/>
    <n v="465.36"/>
    <n v="9.2333333333333337E-2"/>
  </r>
  <r>
    <x v="513"/>
    <x v="1"/>
    <x v="1"/>
    <x v="1"/>
    <x v="4"/>
    <x v="177"/>
    <n v="87.69"/>
    <n v="0.10244158878504672"/>
  </r>
  <r>
    <x v="50"/>
    <x v="6"/>
    <x v="1"/>
    <x v="3"/>
    <x v="2"/>
    <x v="1530"/>
    <n v="385.77"/>
    <n v="7.3760994263862331E-2"/>
  </r>
  <r>
    <x v="120"/>
    <x v="9"/>
    <x v="2"/>
    <x v="2"/>
    <x v="2"/>
    <x v="1531"/>
    <n v="769.03"/>
    <n v="0.16591801510248111"/>
  </r>
  <r>
    <x v="820"/>
    <x v="9"/>
    <x v="2"/>
    <x v="1"/>
    <x v="7"/>
    <x v="1532"/>
    <n v="360.28"/>
    <n v="6.5410312273057367E-2"/>
  </r>
  <r>
    <x v="68"/>
    <x v="7"/>
    <x v="2"/>
    <x v="0"/>
    <x v="4"/>
    <x v="1533"/>
    <n v="27.01"/>
    <n v="0.10468992248062016"/>
  </r>
  <r>
    <x v="442"/>
    <x v="7"/>
    <x v="2"/>
    <x v="1"/>
    <x v="4"/>
    <x v="683"/>
    <n v="88.41"/>
    <n v="0.13059084194977844"/>
  </r>
  <r>
    <x v="749"/>
    <x v="6"/>
    <x v="1"/>
    <x v="3"/>
    <x v="2"/>
    <x v="1534"/>
    <n v="755.05"/>
    <n v="0.16612761276127611"/>
  </r>
  <r>
    <x v="299"/>
    <x v="7"/>
    <x v="2"/>
    <x v="2"/>
    <x v="2"/>
    <x v="1535"/>
    <n v="1255.3599999999999"/>
    <n v="0.28726773455377574"/>
  </r>
  <r>
    <x v="519"/>
    <x v="8"/>
    <x v="1"/>
    <x v="1"/>
    <x v="8"/>
    <x v="1536"/>
    <n v="57.51"/>
    <n v="0.15459677419354839"/>
  </r>
  <r>
    <x v="640"/>
    <x v="3"/>
    <x v="2"/>
    <x v="3"/>
    <x v="5"/>
    <x v="1537"/>
    <n v="629.96"/>
    <n v="0.19828769279194208"/>
  </r>
  <r>
    <x v="704"/>
    <x v="0"/>
    <x v="0"/>
    <x v="2"/>
    <x v="1"/>
    <x v="1538"/>
    <n v="127.48"/>
    <n v="7.6841470765521405E-2"/>
  </r>
  <r>
    <x v="157"/>
    <x v="2"/>
    <x v="2"/>
    <x v="2"/>
    <x v="8"/>
    <x v="1539"/>
    <n v="759.31"/>
    <n v="0.22598511904761903"/>
  </r>
  <r>
    <x v="885"/>
    <x v="7"/>
    <x v="2"/>
    <x v="3"/>
    <x v="3"/>
    <x v="1540"/>
    <n v="290.56"/>
    <n v="0.25667844522968197"/>
  </r>
  <r>
    <x v="220"/>
    <x v="5"/>
    <x v="2"/>
    <x v="1"/>
    <x v="2"/>
    <x v="378"/>
    <n v="468.62"/>
    <n v="0.25819283746556476"/>
  </r>
  <r>
    <x v="734"/>
    <x v="1"/>
    <x v="1"/>
    <x v="0"/>
    <x v="4"/>
    <x v="1153"/>
    <n v="125.19"/>
    <n v="0.27274509803921571"/>
  </r>
  <r>
    <x v="886"/>
    <x v="7"/>
    <x v="2"/>
    <x v="3"/>
    <x v="4"/>
    <x v="958"/>
    <n v="73.739999999999995"/>
    <n v="6.5372340425531916E-2"/>
  </r>
  <r>
    <x v="421"/>
    <x v="6"/>
    <x v="1"/>
    <x v="1"/>
    <x v="7"/>
    <x v="534"/>
    <n v="104.63"/>
    <n v="8.9427350427350422E-2"/>
  </r>
  <r>
    <x v="306"/>
    <x v="5"/>
    <x v="2"/>
    <x v="0"/>
    <x v="2"/>
    <x v="1541"/>
    <n v="380.69"/>
    <n v="8.6128959276018102E-2"/>
  </r>
  <r>
    <x v="544"/>
    <x v="7"/>
    <x v="2"/>
    <x v="3"/>
    <x v="7"/>
    <x v="1050"/>
    <n v="69.150000000000006"/>
    <n v="0.15164473684210528"/>
  </r>
  <r>
    <x v="400"/>
    <x v="2"/>
    <x v="2"/>
    <x v="0"/>
    <x v="3"/>
    <x v="1238"/>
    <n v="154.79"/>
    <n v="0.10616598079561042"/>
  </r>
  <r>
    <x v="887"/>
    <x v="6"/>
    <x v="1"/>
    <x v="3"/>
    <x v="1"/>
    <x v="1542"/>
    <n v="197.58"/>
    <n v="6.6102375376380071E-2"/>
  </r>
  <r>
    <x v="888"/>
    <x v="3"/>
    <x v="2"/>
    <x v="0"/>
    <x v="0"/>
    <x v="1543"/>
    <n v="845.68"/>
    <n v="0.24698598130841121"/>
  </r>
  <r>
    <x v="859"/>
    <x v="1"/>
    <x v="1"/>
    <x v="3"/>
    <x v="3"/>
    <x v="1544"/>
    <n v="124.25"/>
    <n v="0.10134584013050571"/>
  </r>
  <r>
    <x v="419"/>
    <x v="9"/>
    <x v="2"/>
    <x v="0"/>
    <x v="6"/>
    <x v="1545"/>
    <n v="1097.6300000000001"/>
    <n v="0.16237130177514794"/>
  </r>
  <r>
    <x v="889"/>
    <x v="7"/>
    <x v="2"/>
    <x v="3"/>
    <x v="4"/>
    <x v="79"/>
    <n v="13.61"/>
    <n v="0.12261261261261261"/>
  </r>
  <r>
    <x v="636"/>
    <x v="0"/>
    <x v="0"/>
    <x v="0"/>
    <x v="2"/>
    <x v="1546"/>
    <n v="222.29"/>
    <n v="6.7874809160305347E-2"/>
  </r>
  <r>
    <x v="303"/>
    <x v="4"/>
    <x v="1"/>
    <x v="0"/>
    <x v="8"/>
    <x v="1210"/>
    <n v="498.69"/>
    <n v="0.19883971291866029"/>
  </r>
  <r>
    <x v="207"/>
    <x v="8"/>
    <x v="1"/>
    <x v="2"/>
    <x v="6"/>
    <x v="673"/>
    <n v="202.35"/>
    <n v="0.22383849557522123"/>
  </r>
  <r>
    <x v="640"/>
    <x v="0"/>
    <x v="0"/>
    <x v="3"/>
    <x v="8"/>
    <x v="1547"/>
    <n v="427.84"/>
    <n v="0.28409030544488711"/>
  </r>
  <r>
    <x v="139"/>
    <x v="7"/>
    <x v="2"/>
    <x v="2"/>
    <x v="8"/>
    <x v="1548"/>
    <n v="97.01"/>
    <n v="9.828774062816617E-2"/>
  </r>
  <r>
    <x v="196"/>
    <x v="7"/>
    <x v="2"/>
    <x v="1"/>
    <x v="1"/>
    <x v="523"/>
    <n v="728.94"/>
    <n v="0.24559973045822103"/>
  </r>
  <r>
    <x v="81"/>
    <x v="1"/>
    <x v="1"/>
    <x v="2"/>
    <x v="2"/>
    <x v="1100"/>
    <n v="746.86"/>
    <n v="0.17782380952380952"/>
  </r>
  <r>
    <x v="750"/>
    <x v="5"/>
    <x v="2"/>
    <x v="0"/>
    <x v="2"/>
    <x v="1549"/>
    <n v="313.66000000000003"/>
    <n v="0.19067477203647418"/>
  </r>
  <r>
    <x v="890"/>
    <x v="0"/>
    <x v="0"/>
    <x v="1"/>
    <x v="8"/>
    <x v="1550"/>
    <n v="492.59"/>
    <n v="0.15008836075563681"/>
  </r>
  <r>
    <x v="516"/>
    <x v="4"/>
    <x v="1"/>
    <x v="1"/>
    <x v="5"/>
    <x v="1551"/>
    <n v="1160.45"/>
    <n v="0.23615181115181116"/>
  </r>
  <r>
    <x v="367"/>
    <x v="9"/>
    <x v="2"/>
    <x v="0"/>
    <x v="7"/>
    <x v="1426"/>
    <n v="762.96"/>
    <n v="0.194434250764526"/>
  </r>
  <r>
    <x v="250"/>
    <x v="4"/>
    <x v="1"/>
    <x v="2"/>
    <x v="7"/>
    <x v="1552"/>
    <n v="65.62"/>
    <n v="0.15623809523809526"/>
  </r>
  <r>
    <x v="168"/>
    <x v="0"/>
    <x v="0"/>
    <x v="3"/>
    <x v="0"/>
    <x v="1553"/>
    <n v="106.02"/>
    <n v="6.8665803108808293E-2"/>
  </r>
  <r>
    <x v="891"/>
    <x v="4"/>
    <x v="1"/>
    <x v="1"/>
    <x v="3"/>
    <x v="1554"/>
    <n v="233.47"/>
    <n v="0.11411045943304007"/>
  </r>
  <r>
    <x v="424"/>
    <x v="4"/>
    <x v="1"/>
    <x v="3"/>
    <x v="3"/>
    <x v="1555"/>
    <n v="157.47999999999999"/>
    <n v="0.1017312661498708"/>
  </r>
  <r>
    <x v="253"/>
    <x v="8"/>
    <x v="1"/>
    <x v="0"/>
    <x v="0"/>
    <x v="1556"/>
    <n v="478.27"/>
    <n v="0.15021042713567839"/>
  </r>
  <r>
    <x v="892"/>
    <x v="0"/>
    <x v="0"/>
    <x v="2"/>
    <x v="2"/>
    <x v="1557"/>
    <n v="774.86"/>
    <n v="0.22890989660265879"/>
  </r>
  <r>
    <x v="893"/>
    <x v="6"/>
    <x v="1"/>
    <x v="0"/>
    <x v="4"/>
    <x v="1558"/>
    <n v="10.32"/>
    <n v="0.17491525423728815"/>
  </r>
  <r>
    <x v="463"/>
    <x v="6"/>
    <x v="1"/>
    <x v="2"/>
    <x v="6"/>
    <x v="691"/>
    <n v="1016.99"/>
    <n v="0.17017904953145918"/>
  </r>
  <r>
    <x v="894"/>
    <x v="1"/>
    <x v="1"/>
    <x v="3"/>
    <x v="8"/>
    <x v="1143"/>
    <n v="122.5"/>
    <n v="6.8397543271915134E-2"/>
  </r>
  <r>
    <x v="616"/>
    <x v="5"/>
    <x v="2"/>
    <x v="3"/>
    <x v="3"/>
    <x v="339"/>
    <n v="189.32"/>
    <n v="0.1151581508515815"/>
  </r>
  <r>
    <x v="432"/>
    <x v="2"/>
    <x v="2"/>
    <x v="3"/>
    <x v="6"/>
    <x v="1559"/>
    <n v="544.62"/>
    <n v="8.2718712029161603E-2"/>
  </r>
  <r>
    <x v="474"/>
    <x v="4"/>
    <x v="1"/>
    <x v="1"/>
    <x v="2"/>
    <x v="399"/>
    <n v="325.87"/>
    <n v="0.20115432098765432"/>
  </r>
  <r>
    <x v="895"/>
    <x v="1"/>
    <x v="1"/>
    <x v="3"/>
    <x v="5"/>
    <x v="1560"/>
    <n v="407.22"/>
    <n v="0.14883771929824563"/>
  </r>
  <r>
    <x v="896"/>
    <x v="6"/>
    <x v="1"/>
    <x v="2"/>
    <x v="0"/>
    <x v="1561"/>
    <n v="274.47000000000003"/>
    <n v="0.25796052631578947"/>
  </r>
  <r>
    <x v="113"/>
    <x v="3"/>
    <x v="2"/>
    <x v="2"/>
    <x v="1"/>
    <x v="1562"/>
    <n v="363.5"/>
    <n v="0.13629546306711662"/>
  </r>
  <r>
    <x v="897"/>
    <x v="4"/>
    <x v="1"/>
    <x v="2"/>
    <x v="8"/>
    <x v="1495"/>
    <n v="217.79"/>
    <n v="0.29631292517006802"/>
  </r>
  <r>
    <x v="643"/>
    <x v="9"/>
    <x v="2"/>
    <x v="1"/>
    <x v="4"/>
    <x v="1563"/>
    <n v="11.25"/>
    <n v="0.19396551724137931"/>
  </r>
  <r>
    <x v="526"/>
    <x v="3"/>
    <x v="2"/>
    <x v="2"/>
    <x v="1"/>
    <x v="423"/>
    <n v="850.3"/>
    <n v="0.27114158163265306"/>
  </r>
  <r>
    <x v="652"/>
    <x v="1"/>
    <x v="1"/>
    <x v="1"/>
    <x v="0"/>
    <x v="450"/>
    <n v="374.34"/>
    <n v="9.5106707317073158E-2"/>
  </r>
  <r>
    <x v="457"/>
    <x v="7"/>
    <x v="2"/>
    <x v="1"/>
    <x v="5"/>
    <x v="1564"/>
    <n v="947.91"/>
    <n v="0.1553441494591937"/>
  </r>
  <r>
    <x v="432"/>
    <x v="7"/>
    <x v="2"/>
    <x v="0"/>
    <x v="6"/>
    <x v="1565"/>
    <n v="552.44000000000005"/>
    <n v="5.8720238095238103E-2"/>
  </r>
  <r>
    <x v="91"/>
    <x v="1"/>
    <x v="1"/>
    <x v="2"/>
    <x v="5"/>
    <x v="1566"/>
    <n v="1243.56"/>
    <n v="0.15791238095238094"/>
  </r>
  <r>
    <x v="224"/>
    <x v="8"/>
    <x v="1"/>
    <x v="0"/>
    <x v="5"/>
    <x v="1567"/>
    <n v="576.79999999999995"/>
    <n v="5.8262626262626259E-2"/>
  </r>
  <r>
    <x v="898"/>
    <x v="8"/>
    <x v="1"/>
    <x v="0"/>
    <x v="3"/>
    <x v="1568"/>
    <n v="114.91"/>
    <n v="0.26723255813953489"/>
  </r>
  <r>
    <x v="796"/>
    <x v="1"/>
    <x v="1"/>
    <x v="2"/>
    <x v="8"/>
    <x v="1569"/>
    <n v="238.1"/>
    <n v="0.29286592865928657"/>
  </r>
  <r>
    <x v="644"/>
    <x v="3"/>
    <x v="2"/>
    <x v="2"/>
    <x v="0"/>
    <x v="730"/>
    <n v="980.11"/>
    <n v="0.2347006704980843"/>
  </r>
  <r>
    <x v="368"/>
    <x v="3"/>
    <x v="2"/>
    <x v="2"/>
    <x v="0"/>
    <x v="1570"/>
    <n v="348.38"/>
    <n v="0.11296368352788586"/>
  </r>
  <r>
    <x v="133"/>
    <x v="1"/>
    <x v="1"/>
    <x v="3"/>
    <x v="1"/>
    <x v="1571"/>
    <n v="1593.65"/>
    <n v="0.19900724275724277"/>
  </r>
  <r>
    <x v="585"/>
    <x v="5"/>
    <x v="2"/>
    <x v="2"/>
    <x v="0"/>
    <x v="1572"/>
    <n v="963.5"/>
    <n v="0.20909288194444445"/>
  </r>
  <r>
    <x v="821"/>
    <x v="4"/>
    <x v="1"/>
    <x v="3"/>
    <x v="0"/>
    <x v="1573"/>
    <n v="614.62"/>
    <n v="0.1410973370064279"/>
  </r>
  <r>
    <x v="339"/>
    <x v="0"/>
    <x v="0"/>
    <x v="2"/>
    <x v="4"/>
    <x v="1574"/>
    <n v="169.17"/>
    <n v="0.29888692579505299"/>
  </r>
  <r>
    <x v="899"/>
    <x v="9"/>
    <x v="2"/>
    <x v="1"/>
    <x v="1"/>
    <x v="125"/>
    <n v="75.209999999999994"/>
    <n v="7.9587301587301582E-2"/>
  </r>
  <r>
    <x v="900"/>
    <x v="5"/>
    <x v="2"/>
    <x v="0"/>
    <x v="0"/>
    <x v="1575"/>
    <n v="484.33"/>
    <n v="0.22014999999999998"/>
  </r>
  <r>
    <x v="773"/>
    <x v="1"/>
    <x v="1"/>
    <x v="0"/>
    <x v="4"/>
    <x v="206"/>
    <n v="131.25"/>
    <n v="0.17593833780160859"/>
  </r>
  <r>
    <x v="486"/>
    <x v="6"/>
    <x v="1"/>
    <x v="1"/>
    <x v="2"/>
    <x v="1576"/>
    <n v="678.18"/>
    <n v="0.19348930099857345"/>
  </r>
  <r>
    <x v="603"/>
    <x v="6"/>
    <x v="1"/>
    <x v="1"/>
    <x v="2"/>
    <x v="1577"/>
    <n v="819.12"/>
    <n v="0.1708279457768509"/>
  </r>
  <r>
    <x v="836"/>
    <x v="6"/>
    <x v="1"/>
    <x v="0"/>
    <x v="2"/>
    <x v="544"/>
    <n v="650.04999999999995"/>
    <n v="0.14162309368191719"/>
  </r>
  <r>
    <x v="34"/>
    <x v="6"/>
    <x v="1"/>
    <x v="0"/>
    <x v="0"/>
    <x v="1012"/>
    <n v="467.02"/>
    <n v="0.22324091778202676"/>
  </r>
  <r>
    <x v="321"/>
    <x v="1"/>
    <x v="1"/>
    <x v="2"/>
    <x v="6"/>
    <x v="612"/>
    <n v="334.13"/>
    <n v="9.3646300448430489E-2"/>
  </r>
  <r>
    <x v="863"/>
    <x v="7"/>
    <x v="2"/>
    <x v="3"/>
    <x v="5"/>
    <x v="1578"/>
    <n v="2028.21"/>
    <n v="0.19494521337946943"/>
  </r>
  <r>
    <x v="901"/>
    <x v="0"/>
    <x v="0"/>
    <x v="2"/>
    <x v="5"/>
    <x v="1579"/>
    <n v="1005.58"/>
    <n v="0.14306160193484138"/>
  </r>
  <r>
    <x v="853"/>
    <x v="9"/>
    <x v="2"/>
    <x v="3"/>
    <x v="6"/>
    <x v="1580"/>
    <n v="126.6"/>
    <n v="0.19066265060240964"/>
  </r>
  <r>
    <x v="211"/>
    <x v="2"/>
    <x v="2"/>
    <x v="3"/>
    <x v="8"/>
    <x v="1581"/>
    <n v="274"/>
    <n v="0.14248569942797712"/>
  </r>
  <r>
    <x v="860"/>
    <x v="0"/>
    <x v="0"/>
    <x v="3"/>
    <x v="1"/>
    <x v="1582"/>
    <n v="566.51"/>
    <n v="0.22926345609065155"/>
  </r>
  <r>
    <x v="456"/>
    <x v="7"/>
    <x v="2"/>
    <x v="0"/>
    <x v="3"/>
    <x v="1533"/>
    <n v="64.12"/>
    <n v="0.24852713178294575"/>
  </r>
  <r>
    <x v="774"/>
    <x v="5"/>
    <x v="2"/>
    <x v="1"/>
    <x v="5"/>
    <x v="365"/>
    <n v="267.26"/>
    <n v="0.23567901234567901"/>
  </r>
  <r>
    <x v="902"/>
    <x v="4"/>
    <x v="1"/>
    <x v="1"/>
    <x v="2"/>
    <x v="346"/>
    <n v="238.83"/>
    <n v="0.27933333333333332"/>
  </r>
  <r>
    <x v="549"/>
    <x v="5"/>
    <x v="2"/>
    <x v="3"/>
    <x v="5"/>
    <x v="1583"/>
    <n v="670.85"/>
    <n v="0.20762921696069328"/>
  </r>
  <r>
    <x v="640"/>
    <x v="2"/>
    <x v="2"/>
    <x v="2"/>
    <x v="1"/>
    <x v="288"/>
    <n v="266.58999999999997"/>
    <n v="7.4238373712057909E-2"/>
  </r>
  <r>
    <x v="13"/>
    <x v="3"/>
    <x v="2"/>
    <x v="1"/>
    <x v="3"/>
    <x v="1584"/>
    <n v="20.48"/>
    <n v="8.0629921259842516E-2"/>
  </r>
  <r>
    <x v="278"/>
    <x v="7"/>
    <x v="2"/>
    <x v="2"/>
    <x v="2"/>
    <x v="1585"/>
    <n v="1193.32"/>
    <n v="0.2012344013490725"/>
  </r>
  <r>
    <x v="903"/>
    <x v="4"/>
    <x v="1"/>
    <x v="3"/>
    <x v="3"/>
    <x v="279"/>
    <n v="297.99"/>
    <n v="0.22171875000000002"/>
  </r>
  <r>
    <x v="904"/>
    <x v="9"/>
    <x v="2"/>
    <x v="1"/>
    <x v="4"/>
    <x v="1586"/>
    <n v="98.31"/>
    <n v="0.10685869565217392"/>
  </r>
  <r>
    <x v="905"/>
    <x v="0"/>
    <x v="0"/>
    <x v="0"/>
    <x v="5"/>
    <x v="1587"/>
    <n v="385.51"/>
    <n v="7.0683901723505679E-2"/>
  </r>
  <r>
    <x v="906"/>
    <x v="9"/>
    <x v="2"/>
    <x v="3"/>
    <x v="6"/>
    <x v="1588"/>
    <n v="663.23"/>
    <n v="6.9725609756097567E-2"/>
  </r>
  <r>
    <x v="304"/>
    <x v="1"/>
    <x v="1"/>
    <x v="0"/>
    <x v="0"/>
    <x v="1589"/>
    <n v="827.46"/>
    <n v="0.27841857335127862"/>
  </r>
  <r>
    <x v="324"/>
    <x v="5"/>
    <x v="2"/>
    <x v="3"/>
    <x v="8"/>
    <x v="1539"/>
    <n v="465.02"/>
    <n v="0.13839880952380951"/>
  </r>
  <r>
    <x v="781"/>
    <x v="2"/>
    <x v="2"/>
    <x v="3"/>
    <x v="0"/>
    <x v="1590"/>
    <n v="240.13"/>
    <n v="0.23917330677290835"/>
  </r>
  <r>
    <x v="366"/>
    <x v="4"/>
    <x v="1"/>
    <x v="3"/>
    <x v="3"/>
    <x v="1591"/>
    <n v="332.55"/>
    <n v="0.17106481481481481"/>
  </r>
  <r>
    <x v="796"/>
    <x v="6"/>
    <x v="1"/>
    <x v="1"/>
    <x v="2"/>
    <x v="1592"/>
    <n v="1200.0899999999999"/>
    <n v="0.23740652818991095"/>
  </r>
  <r>
    <x v="222"/>
    <x v="5"/>
    <x v="2"/>
    <x v="3"/>
    <x v="3"/>
    <x v="1593"/>
    <n v="8.33"/>
    <n v="6.5078125000000001E-2"/>
  </r>
  <r>
    <x v="811"/>
    <x v="7"/>
    <x v="2"/>
    <x v="1"/>
    <x v="8"/>
    <x v="1320"/>
    <n v="163.03"/>
    <n v="0.25755134281200631"/>
  </r>
  <r>
    <x v="91"/>
    <x v="0"/>
    <x v="0"/>
    <x v="2"/>
    <x v="8"/>
    <x v="1594"/>
    <n v="506.7"/>
    <n v="0.20083234244946491"/>
  </r>
  <r>
    <x v="577"/>
    <x v="0"/>
    <x v="0"/>
    <x v="3"/>
    <x v="4"/>
    <x v="1595"/>
    <n v="39.6"/>
    <n v="0.20204081632653062"/>
  </r>
  <r>
    <x v="691"/>
    <x v="0"/>
    <x v="0"/>
    <x v="1"/>
    <x v="5"/>
    <x v="1596"/>
    <n v="552.96"/>
    <n v="0.13128205128205128"/>
  </r>
  <r>
    <x v="594"/>
    <x v="6"/>
    <x v="1"/>
    <x v="0"/>
    <x v="4"/>
    <x v="1193"/>
    <n v="17.29"/>
    <n v="0.27444444444444444"/>
  </r>
  <r>
    <x v="907"/>
    <x v="1"/>
    <x v="1"/>
    <x v="2"/>
    <x v="6"/>
    <x v="1597"/>
    <n v="394.66"/>
    <n v="0.14340843023255814"/>
  </r>
  <r>
    <x v="599"/>
    <x v="1"/>
    <x v="1"/>
    <x v="3"/>
    <x v="8"/>
    <x v="1404"/>
    <n v="419.61"/>
    <n v="0.21096530920060333"/>
  </r>
  <r>
    <x v="811"/>
    <x v="9"/>
    <x v="2"/>
    <x v="1"/>
    <x v="6"/>
    <x v="1598"/>
    <n v="466.19"/>
    <n v="5.8041583665338646E-2"/>
  </r>
  <r>
    <x v="633"/>
    <x v="2"/>
    <x v="2"/>
    <x v="2"/>
    <x v="7"/>
    <x v="1599"/>
    <n v="407.34"/>
    <n v="0.11003241491085899"/>
  </r>
  <r>
    <x v="461"/>
    <x v="5"/>
    <x v="2"/>
    <x v="1"/>
    <x v="6"/>
    <x v="1050"/>
    <n v="90.24"/>
    <n v="0.19789473684210526"/>
  </r>
  <r>
    <x v="291"/>
    <x v="3"/>
    <x v="2"/>
    <x v="3"/>
    <x v="1"/>
    <x v="1600"/>
    <n v="1143.1600000000001"/>
    <n v="0.21347525676937443"/>
  </r>
  <r>
    <x v="117"/>
    <x v="3"/>
    <x v="2"/>
    <x v="3"/>
    <x v="4"/>
    <x v="1601"/>
    <n v="261.91000000000003"/>
    <n v="0.26945473251028806"/>
  </r>
  <r>
    <x v="449"/>
    <x v="4"/>
    <x v="1"/>
    <x v="2"/>
    <x v="2"/>
    <x v="1602"/>
    <n v="797.82"/>
    <n v="0.24249848024316112"/>
  </r>
  <r>
    <x v="167"/>
    <x v="9"/>
    <x v="2"/>
    <x v="1"/>
    <x v="4"/>
    <x v="1495"/>
    <n v="139.31"/>
    <n v="0.18953741496598639"/>
  </r>
  <r>
    <x v="908"/>
    <x v="2"/>
    <x v="2"/>
    <x v="0"/>
    <x v="8"/>
    <x v="1603"/>
    <n v="798.26"/>
    <n v="0.23928657074340529"/>
  </r>
  <r>
    <x v="716"/>
    <x v="8"/>
    <x v="1"/>
    <x v="3"/>
    <x v="8"/>
    <x v="1604"/>
    <n v="346.53"/>
    <n v="0.16644092219020171"/>
  </r>
  <r>
    <x v="361"/>
    <x v="8"/>
    <x v="1"/>
    <x v="1"/>
    <x v="3"/>
    <x v="1605"/>
    <n v="129.88999999999999"/>
    <n v="9.6932835820895513E-2"/>
  </r>
  <r>
    <x v="576"/>
    <x v="9"/>
    <x v="2"/>
    <x v="1"/>
    <x v="2"/>
    <x v="1441"/>
    <n v="227.13"/>
    <n v="0.19580172413793104"/>
  </r>
  <r>
    <x v="769"/>
    <x v="6"/>
    <x v="1"/>
    <x v="1"/>
    <x v="0"/>
    <x v="1606"/>
    <n v="299.83999999999997"/>
    <n v="0.23572327044025154"/>
  </r>
  <r>
    <x v="7"/>
    <x v="0"/>
    <x v="0"/>
    <x v="3"/>
    <x v="8"/>
    <x v="1607"/>
    <n v="588.47"/>
    <n v="0.20889953851615195"/>
  </r>
  <r>
    <x v="20"/>
    <x v="6"/>
    <x v="1"/>
    <x v="1"/>
    <x v="8"/>
    <x v="1608"/>
    <n v="264.67"/>
    <n v="0.18078551912568308"/>
  </r>
  <r>
    <x v="694"/>
    <x v="4"/>
    <x v="1"/>
    <x v="3"/>
    <x v="4"/>
    <x v="1609"/>
    <n v="60.51"/>
    <n v="0.19710097719869707"/>
  </r>
  <r>
    <x v="430"/>
    <x v="2"/>
    <x v="2"/>
    <x v="3"/>
    <x v="7"/>
    <x v="802"/>
    <n v="1306.92"/>
    <n v="0.22904311251314408"/>
  </r>
  <r>
    <x v="538"/>
    <x v="4"/>
    <x v="1"/>
    <x v="0"/>
    <x v="4"/>
    <x v="521"/>
    <n v="100.47"/>
    <n v="9.0350719424460435E-2"/>
  </r>
  <r>
    <x v="160"/>
    <x v="8"/>
    <x v="1"/>
    <x v="3"/>
    <x v="4"/>
    <x v="1610"/>
    <n v="133.47999999999999"/>
    <n v="0.11637314734088927"/>
  </r>
  <r>
    <x v="17"/>
    <x v="9"/>
    <x v="2"/>
    <x v="0"/>
    <x v="3"/>
    <x v="305"/>
    <n v="66.569999999999993"/>
    <n v="0.2017272727272727"/>
  </r>
  <r>
    <x v="865"/>
    <x v="6"/>
    <x v="1"/>
    <x v="0"/>
    <x v="0"/>
    <x v="1611"/>
    <n v="250.89"/>
    <n v="0.11529871323529411"/>
  </r>
  <r>
    <x v="120"/>
    <x v="4"/>
    <x v="1"/>
    <x v="2"/>
    <x v="1"/>
    <x v="1612"/>
    <n v="1317.79"/>
    <n v="0.17302914915966386"/>
  </r>
  <r>
    <x v="909"/>
    <x v="0"/>
    <x v="0"/>
    <x v="0"/>
    <x v="4"/>
    <x v="1613"/>
    <n v="258.3"/>
    <n v="0.23675527039413383"/>
  </r>
  <r>
    <x v="840"/>
    <x v="2"/>
    <x v="2"/>
    <x v="1"/>
    <x v="3"/>
    <x v="969"/>
    <n v="279.76"/>
    <n v="0.27267056530214423"/>
  </r>
  <r>
    <x v="686"/>
    <x v="2"/>
    <x v="2"/>
    <x v="3"/>
    <x v="3"/>
    <x v="1614"/>
    <n v="42.04"/>
    <n v="0.2001904761904762"/>
  </r>
  <r>
    <x v="816"/>
    <x v="0"/>
    <x v="0"/>
    <x v="0"/>
    <x v="3"/>
    <x v="1615"/>
    <n v="10.78"/>
    <n v="5.9888888888888887E-2"/>
  </r>
  <r>
    <x v="393"/>
    <x v="2"/>
    <x v="2"/>
    <x v="0"/>
    <x v="0"/>
    <x v="516"/>
    <n v="72.88"/>
    <n v="0.19178947368421051"/>
  </r>
  <r>
    <x v="162"/>
    <x v="6"/>
    <x v="1"/>
    <x v="3"/>
    <x v="6"/>
    <x v="1351"/>
    <n v="1580.55"/>
    <n v="0.20623042797494781"/>
  </r>
  <r>
    <x v="418"/>
    <x v="7"/>
    <x v="2"/>
    <x v="1"/>
    <x v="6"/>
    <x v="926"/>
    <n v="1029.9000000000001"/>
    <n v="0.17006274768824309"/>
  </r>
  <r>
    <x v="245"/>
    <x v="1"/>
    <x v="1"/>
    <x v="0"/>
    <x v="7"/>
    <x v="752"/>
    <n v="104.52"/>
    <n v="0.17247524752475246"/>
  </r>
  <r>
    <x v="301"/>
    <x v="6"/>
    <x v="1"/>
    <x v="0"/>
    <x v="8"/>
    <x v="1201"/>
    <n v="193.86"/>
    <n v="0.25848000000000004"/>
  </r>
  <r>
    <x v="731"/>
    <x v="0"/>
    <x v="0"/>
    <x v="1"/>
    <x v="3"/>
    <x v="1616"/>
    <n v="218.88"/>
    <n v="0.17970443349753695"/>
  </r>
  <r>
    <x v="99"/>
    <x v="9"/>
    <x v="2"/>
    <x v="3"/>
    <x v="3"/>
    <x v="1617"/>
    <n v="355.45"/>
    <n v="0.16440795559666974"/>
  </r>
  <r>
    <x v="420"/>
    <x v="4"/>
    <x v="1"/>
    <x v="1"/>
    <x v="5"/>
    <x v="1618"/>
    <n v="347.01"/>
    <n v="0.15609986504723347"/>
  </r>
  <r>
    <x v="910"/>
    <x v="7"/>
    <x v="2"/>
    <x v="3"/>
    <x v="1"/>
    <x v="1619"/>
    <n v="920.05"/>
    <n v="0.20665992812219225"/>
  </r>
  <r>
    <x v="89"/>
    <x v="0"/>
    <x v="0"/>
    <x v="3"/>
    <x v="4"/>
    <x v="1620"/>
    <n v="50.19"/>
    <n v="0.27277173913043479"/>
  </r>
  <r>
    <x v="911"/>
    <x v="4"/>
    <x v="1"/>
    <x v="0"/>
    <x v="8"/>
    <x v="1225"/>
    <n v="77.38"/>
    <n v="0.26868055555555553"/>
  </r>
  <r>
    <x v="450"/>
    <x v="3"/>
    <x v="2"/>
    <x v="3"/>
    <x v="3"/>
    <x v="113"/>
    <n v="150.12"/>
    <n v="0.18"/>
  </r>
  <r>
    <x v="500"/>
    <x v="8"/>
    <x v="1"/>
    <x v="1"/>
    <x v="2"/>
    <x v="1621"/>
    <n v="923.17"/>
    <n v="0.22935900621118011"/>
  </r>
  <r>
    <x v="912"/>
    <x v="4"/>
    <x v="1"/>
    <x v="3"/>
    <x v="1"/>
    <x v="1622"/>
    <n v="1084.28"/>
    <n v="0.22913778529163145"/>
  </r>
  <r>
    <x v="913"/>
    <x v="4"/>
    <x v="1"/>
    <x v="3"/>
    <x v="2"/>
    <x v="1621"/>
    <n v="407.72"/>
    <n v="0.1012968944099379"/>
  </r>
  <r>
    <x v="160"/>
    <x v="0"/>
    <x v="0"/>
    <x v="2"/>
    <x v="6"/>
    <x v="1483"/>
    <n v="500.93"/>
    <n v="0.20733857615894041"/>
  </r>
  <r>
    <x v="3"/>
    <x v="2"/>
    <x v="2"/>
    <x v="0"/>
    <x v="1"/>
    <x v="1623"/>
    <n v="524.69000000000005"/>
    <n v="0.27658935160780185"/>
  </r>
  <r>
    <x v="812"/>
    <x v="1"/>
    <x v="1"/>
    <x v="1"/>
    <x v="0"/>
    <x v="1451"/>
    <n v="190.13"/>
    <n v="0.2263452380952381"/>
  </r>
  <r>
    <x v="270"/>
    <x v="1"/>
    <x v="1"/>
    <x v="0"/>
    <x v="6"/>
    <x v="1624"/>
    <n v="360.45"/>
    <n v="5.4613636363636364E-2"/>
  </r>
  <r>
    <x v="199"/>
    <x v="9"/>
    <x v="2"/>
    <x v="3"/>
    <x v="3"/>
    <x v="1625"/>
    <n v="342.27"/>
    <n v="0.14490685859441152"/>
  </r>
  <r>
    <x v="649"/>
    <x v="4"/>
    <x v="1"/>
    <x v="2"/>
    <x v="7"/>
    <x v="1626"/>
    <n v="577.27"/>
    <n v="0.19515551048005408"/>
  </r>
  <r>
    <x v="122"/>
    <x v="2"/>
    <x v="2"/>
    <x v="1"/>
    <x v="4"/>
    <x v="1627"/>
    <n v="56.49"/>
    <n v="0.11842767295597485"/>
  </r>
  <r>
    <x v="824"/>
    <x v="8"/>
    <x v="1"/>
    <x v="0"/>
    <x v="8"/>
    <x v="1628"/>
    <n v="84.8"/>
    <n v="9.0021231422505302E-2"/>
  </r>
  <r>
    <x v="304"/>
    <x v="3"/>
    <x v="2"/>
    <x v="1"/>
    <x v="3"/>
    <x v="1629"/>
    <n v="586.72"/>
    <n v="0.28153550863723609"/>
  </r>
  <r>
    <x v="173"/>
    <x v="2"/>
    <x v="2"/>
    <x v="3"/>
    <x v="7"/>
    <x v="1630"/>
    <n v="473.37"/>
    <n v="0.10326570680628272"/>
  </r>
  <r>
    <x v="670"/>
    <x v="0"/>
    <x v="0"/>
    <x v="1"/>
    <x v="4"/>
    <x v="1631"/>
    <n v="319.27999999999997"/>
    <n v="0.2855813953488372"/>
  </r>
  <r>
    <x v="261"/>
    <x v="1"/>
    <x v="1"/>
    <x v="0"/>
    <x v="5"/>
    <x v="1632"/>
    <n v="652.15"/>
    <n v="0.16283395755305868"/>
  </r>
  <r>
    <x v="117"/>
    <x v="5"/>
    <x v="2"/>
    <x v="1"/>
    <x v="2"/>
    <x v="1633"/>
    <n v="1293.3699999999999"/>
    <n v="0.28055748373101952"/>
  </r>
  <r>
    <x v="859"/>
    <x v="8"/>
    <x v="1"/>
    <x v="2"/>
    <x v="4"/>
    <x v="1634"/>
    <n v="86.84"/>
    <n v="0.15760435571687842"/>
  </r>
  <r>
    <x v="87"/>
    <x v="0"/>
    <x v="0"/>
    <x v="3"/>
    <x v="4"/>
    <x v="1635"/>
    <n v="19.29"/>
    <n v="0.25719999999999998"/>
  </r>
  <r>
    <x v="453"/>
    <x v="1"/>
    <x v="1"/>
    <x v="2"/>
    <x v="7"/>
    <x v="1636"/>
    <n v="1899.67"/>
    <n v="0.2888792579075426"/>
  </r>
  <r>
    <x v="99"/>
    <x v="0"/>
    <x v="0"/>
    <x v="0"/>
    <x v="7"/>
    <x v="463"/>
    <n v="1410.52"/>
    <n v="0.21929726368159203"/>
  </r>
  <r>
    <x v="358"/>
    <x v="4"/>
    <x v="1"/>
    <x v="2"/>
    <x v="1"/>
    <x v="1637"/>
    <n v="1444.27"/>
    <n v="0.18604534329511788"/>
  </r>
  <r>
    <x v="578"/>
    <x v="6"/>
    <x v="1"/>
    <x v="1"/>
    <x v="1"/>
    <x v="261"/>
    <n v="622.29"/>
    <n v="0.27780803571428569"/>
  </r>
  <r>
    <x v="41"/>
    <x v="4"/>
    <x v="1"/>
    <x v="1"/>
    <x v="7"/>
    <x v="1638"/>
    <n v="1209.8800000000001"/>
    <n v="0.2283654209135523"/>
  </r>
  <r>
    <x v="160"/>
    <x v="5"/>
    <x v="2"/>
    <x v="0"/>
    <x v="3"/>
    <x v="1005"/>
    <n v="32.270000000000003"/>
    <n v="0.27818965517241384"/>
  </r>
  <r>
    <x v="914"/>
    <x v="2"/>
    <x v="2"/>
    <x v="1"/>
    <x v="6"/>
    <x v="1639"/>
    <n v="1140.19"/>
    <n v="0.16946938168846612"/>
  </r>
  <r>
    <x v="899"/>
    <x v="6"/>
    <x v="1"/>
    <x v="0"/>
    <x v="2"/>
    <x v="1640"/>
    <n v="55.59"/>
    <n v="0.11344897959183674"/>
  </r>
  <r>
    <x v="611"/>
    <x v="6"/>
    <x v="1"/>
    <x v="0"/>
    <x v="1"/>
    <x v="1641"/>
    <n v="699.86"/>
    <n v="0.25311392405063293"/>
  </r>
  <r>
    <x v="915"/>
    <x v="7"/>
    <x v="2"/>
    <x v="3"/>
    <x v="6"/>
    <x v="1642"/>
    <n v="598.97"/>
    <n v="0.22349626865671643"/>
  </r>
  <r>
    <x v="372"/>
    <x v="3"/>
    <x v="2"/>
    <x v="1"/>
    <x v="3"/>
    <x v="1643"/>
    <n v="335.37"/>
    <n v="0.15426402943882245"/>
  </r>
  <r>
    <x v="896"/>
    <x v="6"/>
    <x v="1"/>
    <x v="0"/>
    <x v="5"/>
    <x v="1644"/>
    <n v="1258.1199999999999"/>
    <n v="0.22619920891765549"/>
  </r>
  <r>
    <x v="11"/>
    <x v="7"/>
    <x v="2"/>
    <x v="1"/>
    <x v="6"/>
    <x v="1645"/>
    <n v="2595.33"/>
    <n v="0.28185599478714163"/>
  </r>
  <r>
    <x v="557"/>
    <x v="7"/>
    <x v="2"/>
    <x v="3"/>
    <x v="0"/>
    <x v="1646"/>
    <n v="546.71"/>
    <n v="0.12116799645390072"/>
  </r>
  <r>
    <x v="117"/>
    <x v="3"/>
    <x v="2"/>
    <x v="3"/>
    <x v="5"/>
    <x v="1647"/>
    <n v="1965.96"/>
    <n v="0.24654627539503388"/>
  </r>
  <r>
    <x v="881"/>
    <x v="6"/>
    <x v="1"/>
    <x v="1"/>
    <x v="7"/>
    <x v="1648"/>
    <n v="1335.04"/>
    <n v="0.27003236245954693"/>
  </r>
  <r>
    <x v="120"/>
    <x v="0"/>
    <x v="0"/>
    <x v="2"/>
    <x v="8"/>
    <x v="1649"/>
    <n v="234.84"/>
    <n v="0.14577281191806332"/>
  </r>
  <r>
    <x v="528"/>
    <x v="5"/>
    <x v="2"/>
    <x v="3"/>
    <x v="5"/>
    <x v="1650"/>
    <n v="618.89"/>
    <n v="0.13457055881713414"/>
  </r>
  <r>
    <x v="726"/>
    <x v="9"/>
    <x v="2"/>
    <x v="1"/>
    <x v="7"/>
    <x v="233"/>
    <n v="419.3"/>
    <n v="9.5730593607305944E-2"/>
  </r>
  <r>
    <x v="836"/>
    <x v="4"/>
    <x v="1"/>
    <x v="2"/>
    <x v="3"/>
    <x v="1651"/>
    <n v="580.26"/>
    <n v="0.24421717171717172"/>
  </r>
  <r>
    <x v="564"/>
    <x v="6"/>
    <x v="1"/>
    <x v="2"/>
    <x v="5"/>
    <x v="1652"/>
    <n v="1800.9"/>
    <n v="0.27336065573770491"/>
  </r>
  <r>
    <x v="443"/>
    <x v="1"/>
    <x v="1"/>
    <x v="1"/>
    <x v="2"/>
    <x v="1653"/>
    <n v="720.08"/>
    <n v="0.19227770360480642"/>
  </r>
  <r>
    <x v="316"/>
    <x v="3"/>
    <x v="2"/>
    <x v="0"/>
    <x v="2"/>
    <x v="1654"/>
    <n v="1389.25"/>
    <n v="0.26187558906691799"/>
  </r>
  <r>
    <x v="130"/>
    <x v="2"/>
    <x v="2"/>
    <x v="0"/>
    <x v="6"/>
    <x v="960"/>
    <n v="332.12"/>
    <n v="0.20654228855721393"/>
  </r>
  <r>
    <x v="361"/>
    <x v="6"/>
    <x v="1"/>
    <x v="1"/>
    <x v="5"/>
    <x v="1655"/>
    <n v="745.81"/>
    <n v="0.14985131605384769"/>
  </r>
  <r>
    <x v="460"/>
    <x v="7"/>
    <x v="2"/>
    <x v="1"/>
    <x v="1"/>
    <x v="1656"/>
    <n v="273.97000000000003"/>
    <n v="6.0492382424376247E-2"/>
  </r>
  <r>
    <x v="404"/>
    <x v="3"/>
    <x v="2"/>
    <x v="3"/>
    <x v="1"/>
    <x v="524"/>
    <n v="319.42"/>
    <n v="6.8106609808102347E-2"/>
  </r>
  <r>
    <x v="916"/>
    <x v="8"/>
    <x v="1"/>
    <x v="1"/>
    <x v="0"/>
    <x v="1657"/>
    <n v="544.07000000000005"/>
    <n v="0.22445132013201322"/>
  </r>
  <r>
    <x v="492"/>
    <x v="8"/>
    <x v="1"/>
    <x v="0"/>
    <x v="7"/>
    <x v="1658"/>
    <n v="610.77"/>
    <n v="0.16994156928213688"/>
  </r>
  <r>
    <x v="806"/>
    <x v="8"/>
    <x v="1"/>
    <x v="0"/>
    <x v="1"/>
    <x v="1272"/>
    <n v="491.9"/>
    <n v="0.12415446744068652"/>
  </r>
  <r>
    <x v="685"/>
    <x v="3"/>
    <x v="2"/>
    <x v="1"/>
    <x v="3"/>
    <x v="1659"/>
    <n v="149.38"/>
    <n v="0.1582415254237288"/>
  </r>
  <r>
    <x v="917"/>
    <x v="5"/>
    <x v="2"/>
    <x v="3"/>
    <x v="7"/>
    <x v="146"/>
    <n v="1787.97"/>
    <n v="0.26324646643109539"/>
  </r>
  <r>
    <x v="536"/>
    <x v="2"/>
    <x v="2"/>
    <x v="0"/>
    <x v="1"/>
    <x v="1660"/>
    <n v="1383.81"/>
    <n v="0.20338183421516753"/>
  </r>
  <r>
    <x v="775"/>
    <x v="3"/>
    <x v="2"/>
    <x v="2"/>
    <x v="7"/>
    <x v="1661"/>
    <n v="98.75"/>
    <n v="0.1210171568627451"/>
  </r>
  <r>
    <x v="637"/>
    <x v="6"/>
    <x v="1"/>
    <x v="0"/>
    <x v="7"/>
    <x v="1662"/>
    <n v="544.59"/>
    <n v="9.2053752535496969E-2"/>
  </r>
  <r>
    <x v="669"/>
    <x v="1"/>
    <x v="1"/>
    <x v="2"/>
    <x v="2"/>
    <x v="1663"/>
    <n v="310.58"/>
    <n v="5.4202443280977307E-2"/>
  </r>
  <r>
    <x v="468"/>
    <x v="4"/>
    <x v="1"/>
    <x v="1"/>
    <x v="1"/>
    <x v="576"/>
    <n v="785.54"/>
    <n v="9.4780405405405402E-2"/>
  </r>
  <r>
    <x v="839"/>
    <x v="4"/>
    <x v="1"/>
    <x v="2"/>
    <x v="3"/>
    <x v="1554"/>
    <n v="394.93"/>
    <n v="0.19302541544477028"/>
  </r>
  <r>
    <x v="918"/>
    <x v="2"/>
    <x v="2"/>
    <x v="1"/>
    <x v="5"/>
    <x v="1664"/>
    <n v="1149.48"/>
    <n v="0.22847942754919501"/>
  </r>
  <r>
    <x v="149"/>
    <x v="8"/>
    <x v="1"/>
    <x v="2"/>
    <x v="5"/>
    <x v="548"/>
    <n v="417.95"/>
    <n v="0.23693310657596373"/>
  </r>
  <r>
    <x v="692"/>
    <x v="9"/>
    <x v="2"/>
    <x v="2"/>
    <x v="6"/>
    <x v="1665"/>
    <n v="486.88"/>
    <n v="0.25897872340425532"/>
  </r>
  <r>
    <x v="132"/>
    <x v="5"/>
    <x v="2"/>
    <x v="3"/>
    <x v="3"/>
    <x v="1666"/>
    <n v="10.45"/>
    <n v="5.2249999999999998E-2"/>
  </r>
  <r>
    <x v="789"/>
    <x v="1"/>
    <x v="1"/>
    <x v="1"/>
    <x v="8"/>
    <x v="196"/>
    <n v="476.77"/>
    <n v="0.17736979166666667"/>
  </r>
  <r>
    <x v="622"/>
    <x v="9"/>
    <x v="2"/>
    <x v="3"/>
    <x v="0"/>
    <x v="300"/>
    <n v="213.81"/>
    <n v="6.6483208955223888E-2"/>
  </r>
  <r>
    <x v="12"/>
    <x v="3"/>
    <x v="2"/>
    <x v="1"/>
    <x v="6"/>
    <x v="1667"/>
    <n v="1504.18"/>
    <n v="0.17822037914691943"/>
  </r>
  <r>
    <x v="395"/>
    <x v="2"/>
    <x v="2"/>
    <x v="1"/>
    <x v="1"/>
    <x v="762"/>
    <n v="208.42"/>
    <n v="0.13174462705436155"/>
  </r>
  <r>
    <x v="681"/>
    <x v="9"/>
    <x v="2"/>
    <x v="0"/>
    <x v="4"/>
    <x v="1563"/>
    <n v="10.79"/>
    <n v="0.18603448275862067"/>
  </r>
  <r>
    <x v="627"/>
    <x v="5"/>
    <x v="2"/>
    <x v="3"/>
    <x v="6"/>
    <x v="1668"/>
    <n v="163.18"/>
    <n v="0.26838815789473686"/>
  </r>
  <r>
    <x v="422"/>
    <x v="7"/>
    <x v="2"/>
    <x v="0"/>
    <x v="8"/>
    <x v="1669"/>
    <n v="41.82"/>
    <n v="0.22852459016393442"/>
  </r>
  <r>
    <x v="766"/>
    <x v="6"/>
    <x v="1"/>
    <x v="3"/>
    <x v="2"/>
    <x v="1670"/>
    <n v="744.26"/>
    <n v="0.23969726247987116"/>
  </r>
  <r>
    <x v="129"/>
    <x v="6"/>
    <x v="1"/>
    <x v="0"/>
    <x v="2"/>
    <x v="1671"/>
    <n v="485.18"/>
    <n v="0.1980326530612245"/>
  </r>
  <r>
    <x v="86"/>
    <x v="9"/>
    <x v="2"/>
    <x v="0"/>
    <x v="8"/>
    <x v="925"/>
    <n v="622.29"/>
    <n v="0.20578373015873014"/>
  </r>
  <r>
    <x v="157"/>
    <x v="0"/>
    <x v="0"/>
    <x v="1"/>
    <x v="0"/>
    <x v="1672"/>
    <n v="747.79"/>
    <n v="0.19392894190871368"/>
  </r>
  <r>
    <x v="919"/>
    <x v="8"/>
    <x v="1"/>
    <x v="3"/>
    <x v="1"/>
    <x v="1673"/>
    <n v="121.03"/>
    <n v="0.22750000000000001"/>
  </r>
  <r>
    <x v="817"/>
    <x v="7"/>
    <x v="2"/>
    <x v="2"/>
    <x v="0"/>
    <x v="1674"/>
    <n v="307.62"/>
    <n v="9.7595177664974622E-2"/>
  </r>
  <r>
    <x v="10"/>
    <x v="6"/>
    <x v="1"/>
    <x v="1"/>
    <x v="5"/>
    <x v="1205"/>
    <n v="1555.82"/>
    <n v="0.18120428604705333"/>
  </r>
  <r>
    <x v="30"/>
    <x v="6"/>
    <x v="1"/>
    <x v="2"/>
    <x v="3"/>
    <x v="1675"/>
    <n v="273.38"/>
    <n v="0.26135755258126192"/>
  </r>
  <r>
    <x v="483"/>
    <x v="2"/>
    <x v="2"/>
    <x v="3"/>
    <x v="0"/>
    <x v="1676"/>
    <n v="560.30999999999995"/>
    <n v="0.16231460023174971"/>
  </r>
  <r>
    <x v="655"/>
    <x v="6"/>
    <x v="1"/>
    <x v="3"/>
    <x v="0"/>
    <x v="1677"/>
    <n v="361.02"/>
    <n v="0.15245777027027027"/>
  </r>
  <r>
    <x v="199"/>
    <x v="3"/>
    <x v="2"/>
    <x v="2"/>
    <x v="3"/>
    <x v="664"/>
    <n v="422.25"/>
    <n v="0.21946465696465697"/>
  </r>
  <r>
    <x v="399"/>
    <x v="9"/>
    <x v="2"/>
    <x v="3"/>
    <x v="2"/>
    <x v="657"/>
    <n v="1148.06"/>
    <n v="0.25066812227074237"/>
  </r>
  <r>
    <x v="795"/>
    <x v="4"/>
    <x v="1"/>
    <x v="1"/>
    <x v="2"/>
    <x v="1678"/>
    <n v="423.94"/>
    <n v="0.11350468540829986"/>
  </r>
  <r>
    <x v="920"/>
    <x v="6"/>
    <x v="1"/>
    <x v="0"/>
    <x v="0"/>
    <x v="1679"/>
    <n v="417.16"/>
    <n v="0.16848142164781907"/>
  </r>
  <r>
    <x v="442"/>
    <x v="9"/>
    <x v="2"/>
    <x v="2"/>
    <x v="3"/>
    <x v="1680"/>
    <n v="16.510000000000002"/>
    <n v="0.10191358024691359"/>
  </r>
  <r>
    <x v="509"/>
    <x v="0"/>
    <x v="0"/>
    <x v="3"/>
    <x v="8"/>
    <x v="1533"/>
    <n v="38.03"/>
    <n v="0.14740310077519381"/>
  </r>
  <r>
    <x v="120"/>
    <x v="8"/>
    <x v="1"/>
    <x v="1"/>
    <x v="0"/>
    <x v="1681"/>
    <n v="998.29"/>
    <n v="0.28328320090805903"/>
  </r>
  <r>
    <x v="748"/>
    <x v="5"/>
    <x v="2"/>
    <x v="2"/>
    <x v="6"/>
    <x v="1682"/>
    <n v="1796.9"/>
    <n v="0.29057244501940493"/>
  </r>
  <r>
    <x v="401"/>
    <x v="6"/>
    <x v="1"/>
    <x v="3"/>
    <x v="7"/>
    <x v="1683"/>
    <n v="645.69000000000005"/>
    <n v="0.172184"/>
  </r>
  <r>
    <x v="102"/>
    <x v="1"/>
    <x v="1"/>
    <x v="2"/>
    <x v="2"/>
    <x v="314"/>
    <n v="424.64"/>
    <n v="0.28985665529010241"/>
  </r>
  <r>
    <x v="594"/>
    <x v="3"/>
    <x v="2"/>
    <x v="0"/>
    <x v="0"/>
    <x v="1407"/>
    <n v="412.05"/>
    <n v="9.1975446428571431E-2"/>
  </r>
  <r>
    <x v="544"/>
    <x v="9"/>
    <x v="2"/>
    <x v="0"/>
    <x v="6"/>
    <x v="1553"/>
    <n v="281.22000000000003"/>
    <n v="0.18213730569948189"/>
  </r>
  <r>
    <x v="184"/>
    <x v="4"/>
    <x v="1"/>
    <x v="0"/>
    <x v="5"/>
    <x v="1647"/>
    <n v="1181.04"/>
    <n v="0.14811136192626034"/>
  </r>
  <r>
    <x v="301"/>
    <x v="0"/>
    <x v="0"/>
    <x v="1"/>
    <x v="2"/>
    <x v="579"/>
    <n v="1679.15"/>
    <n v="0.28364020270270274"/>
  </r>
  <r>
    <x v="710"/>
    <x v="5"/>
    <x v="2"/>
    <x v="2"/>
    <x v="6"/>
    <x v="1684"/>
    <n v="2045.54"/>
    <n v="0.23265923566878979"/>
  </r>
  <r>
    <x v="700"/>
    <x v="5"/>
    <x v="2"/>
    <x v="1"/>
    <x v="4"/>
    <x v="499"/>
    <n v="52.37"/>
    <n v="0.17812925170068025"/>
  </r>
  <r>
    <x v="150"/>
    <x v="3"/>
    <x v="2"/>
    <x v="1"/>
    <x v="1"/>
    <x v="706"/>
    <n v="264.37"/>
    <n v="0.22615055603079556"/>
  </r>
  <r>
    <x v="921"/>
    <x v="3"/>
    <x v="2"/>
    <x v="3"/>
    <x v="6"/>
    <x v="1685"/>
    <n v="880.52"/>
    <n v="9.5376949740034661E-2"/>
  </r>
  <r>
    <x v="6"/>
    <x v="4"/>
    <x v="1"/>
    <x v="2"/>
    <x v="0"/>
    <x v="1686"/>
    <n v="135.47999999999999"/>
    <n v="9.7048710601719185E-2"/>
  </r>
  <r>
    <x v="203"/>
    <x v="3"/>
    <x v="2"/>
    <x v="0"/>
    <x v="5"/>
    <x v="254"/>
    <n v="1408.18"/>
    <n v="0.13821947389085198"/>
  </r>
  <r>
    <x v="922"/>
    <x v="6"/>
    <x v="1"/>
    <x v="3"/>
    <x v="3"/>
    <x v="1687"/>
    <n v="23.65"/>
    <n v="0.10653153153153153"/>
  </r>
  <r>
    <x v="840"/>
    <x v="6"/>
    <x v="1"/>
    <x v="3"/>
    <x v="3"/>
    <x v="1688"/>
    <n v="358.07"/>
    <n v="0.26963102409638556"/>
  </r>
  <r>
    <x v="177"/>
    <x v="0"/>
    <x v="0"/>
    <x v="1"/>
    <x v="5"/>
    <x v="1689"/>
    <n v="488.63"/>
    <n v="9.6092428711897743E-2"/>
  </r>
  <r>
    <x v="923"/>
    <x v="1"/>
    <x v="1"/>
    <x v="3"/>
    <x v="8"/>
    <x v="695"/>
    <n v="229.73"/>
    <n v="0.18452208835341366"/>
  </r>
  <r>
    <x v="480"/>
    <x v="2"/>
    <x v="2"/>
    <x v="2"/>
    <x v="3"/>
    <x v="662"/>
    <n v="124.02"/>
    <n v="0.12918749999999998"/>
  </r>
  <r>
    <x v="293"/>
    <x v="7"/>
    <x v="2"/>
    <x v="3"/>
    <x v="5"/>
    <x v="1690"/>
    <n v="329.79"/>
    <n v="5.9389519178822264E-2"/>
  </r>
  <r>
    <x v="593"/>
    <x v="8"/>
    <x v="1"/>
    <x v="0"/>
    <x v="3"/>
    <x v="1260"/>
    <n v="236.76"/>
    <n v="0.13226815642458101"/>
  </r>
  <r>
    <x v="325"/>
    <x v="8"/>
    <x v="1"/>
    <x v="3"/>
    <x v="6"/>
    <x v="1317"/>
    <n v="247.84"/>
    <n v="9.138643067846608E-2"/>
  </r>
  <r>
    <x v="274"/>
    <x v="9"/>
    <x v="2"/>
    <x v="0"/>
    <x v="4"/>
    <x v="461"/>
    <n v="89.14"/>
    <n v="0.14104430379746835"/>
  </r>
  <r>
    <x v="555"/>
    <x v="4"/>
    <x v="1"/>
    <x v="2"/>
    <x v="6"/>
    <x v="1691"/>
    <n v="520.74"/>
    <n v="0.1061867862969005"/>
  </r>
  <r>
    <x v="86"/>
    <x v="8"/>
    <x v="1"/>
    <x v="2"/>
    <x v="4"/>
    <x v="1692"/>
    <n v="58.8"/>
    <n v="0.16288088642659279"/>
  </r>
  <r>
    <x v="691"/>
    <x v="0"/>
    <x v="0"/>
    <x v="3"/>
    <x v="5"/>
    <x v="1693"/>
    <n v="841.07"/>
    <n v="0.11537311385459534"/>
  </r>
  <r>
    <x v="729"/>
    <x v="5"/>
    <x v="2"/>
    <x v="2"/>
    <x v="0"/>
    <x v="1694"/>
    <n v="181.64"/>
    <n v="8.851851851851851E-2"/>
  </r>
  <r>
    <x v="765"/>
    <x v="1"/>
    <x v="1"/>
    <x v="0"/>
    <x v="8"/>
    <x v="1695"/>
    <n v="112.85"/>
    <n v="6.1264929424538539E-2"/>
  </r>
  <r>
    <x v="216"/>
    <x v="1"/>
    <x v="1"/>
    <x v="0"/>
    <x v="5"/>
    <x v="1696"/>
    <n v="2488.69"/>
    <n v="0.23493722269423203"/>
  </r>
  <r>
    <x v="905"/>
    <x v="3"/>
    <x v="2"/>
    <x v="2"/>
    <x v="7"/>
    <x v="1616"/>
    <n v="129.36000000000001"/>
    <n v="0.10620689655172415"/>
  </r>
  <r>
    <x v="359"/>
    <x v="1"/>
    <x v="1"/>
    <x v="2"/>
    <x v="2"/>
    <x v="1071"/>
    <n v="426.41"/>
    <n v="0.1005683962264151"/>
  </r>
  <r>
    <x v="774"/>
    <x v="8"/>
    <x v="1"/>
    <x v="1"/>
    <x v="3"/>
    <x v="166"/>
    <n v="38.520000000000003"/>
    <n v="0.1704424778761062"/>
  </r>
  <r>
    <x v="219"/>
    <x v="3"/>
    <x v="2"/>
    <x v="1"/>
    <x v="7"/>
    <x v="1697"/>
    <n v="1072.8"/>
    <n v="0.20814901047729917"/>
  </r>
  <r>
    <x v="924"/>
    <x v="1"/>
    <x v="1"/>
    <x v="0"/>
    <x v="7"/>
    <x v="1698"/>
    <n v="304.88"/>
    <n v="0.24666666666666667"/>
  </r>
  <r>
    <x v="137"/>
    <x v="2"/>
    <x v="2"/>
    <x v="2"/>
    <x v="4"/>
    <x v="1699"/>
    <n v="159.41999999999999"/>
    <n v="0.13521628498727734"/>
  </r>
  <r>
    <x v="343"/>
    <x v="0"/>
    <x v="0"/>
    <x v="3"/>
    <x v="2"/>
    <x v="1700"/>
    <n v="313.5"/>
    <n v="0.1378021978021978"/>
  </r>
  <r>
    <x v="722"/>
    <x v="5"/>
    <x v="2"/>
    <x v="0"/>
    <x v="1"/>
    <x v="1701"/>
    <n v="1231.3"/>
    <n v="0.19898190045248867"/>
  </r>
  <r>
    <x v="309"/>
    <x v="4"/>
    <x v="1"/>
    <x v="3"/>
    <x v="8"/>
    <x v="1202"/>
    <n v="666.99"/>
    <n v="0.22640529531568229"/>
  </r>
  <r>
    <x v="593"/>
    <x v="4"/>
    <x v="1"/>
    <x v="2"/>
    <x v="2"/>
    <x v="1689"/>
    <n v="1172.1199999999999"/>
    <n v="0.23050540806293016"/>
  </r>
  <r>
    <x v="658"/>
    <x v="8"/>
    <x v="1"/>
    <x v="0"/>
    <x v="3"/>
    <x v="796"/>
    <n v="205.53"/>
    <n v="0.28866573033707865"/>
  </r>
  <r>
    <x v="268"/>
    <x v="5"/>
    <x v="2"/>
    <x v="1"/>
    <x v="7"/>
    <x v="1056"/>
    <n v="62.25"/>
    <n v="9.6064814814814811E-2"/>
  </r>
  <r>
    <x v="374"/>
    <x v="1"/>
    <x v="1"/>
    <x v="0"/>
    <x v="2"/>
    <x v="1702"/>
    <n v="483.2"/>
    <n v="0.17667276051188299"/>
  </r>
  <r>
    <x v="570"/>
    <x v="0"/>
    <x v="0"/>
    <x v="0"/>
    <x v="7"/>
    <x v="214"/>
    <n v="173.45"/>
    <n v="5.9604810996563569E-2"/>
  </r>
  <r>
    <x v="16"/>
    <x v="5"/>
    <x v="2"/>
    <x v="2"/>
    <x v="4"/>
    <x v="1703"/>
    <n v="69.39"/>
    <n v="0.26384030418250953"/>
  </r>
  <r>
    <x v="64"/>
    <x v="7"/>
    <x v="2"/>
    <x v="0"/>
    <x v="3"/>
    <x v="1522"/>
    <n v="66.680000000000007"/>
    <n v="7.6118721461187228E-2"/>
  </r>
  <r>
    <x v="572"/>
    <x v="1"/>
    <x v="1"/>
    <x v="3"/>
    <x v="4"/>
    <x v="1704"/>
    <n v="162.24"/>
    <n v="0.17769989047097481"/>
  </r>
  <r>
    <x v="224"/>
    <x v="9"/>
    <x v="2"/>
    <x v="2"/>
    <x v="5"/>
    <x v="323"/>
    <n v="93.92"/>
    <n v="0.15811447811447812"/>
  </r>
  <r>
    <x v="558"/>
    <x v="4"/>
    <x v="1"/>
    <x v="2"/>
    <x v="3"/>
    <x v="1705"/>
    <n v="202.14"/>
    <n v="0.21144351464435146"/>
  </r>
  <r>
    <x v="373"/>
    <x v="9"/>
    <x v="2"/>
    <x v="1"/>
    <x v="1"/>
    <x v="1706"/>
    <n v="2026.43"/>
    <n v="0.27755512943432409"/>
  </r>
  <r>
    <x v="654"/>
    <x v="4"/>
    <x v="1"/>
    <x v="2"/>
    <x v="7"/>
    <x v="1707"/>
    <n v="1628.61"/>
    <n v="0.28303962460896764"/>
  </r>
  <r>
    <x v="925"/>
    <x v="4"/>
    <x v="1"/>
    <x v="1"/>
    <x v="0"/>
    <x v="684"/>
    <n v="274.47000000000003"/>
    <n v="0.20005102040816328"/>
  </r>
  <r>
    <x v="926"/>
    <x v="4"/>
    <x v="1"/>
    <x v="0"/>
    <x v="6"/>
    <x v="1586"/>
    <n v="214.27"/>
    <n v="0.23290217391304349"/>
  </r>
  <r>
    <x v="927"/>
    <x v="7"/>
    <x v="2"/>
    <x v="0"/>
    <x v="8"/>
    <x v="1708"/>
    <n v="150.79"/>
    <n v="0.17038418079096043"/>
  </r>
  <r>
    <x v="773"/>
    <x v="3"/>
    <x v="2"/>
    <x v="0"/>
    <x v="4"/>
    <x v="193"/>
    <n v="39.409999999999997"/>
    <n v="0.10398416886543535"/>
  </r>
  <r>
    <x v="299"/>
    <x v="4"/>
    <x v="1"/>
    <x v="3"/>
    <x v="6"/>
    <x v="857"/>
    <n v="201.92"/>
    <n v="0.19718749999999999"/>
  </r>
  <r>
    <x v="28"/>
    <x v="8"/>
    <x v="1"/>
    <x v="3"/>
    <x v="0"/>
    <x v="1709"/>
    <n v="388.48"/>
    <n v="9.0092764378478671E-2"/>
  </r>
  <r>
    <x v="68"/>
    <x v="1"/>
    <x v="1"/>
    <x v="1"/>
    <x v="2"/>
    <x v="1710"/>
    <n v="540.73"/>
    <n v="0.10750099403578529"/>
  </r>
  <r>
    <x v="429"/>
    <x v="7"/>
    <x v="2"/>
    <x v="3"/>
    <x v="3"/>
    <x v="1711"/>
    <n v="315.83"/>
    <n v="0.21963143254520165"/>
  </r>
  <r>
    <x v="709"/>
    <x v="8"/>
    <x v="1"/>
    <x v="2"/>
    <x v="4"/>
    <x v="1712"/>
    <n v="108.36"/>
    <n v="0.25861575178997614"/>
  </r>
  <r>
    <x v="857"/>
    <x v="4"/>
    <x v="1"/>
    <x v="1"/>
    <x v="8"/>
    <x v="1713"/>
    <n v="935.72"/>
    <n v="0.26590508667235013"/>
  </r>
  <r>
    <x v="384"/>
    <x v="2"/>
    <x v="2"/>
    <x v="1"/>
    <x v="6"/>
    <x v="1714"/>
    <n v="451.97"/>
    <n v="0.15520947802197804"/>
  </r>
  <r>
    <x v="507"/>
    <x v="7"/>
    <x v="2"/>
    <x v="0"/>
    <x v="2"/>
    <x v="1632"/>
    <n v="226.09"/>
    <n v="5.6451935081148562E-2"/>
  </r>
  <r>
    <x v="858"/>
    <x v="5"/>
    <x v="2"/>
    <x v="2"/>
    <x v="2"/>
    <x v="1715"/>
    <n v="271.70999999999998"/>
    <n v="0.13094457831325301"/>
  </r>
  <r>
    <x v="626"/>
    <x v="9"/>
    <x v="2"/>
    <x v="2"/>
    <x v="3"/>
    <x v="601"/>
    <n v="7.74"/>
    <n v="6.4500000000000002E-2"/>
  </r>
  <r>
    <x v="518"/>
    <x v="3"/>
    <x v="2"/>
    <x v="0"/>
    <x v="0"/>
    <x v="669"/>
    <n v="32.799999999999997"/>
    <n v="5.815602836879432E-2"/>
  </r>
  <r>
    <x v="487"/>
    <x v="5"/>
    <x v="2"/>
    <x v="1"/>
    <x v="3"/>
    <x v="731"/>
    <n v="62.58"/>
    <n v="0.12876543209876543"/>
  </r>
  <r>
    <x v="269"/>
    <x v="5"/>
    <x v="2"/>
    <x v="1"/>
    <x v="3"/>
    <x v="1354"/>
    <n v="342.87"/>
    <n v="0.23042338709677421"/>
  </r>
  <r>
    <x v="144"/>
    <x v="9"/>
    <x v="2"/>
    <x v="3"/>
    <x v="7"/>
    <x v="580"/>
    <n v="277.68"/>
    <n v="8.968992248062016E-2"/>
  </r>
  <r>
    <x v="254"/>
    <x v="5"/>
    <x v="2"/>
    <x v="3"/>
    <x v="6"/>
    <x v="459"/>
    <n v="1845.07"/>
    <n v="0.28438193588162763"/>
  </r>
  <r>
    <x v="896"/>
    <x v="5"/>
    <x v="2"/>
    <x v="3"/>
    <x v="0"/>
    <x v="1716"/>
    <n v="848.44"/>
    <n v="0.19804855275443511"/>
  </r>
  <r>
    <x v="782"/>
    <x v="5"/>
    <x v="2"/>
    <x v="0"/>
    <x v="6"/>
    <x v="1717"/>
    <n v="110.81"/>
    <n v="5.9447424892703861E-2"/>
  </r>
  <r>
    <x v="111"/>
    <x v="3"/>
    <x v="2"/>
    <x v="3"/>
    <x v="2"/>
    <x v="118"/>
    <n v="954.12"/>
    <n v="0.21513416009019165"/>
  </r>
  <r>
    <x v="141"/>
    <x v="3"/>
    <x v="2"/>
    <x v="1"/>
    <x v="0"/>
    <x v="598"/>
    <n v="460.98"/>
    <n v="0.13986043689320388"/>
  </r>
  <r>
    <x v="345"/>
    <x v="1"/>
    <x v="1"/>
    <x v="1"/>
    <x v="8"/>
    <x v="1718"/>
    <n v="217.92"/>
    <n v="0.27938461538461534"/>
  </r>
  <r>
    <x v="928"/>
    <x v="5"/>
    <x v="2"/>
    <x v="1"/>
    <x v="1"/>
    <x v="1719"/>
    <n v="962.61"/>
    <n v="0.21897406733393995"/>
  </r>
  <r>
    <x v="772"/>
    <x v="8"/>
    <x v="1"/>
    <x v="2"/>
    <x v="7"/>
    <x v="1720"/>
    <n v="202.68"/>
    <n v="0.14881057268722467"/>
  </r>
  <r>
    <x v="555"/>
    <x v="1"/>
    <x v="1"/>
    <x v="1"/>
    <x v="1"/>
    <x v="1721"/>
    <n v="378.03"/>
    <n v="9.8368462138953935E-2"/>
  </r>
  <r>
    <x v="693"/>
    <x v="0"/>
    <x v="0"/>
    <x v="1"/>
    <x v="3"/>
    <x v="1016"/>
    <n v="450.24"/>
    <n v="0.21646153846153846"/>
  </r>
  <r>
    <x v="709"/>
    <x v="1"/>
    <x v="1"/>
    <x v="2"/>
    <x v="2"/>
    <x v="957"/>
    <n v="201.45"/>
    <n v="0.1664876033057851"/>
  </r>
  <r>
    <x v="886"/>
    <x v="0"/>
    <x v="0"/>
    <x v="3"/>
    <x v="8"/>
    <x v="1722"/>
    <n v="356.5"/>
    <n v="0.15392918825561314"/>
  </r>
  <r>
    <x v="21"/>
    <x v="6"/>
    <x v="1"/>
    <x v="3"/>
    <x v="7"/>
    <x v="583"/>
    <n v="614.22"/>
    <n v="0.18247771836007132"/>
  </r>
  <r>
    <x v="648"/>
    <x v="2"/>
    <x v="2"/>
    <x v="3"/>
    <x v="5"/>
    <x v="1723"/>
    <n v="1075.51"/>
    <n v="0.16528507760872907"/>
  </r>
  <r>
    <x v="146"/>
    <x v="1"/>
    <x v="1"/>
    <x v="2"/>
    <x v="4"/>
    <x v="245"/>
    <n v="35.36"/>
    <n v="9.2083333333333336E-2"/>
  </r>
  <r>
    <x v="443"/>
    <x v="9"/>
    <x v="2"/>
    <x v="2"/>
    <x v="2"/>
    <x v="417"/>
    <n v="563.95000000000005"/>
    <n v="0.15557241379310346"/>
  </r>
  <r>
    <x v="91"/>
    <x v="2"/>
    <x v="2"/>
    <x v="2"/>
    <x v="4"/>
    <x v="1724"/>
    <n v="45.16"/>
    <n v="0.11289999999999999"/>
  </r>
  <r>
    <x v="752"/>
    <x v="6"/>
    <x v="1"/>
    <x v="0"/>
    <x v="2"/>
    <x v="1725"/>
    <n v="209.58"/>
    <n v="7.277083333333334E-2"/>
  </r>
  <r>
    <x v="470"/>
    <x v="0"/>
    <x v="0"/>
    <x v="3"/>
    <x v="7"/>
    <x v="960"/>
    <n v="302.32"/>
    <n v="0.18800995024875622"/>
  </r>
  <r>
    <x v="929"/>
    <x v="4"/>
    <x v="1"/>
    <x v="2"/>
    <x v="3"/>
    <x v="1726"/>
    <n v="196.84"/>
    <n v="0.12505717916137229"/>
  </r>
  <r>
    <x v="602"/>
    <x v="8"/>
    <x v="1"/>
    <x v="1"/>
    <x v="8"/>
    <x v="773"/>
    <n v="584.37"/>
    <n v="0.23582324455205811"/>
  </r>
  <r>
    <x v="775"/>
    <x v="4"/>
    <x v="1"/>
    <x v="1"/>
    <x v="6"/>
    <x v="1727"/>
    <n v="1486.58"/>
    <n v="0.16755861136158701"/>
  </r>
  <r>
    <x v="153"/>
    <x v="0"/>
    <x v="0"/>
    <x v="1"/>
    <x v="6"/>
    <x v="1728"/>
    <n v="668.63"/>
    <n v="0.28820258620689654"/>
  </r>
  <r>
    <x v="587"/>
    <x v="4"/>
    <x v="1"/>
    <x v="3"/>
    <x v="8"/>
    <x v="1729"/>
    <n v="9.02"/>
    <n v="5.2748538011695906E-2"/>
  </r>
  <r>
    <x v="211"/>
    <x v="8"/>
    <x v="1"/>
    <x v="2"/>
    <x v="6"/>
    <x v="996"/>
    <n v="627.13"/>
    <n v="0.13825617283950617"/>
  </r>
  <r>
    <x v="83"/>
    <x v="4"/>
    <x v="1"/>
    <x v="2"/>
    <x v="8"/>
    <x v="501"/>
    <n v="73.28"/>
    <n v="5.6024464831804281E-2"/>
  </r>
  <r>
    <x v="930"/>
    <x v="9"/>
    <x v="2"/>
    <x v="0"/>
    <x v="0"/>
    <x v="1089"/>
    <n v="641.23"/>
    <n v="0.15840662055335969"/>
  </r>
  <r>
    <x v="282"/>
    <x v="2"/>
    <x v="2"/>
    <x v="1"/>
    <x v="5"/>
    <x v="1730"/>
    <n v="963.58"/>
    <n v="0.23845087849542193"/>
  </r>
  <r>
    <x v="342"/>
    <x v="4"/>
    <x v="1"/>
    <x v="2"/>
    <x v="2"/>
    <x v="1731"/>
    <n v="332.46"/>
    <n v="5.8686672550750218E-2"/>
  </r>
  <r>
    <x v="639"/>
    <x v="1"/>
    <x v="1"/>
    <x v="2"/>
    <x v="7"/>
    <x v="1732"/>
    <n v="1029.92"/>
    <n v="0.14978475858057011"/>
  </r>
  <r>
    <x v="885"/>
    <x v="6"/>
    <x v="1"/>
    <x v="2"/>
    <x v="4"/>
    <x v="1733"/>
    <n v="145.37"/>
    <n v="0.23560777957860615"/>
  </r>
  <r>
    <x v="481"/>
    <x v="6"/>
    <x v="1"/>
    <x v="2"/>
    <x v="7"/>
    <x v="313"/>
    <n v="130.4"/>
    <n v="9.0555555555555556E-2"/>
  </r>
  <r>
    <x v="57"/>
    <x v="5"/>
    <x v="2"/>
    <x v="1"/>
    <x v="6"/>
    <x v="1734"/>
    <n v="116.36"/>
    <n v="0.24652542372881356"/>
  </r>
  <r>
    <x v="308"/>
    <x v="9"/>
    <x v="2"/>
    <x v="0"/>
    <x v="2"/>
    <x v="1347"/>
    <n v="1227.77"/>
    <n v="0.21768971631205675"/>
  </r>
  <r>
    <x v="931"/>
    <x v="4"/>
    <x v="1"/>
    <x v="3"/>
    <x v="7"/>
    <x v="116"/>
    <n v="668.12"/>
    <n v="0.25307575757575757"/>
  </r>
  <r>
    <x v="164"/>
    <x v="7"/>
    <x v="2"/>
    <x v="2"/>
    <x v="8"/>
    <x v="1735"/>
    <n v="72.67"/>
    <n v="9.4622395833333331E-2"/>
  </r>
  <r>
    <x v="932"/>
    <x v="8"/>
    <x v="1"/>
    <x v="2"/>
    <x v="4"/>
    <x v="1736"/>
    <n v="81.96"/>
    <n v="0.11304827586206896"/>
  </r>
  <r>
    <x v="74"/>
    <x v="4"/>
    <x v="1"/>
    <x v="0"/>
    <x v="6"/>
    <x v="610"/>
    <n v="210.69"/>
    <n v="0.19508333333333333"/>
  </r>
  <r>
    <x v="421"/>
    <x v="4"/>
    <x v="1"/>
    <x v="2"/>
    <x v="4"/>
    <x v="1737"/>
    <n v="40.340000000000003"/>
    <n v="0.10264631043256998"/>
  </r>
  <r>
    <x v="525"/>
    <x v="5"/>
    <x v="2"/>
    <x v="0"/>
    <x v="0"/>
    <x v="1106"/>
    <n v="371.92"/>
    <n v="0.29424050632911392"/>
  </r>
  <r>
    <x v="52"/>
    <x v="4"/>
    <x v="1"/>
    <x v="2"/>
    <x v="5"/>
    <x v="1738"/>
    <n v="1193.95"/>
    <n v="0.24889514279758182"/>
  </r>
  <r>
    <x v="743"/>
    <x v="2"/>
    <x v="2"/>
    <x v="1"/>
    <x v="6"/>
    <x v="1016"/>
    <n v="151.13999999999999"/>
    <n v="7.2663461538461538E-2"/>
  </r>
  <r>
    <x v="93"/>
    <x v="3"/>
    <x v="2"/>
    <x v="3"/>
    <x v="0"/>
    <x v="1739"/>
    <n v="312.8"/>
    <n v="8.2056663168940197E-2"/>
  </r>
  <r>
    <x v="400"/>
    <x v="1"/>
    <x v="1"/>
    <x v="3"/>
    <x v="2"/>
    <x v="1740"/>
    <n v="463.57"/>
    <n v="0.12545872801082544"/>
  </r>
  <r>
    <x v="429"/>
    <x v="1"/>
    <x v="1"/>
    <x v="2"/>
    <x v="4"/>
    <x v="1741"/>
    <n v="344.22"/>
    <n v="0.29699741156169113"/>
  </r>
  <r>
    <x v="933"/>
    <x v="2"/>
    <x v="2"/>
    <x v="3"/>
    <x v="5"/>
    <x v="1742"/>
    <n v="605.52"/>
    <n v="0.14594360086767896"/>
  </r>
  <r>
    <x v="64"/>
    <x v="8"/>
    <x v="1"/>
    <x v="1"/>
    <x v="3"/>
    <x v="741"/>
    <n v="171.73"/>
    <n v="0.11876210235131396"/>
  </r>
  <r>
    <x v="751"/>
    <x v="9"/>
    <x v="2"/>
    <x v="2"/>
    <x v="4"/>
    <x v="424"/>
    <n v="48.82"/>
    <n v="0.21697777777777777"/>
  </r>
  <r>
    <x v="677"/>
    <x v="4"/>
    <x v="1"/>
    <x v="2"/>
    <x v="4"/>
    <x v="1743"/>
    <n v="26.8"/>
    <n v="7.5492957746478878E-2"/>
  </r>
  <r>
    <x v="124"/>
    <x v="2"/>
    <x v="2"/>
    <x v="3"/>
    <x v="1"/>
    <x v="1744"/>
    <n v="166.4"/>
    <n v="5.2591656131479141E-2"/>
  </r>
  <r>
    <x v="934"/>
    <x v="5"/>
    <x v="2"/>
    <x v="1"/>
    <x v="4"/>
    <x v="1323"/>
    <n v="38.67"/>
    <n v="7.7650602409638558E-2"/>
  </r>
  <r>
    <x v="869"/>
    <x v="4"/>
    <x v="1"/>
    <x v="2"/>
    <x v="2"/>
    <x v="1745"/>
    <n v="217.79"/>
    <n v="0.16561977186311785"/>
  </r>
  <r>
    <x v="602"/>
    <x v="4"/>
    <x v="1"/>
    <x v="0"/>
    <x v="2"/>
    <x v="1219"/>
    <n v="438.89"/>
    <n v="0.15646702317290553"/>
  </r>
  <r>
    <x v="506"/>
    <x v="6"/>
    <x v="1"/>
    <x v="1"/>
    <x v="2"/>
    <x v="1746"/>
    <n v="726.62"/>
    <n v="0.14027413127413127"/>
  </r>
  <r>
    <x v="935"/>
    <x v="3"/>
    <x v="2"/>
    <x v="0"/>
    <x v="2"/>
    <x v="1747"/>
    <n v="203.35"/>
    <n v="5.027194066749073E-2"/>
  </r>
  <r>
    <x v="936"/>
    <x v="9"/>
    <x v="2"/>
    <x v="0"/>
    <x v="5"/>
    <x v="1040"/>
    <n v="2262.4299999999998"/>
    <n v="0.25729898783122934"/>
  </r>
  <r>
    <x v="145"/>
    <x v="4"/>
    <x v="1"/>
    <x v="2"/>
    <x v="6"/>
    <x v="1234"/>
    <n v="526.38"/>
    <n v="0.20307870370370371"/>
  </r>
  <r>
    <x v="89"/>
    <x v="8"/>
    <x v="1"/>
    <x v="1"/>
    <x v="1"/>
    <x v="1748"/>
    <n v="1708.84"/>
    <n v="0.21854968666069829"/>
  </r>
  <r>
    <x v="325"/>
    <x v="5"/>
    <x v="2"/>
    <x v="0"/>
    <x v="1"/>
    <x v="1749"/>
    <n v="325.35000000000002"/>
    <n v="0.11145940390544708"/>
  </r>
  <r>
    <x v="937"/>
    <x v="0"/>
    <x v="0"/>
    <x v="2"/>
    <x v="8"/>
    <x v="1735"/>
    <n v="85.37"/>
    <n v="0.11115885416666667"/>
  </r>
  <r>
    <x v="938"/>
    <x v="7"/>
    <x v="2"/>
    <x v="3"/>
    <x v="3"/>
    <x v="1750"/>
    <n v="388.09"/>
    <n v="0.22355414746543778"/>
  </r>
  <r>
    <x v="21"/>
    <x v="5"/>
    <x v="2"/>
    <x v="2"/>
    <x v="1"/>
    <x v="438"/>
    <n v="389.22"/>
    <n v="6.1849674241220405E-2"/>
  </r>
  <r>
    <x v="726"/>
    <x v="4"/>
    <x v="1"/>
    <x v="2"/>
    <x v="7"/>
    <x v="1340"/>
    <n v="477.02"/>
    <n v="0.12948425624321389"/>
  </r>
  <r>
    <x v="413"/>
    <x v="0"/>
    <x v="0"/>
    <x v="2"/>
    <x v="5"/>
    <x v="1751"/>
    <n v="1064.6500000000001"/>
    <n v="0.1271983273596177"/>
  </r>
  <r>
    <x v="354"/>
    <x v="8"/>
    <x v="1"/>
    <x v="2"/>
    <x v="0"/>
    <x v="1752"/>
    <n v="875.54"/>
    <n v="0.23113516367476239"/>
  </r>
  <r>
    <x v="858"/>
    <x v="9"/>
    <x v="2"/>
    <x v="3"/>
    <x v="6"/>
    <x v="1753"/>
    <n v="1884.18"/>
    <n v="0.22711909353905496"/>
  </r>
  <r>
    <x v="645"/>
    <x v="2"/>
    <x v="2"/>
    <x v="3"/>
    <x v="2"/>
    <x v="661"/>
    <n v="21.01"/>
    <n v="6.4646153846153853E-2"/>
  </r>
  <r>
    <x v="797"/>
    <x v="3"/>
    <x v="2"/>
    <x v="0"/>
    <x v="3"/>
    <x v="1415"/>
    <n v="444.36"/>
    <n v="0.20052346570397112"/>
  </r>
  <r>
    <x v="429"/>
    <x v="9"/>
    <x v="2"/>
    <x v="0"/>
    <x v="6"/>
    <x v="1032"/>
    <n v="1873.02"/>
    <n v="0.26515005662514157"/>
  </r>
  <r>
    <x v="145"/>
    <x v="1"/>
    <x v="1"/>
    <x v="1"/>
    <x v="5"/>
    <x v="1754"/>
    <n v="575.41"/>
    <n v="0.22671788810086682"/>
  </r>
  <r>
    <x v="732"/>
    <x v="4"/>
    <x v="1"/>
    <x v="0"/>
    <x v="4"/>
    <x v="1755"/>
    <n v="77.22"/>
    <n v="6.708948740225891E-2"/>
  </r>
  <r>
    <x v="842"/>
    <x v="8"/>
    <x v="1"/>
    <x v="1"/>
    <x v="4"/>
    <x v="1756"/>
    <n v="137.27000000000001"/>
    <n v="0.19145048814504884"/>
  </r>
  <r>
    <x v="187"/>
    <x v="5"/>
    <x v="2"/>
    <x v="1"/>
    <x v="6"/>
    <x v="849"/>
    <n v="444.3"/>
    <n v="0.14576771653543308"/>
  </r>
  <r>
    <x v="674"/>
    <x v="8"/>
    <x v="1"/>
    <x v="2"/>
    <x v="8"/>
    <x v="1014"/>
    <n v="163.22999999999999"/>
    <n v="7.8855072463768106E-2"/>
  </r>
  <r>
    <x v="939"/>
    <x v="3"/>
    <x v="2"/>
    <x v="1"/>
    <x v="2"/>
    <x v="1757"/>
    <n v="537.92999999999995"/>
    <n v="0.14819008264462807"/>
  </r>
  <r>
    <x v="110"/>
    <x v="2"/>
    <x v="2"/>
    <x v="1"/>
    <x v="1"/>
    <x v="1758"/>
    <n v="219.98"/>
    <n v="0.24551339285714285"/>
  </r>
  <r>
    <x v="544"/>
    <x v="2"/>
    <x v="2"/>
    <x v="1"/>
    <x v="1"/>
    <x v="1759"/>
    <n v="311.44"/>
    <n v="0.15721352852094903"/>
  </r>
  <r>
    <x v="940"/>
    <x v="4"/>
    <x v="1"/>
    <x v="3"/>
    <x v="7"/>
    <x v="1760"/>
    <n v="605.22"/>
    <n v="8.476470588235295E-2"/>
  </r>
  <r>
    <x v="129"/>
    <x v="6"/>
    <x v="1"/>
    <x v="0"/>
    <x v="2"/>
    <x v="1761"/>
    <n v="85.06"/>
    <n v="8.3802955665024631E-2"/>
  </r>
  <r>
    <x v="518"/>
    <x v="4"/>
    <x v="1"/>
    <x v="0"/>
    <x v="0"/>
    <x v="5"/>
    <n v="52.31"/>
    <n v="9.9828244274809158E-2"/>
  </r>
  <r>
    <x v="431"/>
    <x v="5"/>
    <x v="2"/>
    <x v="0"/>
    <x v="3"/>
    <x v="1762"/>
    <n v="372.78"/>
    <n v="0.22215733015494635"/>
  </r>
  <r>
    <x v="251"/>
    <x v="2"/>
    <x v="2"/>
    <x v="2"/>
    <x v="0"/>
    <x v="1763"/>
    <n v="969.76"/>
    <n v="0.29747239263803682"/>
  </r>
  <r>
    <x v="941"/>
    <x v="4"/>
    <x v="1"/>
    <x v="2"/>
    <x v="2"/>
    <x v="1525"/>
    <n v="214.31"/>
    <n v="0.29765277777777777"/>
  </r>
  <r>
    <x v="28"/>
    <x v="0"/>
    <x v="0"/>
    <x v="3"/>
    <x v="0"/>
    <x v="1764"/>
    <n v="417.99"/>
    <n v="0.23325334821428573"/>
  </r>
  <r>
    <x v="316"/>
    <x v="2"/>
    <x v="2"/>
    <x v="2"/>
    <x v="5"/>
    <x v="580"/>
    <n v="505.08"/>
    <n v="0.16313953488372093"/>
  </r>
  <r>
    <x v="942"/>
    <x v="8"/>
    <x v="1"/>
    <x v="2"/>
    <x v="2"/>
    <x v="22"/>
    <n v="273.39"/>
    <n v="0.19527857142857141"/>
  </r>
  <r>
    <x v="43"/>
    <x v="5"/>
    <x v="2"/>
    <x v="0"/>
    <x v="0"/>
    <x v="299"/>
    <n v="37.94"/>
    <n v="7.468503937007874E-2"/>
  </r>
  <r>
    <x v="615"/>
    <x v="2"/>
    <x v="2"/>
    <x v="1"/>
    <x v="1"/>
    <x v="1765"/>
    <n v="380.83"/>
    <n v="0.14392668178382464"/>
  </r>
  <r>
    <x v="588"/>
    <x v="1"/>
    <x v="1"/>
    <x v="1"/>
    <x v="4"/>
    <x v="1079"/>
    <n v="79.86"/>
    <n v="0.22369747899159664"/>
  </r>
  <r>
    <x v="55"/>
    <x v="2"/>
    <x v="2"/>
    <x v="0"/>
    <x v="4"/>
    <x v="1195"/>
    <n v="53.15"/>
    <n v="0.14249329758713136"/>
  </r>
  <r>
    <x v="650"/>
    <x v="7"/>
    <x v="2"/>
    <x v="1"/>
    <x v="4"/>
    <x v="1055"/>
    <n v="55.52"/>
    <n v="0.2087218045112782"/>
  </r>
  <r>
    <x v="943"/>
    <x v="7"/>
    <x v="2"/>
    <x v="0"/>
    <x v="0"/>
    <x v="976"/>
    <n v="25.7"/>
    <n v="7.4709302325581387E-2"/>
  </r>
  <r>
    <x v="373"/>
    <x v="7"/>
    <x v="2"/>
    <x v="0"/>
    <x v="1"/>
    <x v="1766"/>
    <n v="308.92"/>
    <n v="0.17105204872646734"/>
  </r>
  <r>
    <x v="563"/>
    <x v="0"/>
    <x v="0"/>
    <x v="0"/>
    <x v="5"/>
    <x v="1767"/>
    <n v="396.28"/>
    <n v="5.4426589754154646E-2"/>
  </r>
  <r>
    <x v="168"/>
    <x v="5"/>
    <x v="2"/>
    <x v="3"/>
    <x v="1"/>
    <x v="1768"/>
    <n v="463.72"/>
    <n v="0.14987718164188754"/>
  </r>
  <r>
    <x v="59"/>
    <x v="8"/>
    <x v="1"/>
    <x v="1"/>
    <x v="3"/>
    <x v="1769"/>
    <n v="67.37"/>
    <n v="0.26734126984126988"/>
  </r>
  <r>
    <x v="944"/>
    <x v="3"/>
    <x v="2"/>
    <x v="1"/>
    <x v="5"/>
    <x v="1770"/>
    <n v="761.16"/>
    <n v="0.28285395763656634"/>
  </r>
  <r>
    <x v="395"/>
    <x v="0"/>
    <x v="0"/>
    <x v="3"/>
    <x v="7"/>
    <x v="1771"/>
    <n v="102.83"/>
    <n v="0.10386868686868686"/>
  </r>
  <r>
    <x v="918"/>
    <x v="5"/>
    <x v="2"/>
    <x v="2"/>
    <x v="0"/>
    <x v="1772"/>
    <n v="655.17999999999995"/>
    <n v="0.20246600741656365"/>
  </r>
  <r>
    <x v="944"/>
    <x v="9"/>
    <x v="2"/>
    <x v="1"/>
    <x v="0"/>
    <x v="1773"/>
    <n v="124.56"/>
    <n v="0.11576208178438661"/>
  </r>
  <r>
    <x v="612"/>
    <x v="2"/>
    <x v="2"/>
    <x v="0"/>
    <x v="0"/>
    <x v="1382"/>
    <n v="160.54"/>
    <n v="0.11242296918767507"/>
  </r>
  <r>
    <x v="802"/>
    <x v="8"/>
    <x v="1"/>
    <x v="1"/>
    <x v="2"/>
    <x v="1774"/>
    <n v="292.04000000000002"/>
    <n v="0.29204000000000002"/>
  </r>
  <r>
    <x v="42"/>
    <x v="5"/>
    <x v="2"/>
    <x v="2"/>
    <x v="5"/>
    <x v="1775"/>
    <n v="998.82"/>
    <n v="0.29128608923884514"/>
  </r>
  <r>
    <x v="391"/>
    <x v="6"/>
    <x v="1"/>
    <x v="3"/>
    <x v="2"/>
    <x v="63"/>
    <n v="1416.1"/>
    <n v="0.29938689217758985"/>
  </r>
  <r>
    <x v="609"/>
    <x v="6"/>
    <x v="1"/>
    <x v="2"/>
    <x v="7"/>
    <x v="1776"/>
    <n v="512.6"/>
    <n v="7.731523378582203E-2"/>
  </r>
  <r>
    <x v="9"/>
    <x v="3"/>
    <x v="2"/>
    <x v="2"/>
    <x v="1"/>
    <x v="348"/>
    <n v="138.93"/>
    <n v="6.0509581881533103E-2"/>
  </r>
  <r>
    <x v="945"/>
    <x v="6"/>
    <x v="1"/>
    <x v="1"/>
    <x v="1"/>
    <x v="1777"/>
    <n v="1107.31"/>
    <n v="0.14923315363881401"/>
  </r>
  <r>
    <x v="472"/>
    <x v="0"/>
    <x v="0"/>
    <x v="2"/>
    <x v="1"/>
    <x v="1778"/>
    <n v="531.5"/>
    <n v="0.22733105218135158"/>
  </r>
  <r>
    <x v="165"/>
    <x v="8"/>
    <x v="1"/>
    <x v="2"/>
    <x v="1"/>
    <x v="1779"/>
    <n v="420.29"/>
    <n v="0.10405793513245853"/>
  </r>
  <r>
    <x v="130"/>
    <x v="9"/>
    <x v="2"/>
    <x v="1"/>
    <x v="3"/>
    <x v="1771"/>
    <n v="76.87"/>
    <n v="7.7646464646464658E-2"/>
  </r>
  <r>
    <x v="613"/>
    <x v="9"/>
    <x v="2"/>
    <x v="3"/>
    <x v="4"/>
    <x v="1780"/>
    <n v="54.11"/>
    <n v="7.3819918144611182E-2"/>
  </r>
  <r>
    <x v="450"/>
    <x v="7"/>
    <x v="2"/>
    <x v="1"/>
    <x v="8"/>
    <x v="1781"/>
    <n v="334.61"/>
    <n v="0.13821148285832302"/>
  </r>
  <r>
    <x v="685"/>
    <x v="8"/>
    <x v="1"/>
    <x v="1"/>
    <x v="6"/>
    <x v="1782"/>
    <n v="214.81"/>
    <n v="0.25818509615384616"/>
  </r>
  <r>
    <x v="728"/>
    <x v="5"/>
    <x v="2"/>
    <x v="1"/>
    <x v="4"/>
    <x v="1783"/>
    <n v="98.15"/>
    <n v="0.20320910973084888"/>
  </r>
  <r>
    <x v="946"/>
    <x v="8"/>
    <x v="1"/>
    <x v="0"/>
    <x v="7"/>
    <x v="1210"/>
    <n v="480.48"/>
    <n v="0.19157894736842107"/>
  </r>
  <r>
    <x v="487"/>
    <x v="8"/>
    <x v="1"/>
    <x v="0"/>
    <x v="1"/>
    <x v="1113"/>
    <n v="426.13"/>
    <n v="0.10568700396825396"/>
  </r>
  <r>
    <x v="102"/>
    <x v="8"/>
    <x v="1"/>
    <x v="1"/>
    <x v="6"/>
    <x v="1784"/>
    <n v="840.97"/>
    <n v="0.26214775561097259"/>
  </r>
  <r>
    <x v="870"/>
    <x v="5"/>
    <x v="2"/>
    <x v="2"/>
    <x v="7"/>
    <x v="608"/>
    <n v="857.61"/>
    <n v="0.25208994708994709"/>
  </r>
  <r>
    <x v="486"/>
    <x v="4"/>
    <x v="1"/>
    <x v="0"/>
    <x v="4"/>
    <x v="1785"/>
    <n v="52.5"/>
    <n v="9.7042513863216259E-2"/>
  </r>
  <r>
    <x v="89"/>
    <x v="5"/>
    <x v="2"/>
    <x v="3"/>
    <x v="1"/>
    <x v="1766"/>
    <n v="129.6"/>
    <n v="7.1760797342192692E-2"/>
  </r>
  <r>
    <x v="444"/>
    <x v="4"/>
    <x v="1"/>
    <x v="2"/>
    <x v="8"/>
    <x v="1786"/>
    <n v="515.28"/>
    <n v="0.21178791615289766"/>
  </r>
  <r>
    <x v="396"/>
    <x v="8"/>
    <x v="1"/>
    <x v="1"/>
    <x v="7"/>
    <x v="50"/>
    <n v="454.19"/>
    <n v="7.724319727891156E-2"/>
  </r>
  <r>
    <x v="947"/>
    <x v="1"/>
    <x v="1"/>
    <x v="3"/>
    <x v="8"/>
    <x v="1787"/>
    <n v="451.5"/>
    <n v="0.13377777777777777"/>
  </r>
  <r>
    <x v="410"/>
    <x v="2"/>
    <x v="2"/>
    <x v="0"/>
    <x v="6"/>
    <x v="1788"/>
    <n v="1913.58"/>
    <n v="0.27493965517241375"/>
  </r>
  <r>
    <x v="933"/>
    <x v="8"/>
    <x v="1"/>
    <x v="3"/>
    <x v="0"/>
    <x v="710"/>
    <n v="32.79"/>
    <n v="0.10376582278481013"/>
  </r>
  <r>
    <x v="645"/>
    <x v="2"/>
    <x v="2"/>
    <x v="0"/>
    <x v="5"/>
    <x v="737"/>
    <n v="89.43"/>
    <n v="6.3696581196581198E-2"/>
  </r>
  <r>
    <x v="729"/>
    <x v="8"/>
    <x v="1"/>
    <x v="0"/>
    <x v="5"/>
    <x v="1789"/>
    <n v="478.22"/>
    <n v="8.2126051863300714E-2"/>
  </r>
  <r>
    <x v="948"/>
    <x v="4"/>
    <x v="1"/>
    <x v="2"/>
    <x v="7"/>
    <x v="1175"/>
    <n v="719.15"/>
    <n v="0.25775985663082435"/>
  </r>
  <r>
    <x v="678"/>
    <x v="2"/>
    <x v="2"/>
    <x v="3"/>
    <x v="1"/>
    <x v="706"/>
    <n v="69.41"/>
    <n v="5.9375534644995717E-2"/>
  </r>
  <r>
    <x v="845"/>
    <x v="0"/>
    <x v="0"/>
    <x v="1"/>
    <x v="6"/>
    <x v="1255"/>
    <n v="406.13"/>
    <n v="6.7508311170212762E-2"/>
  </r>
  <r>
    <x v="591"/>
    <x v="5"/>
    <x v="2"/>
    <x v="0"/>
    <x v="1"/>
    <x v="1790"/>
    <n v="1177.51"/>
    <n v="0.16459463237349733"/>
  </r>
  <r>
    <x v="778"/>
    <x v="8"/>
    <x v="1"/>
    <x v="3"/>
    <x v="3"/>
    <x v="1791"/>
    <n v="102.74"/>
    <n v="0.27767567567567564"/>
  </r>
  <r>
    <x v="3"/>
    <x v="6"/>
    <x v="1"/>
    <x v="3"/>
    <x v="4"/>
    <x v="1568"/>
    <n v="113.57"/>
    <n v="0.26411627906976742"/>
  </r>
  <r>
    <x v="503"/>
    <x v="5"/>
    <x v="2"/>
    <x v="3"/>
    <x v="4"/>
    <x v="1792"/>
    <n v="280.52999999999997"/>
    <n v="0.29654334038054964"/>
  </r>
  <r>
    <x v="229"/>
    <x v="2"/>
    <x v="2"/>
    <x v="2"/>
    <x v="6"/>
    <x v="1253"/>
    <n v="73.84"/>
    <n v="7.5040650406504067E-2"/>
  </r>
  <r>
    <x v="818"/>
    <x v="8"/>
    <x v="1"/>
    <x v="1"/>
    <x v="5"/>
    <x v="1793"/>
    <n v="372.17"/>
    <n v="0.25369461486025902"/>
  </r>
  <r>
    <x v="173"/>
    <x v="7"/>
    <x v="2"/>
    <x v="2"/>
    <x v="0"/>
    <x v="1794"/>
    <n v="155.41999999999999"/>
    <n v="6.3592471358428798E-2"/>
  </r>
  <r>
    <x v="949"/>
    <x v="1"/>
    <x v="1"/>
    <x v="0"/>
    <x v="5"/>
    <x v="1795"/>
    <n v="1254.3"/>
    <n v="0.1451736111111111"/>
  </r>
  <r>
    <x v="466"/>
    <x v="5"/>
    <x v="2"/>
    <x v="3"/>
    <x v="5"/>
    <x v="1796"/>
    <n v="536.04"/>
    <n v="0.13883449883449883"/>
  </r>
  <r>
    <x v="798"/>
    <x v="8"/>
    <x v="1"/>
    <x v="0"/>
    <x v="4"/>
    <x v="1797"/>
    <n v="60.12"/>
    <n v="6.9262672811059911E-2"/>
  </r>
  <r>
    <x v="327"/>
    <x v="9"/>
    <x v="2"/>
    <x v="2"/>
    <x v="5"/>
    <x v="1798"/>
    <n v="260.5"/>
    <n v="0.14919816723940435"/>
  </r>
  <r>
    <x v="315"/>
    <x v="0"/>
    <x v="0"/>
    <x v="2"/>
    <x v="4"/>
    <x v="1799"/>
    <n v="129.08000000000001"/>
    <n v="0.14107103825136613"/>
  </r>
  <r>
    <x v="767"/>
    <x v="5"/>
    <x v="2"/>
    <x v="1"/>
    <x v="5"/>
    <x v="288"/>
    <n v="423"/>
    <n v="0.11779448621553884"/>
  </r>
  <r>
    <x v="438"/>
    <x v="3"/>
    <x v="2"/>
    <x v="1"/>
    <x v="7"/>
    <x v="744"/>
    <n v="612.36"/>
    <n v="0.23901639344262296"/>
  </r>
  <r>
    <x v="380"/>
    <x v="5"/>
    <x v="2"/>
    <x v="3"/>
    <x v="5"/>
    <x v="1800"/>
    <n v="1037.04"/>
    <n v="0.19268673355629876"/>
  </r>
  <r>
    <x v="723"/>
    <x v="5"/>
    <x v="2"/>
    <x v="1"/>
    <x v="0"/>
    <x v="666"/>
    <n v="170.96"/>
    <n v="6.1232091690544416E-2"/>
  </r>
  <r>
    <x v="472"/>
    <x v="4"/>
    <x v="1"/>
    <x v="1"/>
    <x v="0"/>
    <x v="1226"/>
    <n v="631.9"/>
    <n v="0.2925462962962963"/>
  </r>
  <r>
    <x v="632"/>
    <x v="6"/>
    <x v="1"/>
    <x v="3"/>
    <x v="1"/>
    <x v="1801"/>
    <n v="1332.86"/>
    <n v="0.20901050650776226"/>
  </r>
  <r>
    <x v="432"/>
    <x v="7"/>
    <x v="2"/>
    <x v="1"/>
    <x v="6"/>
    <x v="717"/>
    <n v="1051.5"/>
    <n v="0.19975303951367782"/>
  </r>
  <r>
    <x v="700"/>
    <x v="9"/>
    <x v="2"/>
    <x v="0"/>
    <x v="3"/>
    <x v="1802"/>
    <n v="196.5"/>
    <n v="0.14598811292719169"/>
  </r>
  <r>
    <x v="372"/>
    <x v="3"/>
    <x v="2"/>
    <x v="2"/>
    <x v="1"/>
    <x v="1706"/>
    <n v="1311.65"/>
    <n v="0.17965347212710589"/>
  </r>
  <r>
    <x v="157"/>
    <x v="8"/>
    <x v="1"/>
    <x v="2"/>
    <x v="3"/>
    <x v="441"/>
    <n v="198.26"/>
    <n v="9.8343253968253969E-2"/>
  </r>
  <r>
    <x v="718"/>
    <x v="9"/>
    <x v="2"/>
    <x v="0"/>
    <x v="7"/>
    <x v="1803"/>
    <n v="220.5"/>
    <n v="0.17417061611374407"/>
  </r>
  <r>
    <x v="832"/>
    <x v="1"/>
    <x v="1"/>
    <x v="3"/>
    <x v="3"/>
    <x v="1804"/>
    <n v="35.18"/>
    <n v="0.25128571428571428"/>
  </r>
  <r>
    <x v="950"/>
    <x v="3"/>
    <x v="2"/>
    <x v="1"/>
    <x v="6"/>
    <x v="1452"/>
    <n v="1073.6199999999999"/>
    <n v="0.16466564417177912"/>
  </r>
  <r>
    <x v="273"/>
    <x v="8"/>
    <x v="1"/>
    <x v="1"/>
    <x v="4"/>
    <x v="1241"/>
    <n v="29.91"/>
    <n v="5.1391752577319587E-2"/>
  </r>
  <r>
    <x v="951"/>
    <x v="0"/>
    <x v="0"/>
    <x v="3"/>
    <x v="4"/>
    <x v="1805"/>
    <n v="14.5"/>
    <n v="5.9183673469387757E-2"/>
  </r>
  <r>
    <x v="448"/>
    <x v="1"/>
    <x v="1"/>
    <x v="2"/>
    <x v="4"/>
    <x v="1806"/>
    <n v="143.12"/>
    <n v="0.28396825396825398"/>
  </r>
  <r>
    <x v="789"/>
    <x v="6"/>
    <x v="1"/>
    <x v="2"/>
    <x v="7"/>
    <x v="766"/>
    <n v="1211.75"/>
    <n v="0.17731196956394499"/>
  </r>
  <r>
    <x v="430"/>
    <x v="4"/>
    <x v="1"/>
    <x v="3"/>
    <x v="6"/>
    <x v="20"/>
    <n v="1191.02"/>
    <n v="0.20851190476190476"/>
  </r>
  <r>
    <x v="175"/>
    <x v="9"/>
    <x v="2"/>
    <x v="2"/>
    <x v="2"/>
    <x v="858"/>
    <n v="347.99"/>
    <n v="7.758974358974359E-2"/>
  </r>
  <r>
    <x v="59"/>
    <x v="4"/>
    <x v="1"/>
    <x v="3"/>
    <x v="6"/>
    <x v="1807"/>
    <n v="291.45999999999998"/>
    <n v="0.1265017361111111"/>
  </r>
  <r>
    <x v="172"/>
    <x v="1"/>
    <x v="1"/>
    <x v="0"/>
    <x v="7"/>
    <x v="1636"/>
    <n v="815.56"/>
    <n v="0.12402068126520681"/>
  </r>
  <r>
    <x v="724"/>
    <x v="8"/>
    <x v="1"/>
    <x v="2"/>
    <x v="5"/>
    <x v="1808"/>
    <n v="2843.54"/>
    <n v="0.26752657822937248"/>
  </r>
  <r>
    <x v="655"/>
    <x v="3"/>
    <x v="2"/>
    <x v="1"/>
    <x v="4"/>
    <x v="1809"/>
    <n v="153.59"/>
    <n v="0.21754957507082154"/>
  </r>
  <r>
    <x v="812"/>
    <x v="4"/>
    <x v="1"/>
    <x v="2"/>
    <x v="4"/>
    <x v="1810"/>
    <n v="103.82"/>
    <n v="0.10626407369498464"/>
  </r>
  <r>
    <x v="498"/>
    <x v="5"/>
    <x v="2"/>
    <x v="2"/>
    <x v="0"/>
    <x v="1811"/>
    <n v="73.16"/>
    <n v="9.4278350515463918E-2"/>
  </r>
  <r>
    <x v="808"/>
    <x v="2"/>
    <x v="2"/>
    <x v="3"/>
    <x v="0"/>
    <x v="1812"/>
    <n v="309.43"/>
    <n v="7.8695320447609365E-2"/>
  </r>
  <r>
    <x v="952"/>
    <x v="8"/>
    <x v="1"/>
    <x v="1"/>
    <x v="8"/>
    <x v="1813"/>
    <n v="368.46"/>
    <n v="0.29173396674584323"/>
  </r>
  <r>
    <x v="306"/>
    <x v="8"/>
    <x v="1"/>
    <x v="1"/>
    <x v="6"/>
    <x v="1032"/>
    <n v="745.24"/>
    <n v="0.10549830124575311"/>
  </r>
  <r>
    <x v="157"/>
    <x v="8"/>
    <x v="1"/>
    <x v="3"/>
    <x v="0"/>
    <x v="823"/>
    <n v="746.77"/>
    <n v="0.15754641350210971"/>
  </r>
  <r>
    <x v="170"/>
    <x v="0"/>
    <x v="0"/>
    <x v="2"/>
    <x v="1"/>
    <x v="1814"/>
    <n v="1137.23"/>
    <n v="0.25148827952233527"/>
  </r>
  <r>
    <x v="55"/>
    <x v="2"/>
    <x v="2"/>
    <x v="2"/>
    <x v="1"/>
    <x v="1815"/>
    <n v="183.19"/>
    <n v="9.1184668989547038E-2"/>
  </r>
  <r>
    <x v="705"/>
    <x v="7"/>
    <x v="2"/>
    <x v="1"/>
    <x v="3"/>
    <x v="1816"/>
    <n v="548.12"/>
    <n v="0.25977251184834121"/>
  </r>
  <r>
    <x v="469"/>
    <x v="1"/>
    <x v="1"/>
    <x v="3"/>
    <x v="4"/>
    <x v="1817"/>
    <n v="6.97"/>
    <n v="7.3368421052631583E-2"/>
  </r>
  <r>
    <x v="359"/>
    <x v="5"/>
    <x v="2"/>
    <x v="1"/>
    <x v="4"/>
    <x v="245"/>
    <n v="83.58"/>
    <n v="0.21765625"/>
  </r>
  <r>
    <x v="590"/>
    <x v="2"/>
    <x v="2"/>
    <x v="0"/>
    <x v="8"/>
    <x v="1818"/>
    <n v="200.08"/>
    <n v="5.7643330452319223E-2"/>
  </r>
  <r>
    <x v="657"/>
    <x v="2"/>
    <x v="2"/>
    <x v="3"/>
    <x v="0"/>
    <x v="1819"/>
    <n v="507.01"/>
    <n v="0.2475634765625"/>
  </r>
  <r>
    <x v="87"/>
    <x v="6"/>
    <x v="1"/>
    <x v="2"/>
    <x v="6"/>
    <x v="1820"/>
    <n v="2581.06"/>
    <n v="0.27765275387263338"/>
  </r>
  <r>
    <x v="670"/>
    <x v="9"/>
    <x v="2"/>
    <x v="3"/>
    <x v="6"/>
    <x v="1821"/>
    <n v="1188.1600000000001"/>
    <n v="0.22537177541729894"/>
  </r>
  <r>
    <x v="927"/>
    <x v="4"/>
    <x v="1"/>
    <x v="1"/>
    <x v="4"/>
    <x v="1822"/>
    <n v="127.58"/>
    <n v="0.20610662358642973"/>
  </r>
  <r>
    <x v="185"/>
    <x v="9"/>
    <x v="2"/>
    <x v="0"/>
    <x v="4"/>
    <x v="1823"/>
    <n v="53.2"/>
    <n v="0.11875000000000001"/>
  </r>
  <r>
    <x v="42"/>
    <x v="8"/>
    <x v="1"/>
    <x v="0"/>
    <x v="5"/>
    <x v="511"/>
    <n v="1313.13"/>
    <n v="0.26241606714628302"/>
  </r>
  <r>
    <x v="64"/>
    <x v="8"/>
    <x v="1"/>
    <x v="0"/>
    <x v="0"/>
    <x v="1470"/>
    <n v="704.99"/>
    <n v="0.14948897370653097"/>
  </r>
  <r>
    <x v="2"/>
    <x v="0"/>
    <x v="0"/>
    <x v="3"/>
    <x v="5"/>
    <x v="140"/>
    <n v="827.17"/>
    <n v="0.11020117239541699"/>
  </r>
  <r>
    <x v="953"/>
    <x v="8"/>
    <x v="1"/>
    <x v="0"/>
    <x v="1"/>
    <x v="1824"/>
    <n v="883.56"/>
    <n v="0.21576556776556774"/>
  </r>
  <r>
    <x v="363"/>
    <x v="5"/>
    <x v="2"/>
    <x v="0"/>
    <x v="1"/>
    <x v="1825"/>
    <n v="1037.27"/>
    <n v="0.23262390670553937"/>
  </r>
  <r>
    <x v="266"/>
    <x v="2"/>
    <x v="2"/>
    <x v="2"/>
    <x v="2"/>
    <x v="219"/>
    <n v="62.49"/>
    <n v="0.10079032258064516"/>
  </r>
  <r>
    <x v="653"/>
    <x v="5"/>
    <x v="2"/>
    <x v="3"/>
    <x v="3"/>
    <x v="1625"/>
    <n v="185.89"/>
    <n v="7.8700254022015234E-2"/>
  </r>
  <r>
    <x v="312"/>
    <x v="0"/>
    <x v="0"/>
    <x v="0"/>
    <x v="3"/>
    <x v="752"/>
    <n v="154.99"/>
    <n v="0.25575907590759078"/>
  </r>
  <r>
    <x v="501"/>
    <x v="3"/>
    <x v="2"/>
    <x v="1"/>
    <x v="0"/>
    <x v="1826"/>
    <n v="134.41999999999999"/>
    <n v="0.12400369003690036"/>
  </r>
  <r>
    <x v="954"/>
    <x v="9"/>
    <x v="2"/>
    <x v="0"/>
    <x v="6"/>
    <x v="1725"/>
    <n v="315.87"/>
    <n v="0.10967708333333334"/>
  </r>
  <r>
    <x v="157"/>
    <x v="9"/>
    <x v="2"/>
    <x v="3"/>
    <x v="6"/>
    <x v="1827"/>
    <n v="727.05"/>
    <n v="0.16000220070422536"/>
  </r>
  <r>
    <x v="303"/>
    <x v="1"/>
    <x v="1"/>
    <x v="3"/>
    <x v="0"/>
    <x v="96"/>
    <n v="85.63"/>
    <n v="0.15401079136690646"/>
  </r>
  <r>
    <x v="554"/>
    <x v="9"/>
    <x v="2"/>
    <x v="0"/>
    <x v="2"/>
    <x v="1246"/>
    <n v="71.97"/>
    <n v="0.1425148514851485"/>
  </r>
  <r>
    <x v="267"/>
    <x v="2"/>
    <x v="2"/>
    <x v="3"/>
    <x v="2"/>
    <x v="1828"/>
    <n v="774.2"/>
    <n v="0.29834296724470138"/>
  </r>
  <r>
    <x v="955"/>
    <x v="4"/>
    <x v="1"/>
    <x v="2"/>
    <x v="2"/>
    <x v="1829"/>
    <n v="737.68"/>
    <n v="0.26158865248226948"/>
  </r>
  <r>
    <x v="115"/>
    <x v="8"/>
    <x v="1"/>
    <x v="1"/>
    <x v="3"/>
    <x v="1830"/>
    <n v="297.20999999999998"/>
    <n v="0.29195481335952844"/>
  </r>
  <r>
    <x v="956"/>
    <x v="9"/>
    <x v="2"/>
    <x v="1"/>
    <x v="0"/>
    <x v="1659"/>
    <n v="176.56"/>
    <n v="0.18703389830508474"/>
  </r>
  <r>
    <x v="614"/>
    <x v="2"/>
    <x v="2"/>
    <x v="1"/>
    <x v="4"/>
    <x v="875"/>
    <n v="44.99"/>
    <n v="7.3754098360655745E-2"/>
  </r>
  <r>
    <x v="538"/>
    <x v="3"/>
    <x v="2"/>
    <x v="2"/>
    <x v="0"/>
    <x v="1062"/>
    <n v="81.650000000000006"/>
    <n v="8.9528508771929832E-2"/>
  </r>
  <r>
    <x v="610"/>
    <x v="6"/>
    <x v="1"/>
    <x v="3"/>
    <x v="5"/>
    <x v="1831"/>
    <n v="1738.63"/>
    <n v="0.16696725247287045"/>
  </r>
  <r>
    <x v="346"/>
    <x v="0"/>
    <x v="0"/>
    <x v="3"/>
    <x v="6"/>
    <x v="1611"/>
    <n v="398.29"/>
    <n v="0.18303768382352942"/>
  </r>
  <r>
    <x v="814"/>
    <x v="0"/>
    <x v="0"/>
    <x v="1"/>
    <x v="7"/>
    <x v="1832"/>
    <n v="1488.4"/>
    <n v="0.24368041912246236"/>
  </r>
  <r>
    <x v="921"/>
    <x v="1"/>
    <x v="1"/>
    <x v="3"/>
    <x v="3"/>
    <x v="1833"/>
    <n v="173.89"/>
    <n v="0.15147212543554006"/>
  </r>
  <r>
    <x v="957"/>
    <x v="6"/>
    <x v="1"/>
    <x v="1"/>
    <x v="6"/>
    <x v="1834"/>
    <n v="597.1"/>
    <n v="6.7667724388032646E-2"/>
  </r>
  <r>
    <x v="669"/>
    <x v="4"/>
    <x v="1"/>
    <x v="0"/>
    <x v="2"/>
    <x v="261"/>
    <n v="159.58000000000001"/>
    <n v="7.1241071428571431E-2"/>
  </r>
  <r>
    <x v="958"/>
    <x v="3"/>
    <x v="2"/>
    <x v="0"/>
    <x v="3"/>
    <x v="1449"/>
    <n v="386.79"/>
    <n v="0.29480945121951219"/>
  </r>
  <r>
    <x v="374"/>
    <x v="9"/>
    <x v="2"/>
    <x v="2"/>
    <x v="5"/>
    <x v="1835"/>
    <n v="2946.93"/>
    <n v="0.27748870056497171"/>
  </r>
  <r>
    <x v="58"/>
    <x v="2"/>
    <x v="2"/>
    <x v="1"/>
    <x v="3"/>
    <x v="1117"/>
    <n v="574.4"/>
    <n v="0.26372819100091827"/>
  </r>
  <r>
    <x v="446"/>
    <x v="6"/>
    <x v="1"/>
    <x v="1"/>
    <x v="8"/>
    <x v="1836"/>
    <n v="94.52"/>
    <n v="5.6564931178934769E-2"/>
  </r>
  <r>
    <x v="311"/>
    <x v="6"/>
    <x v="1"/>
    <x v="1"/>
    <x v="8"/>
    <x v="220"/>
    <n v="355.59"/>
    <n v="0.17559999999999998"/>
  </r>
  <r>
    <x v="252"/>
    <x v="1"/>
    <x v="1"/>
    <x v="1"/>
    <x v="7"/>
    <x v="1837"/>
    <n v="355.32"/>
    <n v="0.12311850311850311"/>
  </r>
  <r>
    <x v="624"/>
    <x v="0"/>
    <x v="0"/>
    <x v="1"/>
    <x v="3"/>
    <x v="1838"/>
    <n v="307.32"/>
    <n v="0.16451820128479658"/>
  </r>
  <r>
    <x v="690"/>
    <x v="4"/>
    <x v="1"/>
    <x v="1"/>
    <x v="0"/>
    <x v="48"/>
    <n v="826.94"/>
    <n v="0.25211585365853662"/>
  </r>
  <r>
    <x v="531"/>
    <x v="2"/>
    <x v="2"/>
    <x v="3"/>
    <x v="3"/>
    <x v="1839"/>
    <n v="375.86"/>
    <n v="0.21259049773755656"/>
  </r>
  <r>
    <x v="768"/>
    <x v="3"/>
    <x v="2"/>
    <x v="3"/>
    <x v="1"/>
    <x v="1840"/>
    <n v="1753.02"/>
    <n v="0.25270578059679977"/>
  </r>
  <r>
    <x v="769"/>
    <x v="5"/>
    <x v="2"/>
    <x v="0"/>
    <x v="7"/>
    <x v="1841"/>
    <n v="307.47000000000003"/>
    <n v="0.10208167330677292"/>
  </r>
  <r>
    <x v="49"/>
    <x v="4"/>
    <x v="1"/>
    <x v="2"/>
    <x v="8"/>
    <x v="1069"/>
    <n v="147.93"/>
    <n v="0.1903861003861004"/>
  </r>
  <r>
    <x v="959"/>
    <x v="7"/>
    <x v="2"/>
    <x v="1"/>
    <x v="7"/>
    <x v="1028"/>
    <n v="452.14"/>
    <n v="0.11147435897435896"/>
  </r>
  <r>
    <x v="960"/>
    <x v="0"/>
    <x v="0"/>
    <x v="2"/>
    <x v="0"/>
    <x v="1842"/>
    <n v="514.91999999999996"/>
    <n v="0.1603113325031133"/>
  </r>
  <r>
    <x v="444"/>
    <x v="5"/>
    <x v="2"/>
    <x v="3"/>
    <x v="4"/>
    <x v="255"/>
    <n v="179.4"/>
    <n v="0.1884453781512605"/>
  </r>
  <r>
    <x v="282"/>
    <x v="7"/>
    <x v="2"/>
    <x v="0"/>
    <x v="8"/>
    <x v="458"/>
    <n v="106.24"/>
    <n v="6.3464755077658294E-2"/>
  </r>
  <r>
    <x v="792"/>
    <x v="5"/>
    <x v="2"/>
    <x v="1"/>
    <x v="2"/>
    <x v="1843"/>
    <n v="1019.91"/>
    <n v="0.2363638470451912"/>
  </r>
  <r>
    <x v="228"/>
    <x v="1"/>
    <x v="1"/>
    <x v="0"/>
    <x v="1"/>
    <x v="776"/>
    <n v="162.38999999999999"/>
    <n v="9.4303135888501741E-2"/>
  </r>
  <r>
    <x v="415"/>
    <x v="8"/>
    <x v="1"/>
    <x v="2"/>
    <x v="2"/>
    <x v="1844"/>
    <n v="334.35"/>
    <n v="0.11549222797927462"/>
  </r>
  <r>
    <x v="846"/>
    <x v="2"/>
    <x v="2"/>
    <x v="0"/>
    <x v="3"/>
    <x v="477"/>
    <n v="335.22"/>
    <n v="0.26189062500000004"/>
  </r>
  <r>
    <x v="243"/>
    <x v="4"/>
    <x v="1"/>
    <x v="1"/>
    <x v="2"/>
    <x v="1845"/>
    <n v="414.42"/>
    <n v="9.6488940628637956E-2"/>
  </r>
  <r>
    <x v="659"/>
    <x v="0"/>
    <x v="0"/>
    <x v="2"/>
    <x v="7"/>
    <x v="1846"/>
    <n v="306.63"/>
    <n v="6.9154262516914755E-2"/>
  </r>
  <r>
    <x v="24"/>
    <x v="8"/>
    <x v="1"/>
    <x v="0"/>
    <x v="7"/>
    <x v="1303"/>
    <n v="623.78"/>
    <n v="0.16346436058700209"/>
  </r>
  <r>
    <x v="549"/>
    <x v="4"/>
    <x v="1"/>
    <x v="1"/>
    <x v="1"/>
    <x v="1847"/>
    <n v="1137.08"/>
    <n v="0.17949171270718231"/>
  </r>
  <r>
    <x v="599"/>
    <x v="1"/>
    <x v="1"/>
    <x v="3"/>
    <x v="8"/>
    <x v="861"/>
    <n v="78.41"/>
    <n v="0.2489206349206349"/>
  </r>
  <r>
    <x v="492"/>
    <x v="3"/>
    <x v="2"/>
    <x v="1"/>
    <x v="3"/>
    <x v="1473"/>
    <n v="168.82"/>
    <n v="0.26968051118210862"/>
  </r>
  <r>
    <x v="324"/>
    <x v="5"/>
    <x v="2"/>
    <x v="2"/>
    <x v="4"/>
    <x v="577"/>
    <n v="85.75"/>
    <n v="7.5219298245614033E-2"/>
  </r>
  <r>
    <x v="724"/>
    <x v="7"/>
    <x v="2"/>
    <x v="0"/>
    <x v="2"/>
    <x v="1848"/>
    <n v="52.55"/>
    <n v="8.9067796610169489E-2"/>
  </r>
  <r>
    <x v="915"/>
    <x v="2"/>
    <x v="2"/>
    <x v="1"/>
    <x v="4"/>
    <x v="1849"/>
    <n v="99.31"/>
    <n v="0.15738510301109351"/>
  </r>
  <r>
    <x v="235"/>
    <x v="6"/>
    <x v="1"/>
    <x v="2"/>
    <x v="6"/>
    <x v="1591"/>
    <n v="134.94"/>
    <n v="6.9413580246913575E-2"/>
  </r>
  <r>
    <x v="153"/>
    <x v="7"/>
    <x v="2"/>
    <x v="0"/>
    <x v="7"/>
    <x v="1850"/>
    <n v="1461.79"/>
    <n v="0.28662549019607841"/>
  </r>
  <r>
    <x v="902"/>
    <x v="8"/>
    <x v="1"/>
    <x v="2"/>
    <x v="7"/>
    <x v="972"/>
    <n v="176.52"/>
    <n v="0.16164835164835165"/>
  </r>
  <r>
    <x v="212"/>
    <x v="6"/>
    <x v="1"/>
    <x v="3"/>
    <x v="1"/>
    <x v="645"/>
    <n v="1007.43"/>
    <n v="0.21609395109395108"/>
  </r>
  <r>
    <x v="961"/>
    <x v="4"/>
    <x v="1"/>
    <x v="3"/>
    <x v="1"/>
    <x v="1709"/>
    <n v="1088.3399999999999"/>
    <n v="0.25239795918367347"/>
  </r>
  <r>
    <x v="199"/>
    <x v="1"/>
    <x v="1"/>
    <x v="0"/>
    <x v="7"/>
    <x v="1028"/>
    <n v="815.1"/>
    <n v="0.20096153846153847"/>
  </r>
  <r>
    <x v="962"/>
    <x v="4"/>
    <x v="1"/>
    <x v="0"/>
    <x v="8"/>
    <x v="1851"/>
    <n v="120.53"/>
    <n v="0.2257116104868914"/>
  </r>
  <r>
    <x v="70"/>
    <x v="0"/>
    <x v="0"/>
    <x v="2"/>
    <x v="2"/>
    <x v="24"/>
    <n v="991.47"/>
    <n v="0.2853151079136691"/>
  </r>
  <r>
    <x v="398"/>
    <x v="2"/>
    <x v="2"/>
    <x v="2"/>
    <x v="2"/>
    <x v="364"/>
    <n v="829.03"/>
    <n v="0.16988319672131147"/>
  </r>
  <r>
    <x v="876"/>
    <x v="2"/>
    <x v="2"/>
    <x v="3"/>
    <x v="6"/>
    <x v="1852"/>
    <n v="782.8"/>
    <n v="9.390595009596929E-2"/>
  </r>
  <r>
    <x v="194"/>
    <x v="1"/>
    <x v="1"/>
    <x v="0"/>
    <x v="6"/>
    <x v="1685"/>
    <n v="490.66"/>
    <n v="5.3147746967071058E-2"/>
  </r>
  <r>
    <x v="804"/>
    <x v="7"/>
    <x v="2"/>
    <x v="2"/>
    <x v="8"/>
    <x v="1853"/>
    <n v="466.25"/>
    <n v="0.22956671590349581"/>
  </r>
  <r>
    <x v="135"/>
    <x v="5"/>
    <x v="2"/>
    <x v="0"/>
    <x v="8"/>
    <x v="1854"/>
    <n v="640.35"/>
    <n v="0.26548507462686566"/>
  </r>
  <r>
    <x v="963"/>
    <x v="7"/>
    <x v="2"/>
    <x v="1"/>
    <x v="4"/>
    <x v="1855"/>
    <n v="137.24"/>
    <n v="0.13208854667949954"/>
  </r>
  <r>
    <x v="564"/>
    <x v="3"/>
    <x v="2"/>
    <x v="3"/>
    <x v="7"/>
    <x v="1856"/>
    <n v="100.78"/>
    <n v="0.14479885057471265"/>
  </r>
  <r>
    <x v="697"/>
    <x v="9"/>
    <x v="2"/>
    <x v="0"/>
    <x v="6"/>
    <x v="1484"/>
    <n v="1617.32"/>
    <n v="0.26255194805194804"/>
  </r>
  <r>
    <x v="787"/>
    <x v="3"/>
    <x v="2"/>
    <x v="1"/>
    <x v="8"/>
    <x v="1857"/>
    <n v="58.4"/>
    <n v="0.13064876957494406"/>
  </r>
  <r>
    <x v="964"/>
    <x v="8"/>
    <x v="1"/>
    <x v="3"/>
    <x v="7"/>
    <x v="1564"/>
    <n v="364.82"/>
    <n v="5.978695509668961E-2"/>
  </r>
  <r>
    <x v="840"/>
    <x v="3"/>
    <x v="2"/>
    <x v="2"/>
    <x v="5"/>
    <x v="1689"/>
    <n v="1372.83"/>
    <n v="0.26997640117994098"/>
  </r>
  <r>
    <x v="797"/>
    <x v="9"/>
    <x v="2"/>
    <x v="0"/>
    <x v="1"/>
    <x v="1858"/>
    <n v="158.82"/>
    <n v="5.2277814351547068E-2"/>
  </r>
  <r>
    <x v="919"/>
    <x v="4"/>
    <x v="1"/>
    <x v="3"/>
    <x v="4"/>
    <x v="111"/>
    <n v="215.24"/>
    <n v="0.24403628117913834"/>
  </r>
  <r>
    <x v="745"/>
    <x v="6"/>
    <x v="1"/>
    <x v="3"/>
    <x v="7"/>
    <x v="1859"/>
    <n v="720.06"/>
    <n v="0.28918072289156627"/>
  </r>
  <r>
    <x v="965"/>
    <x v="3"/>
    <x v="2"/>
    <x v="0"/>
    <x v="4"/>
    <x v="1860"/>
    <n v="101.09"/>
    <n v="0.1591968503937008"/>
  </r>
  <r>
    <x v="528"/>
    <x v="9"/>
    <x v="2"/>
    <x v="1"/>
    <x v="4"/>
    <x v="1861"/>
    <n v="152.5"/>
    <n v="0.14081255771006462"/>
  </r>
  <r>
    <x v="966"/>
    <x v="8"/>
    <x v="1"/>
    <x v="3"/>
    <x v="7"/>
    <x v="1525"/>
    <n v="144.26"/>
    <n v="0.2003611111111111"/>
  </r>
  <r>
    <x v="816"/>
    <x v="0"/>
    <x v="0"/>
    <x v="3"/>
    <x v="8"/>
    <x v="985"/>
    <n v="382.52"/>
    <n v="0.12295724847315975"/>
  </r>
  <r>
    <x v="584"/>
    <x v="5"/>
    <x v="2"/>
    <x v="0"/>
    <x v="7"/>
    <x v="628"/>
    <n v="87.37"/>
    <n v="7.0346215780998395E-2"/>
  </r>
  <r>
    <x v="786"/>
    <x v="5"/>
    <x v="2"/>
    <x v="3"/>
    <x v="2"/>
    <x v="1862"/>
    <n v="978.75"/>
    <n v="0.16745081266039349"/>
  </r>
  <r>
    <x v="46"/>
    <x v="5"/>
    <x v="2"/>
    <x v="3"/>
    <x v="4"/>
    <x v="1863"/>
    <n v="131.69999999999999"/>
    <n v="0.15772455089820359"/>
  </r>
  <r>
    <x v="967"/>
    <x v="6"/>
    <x v="1"/>
    <x v="2"/>
    <x v="3"/>
    <x v="248"/>
    <n v="305.42"/>
    <n v="0.13198789974070874"/>
  </r>
  <r>
    <x v="968"/>
    <x v="5"/>
    <x v="2"/>
    <x v="1"/>
    <x v="1"/>
    <x v="1864"/>
    <n v="776.09"/>
    <n v="0.12847045191193512"/>
  </r>
  <r>
    <x v="510"/>
    <x v="1"/>
    <x v="1"/>
    <x v="0"/>
    <x v="8"/>
    <x v="1332"/>
    <n v="19.22"/>
    <n v="5.2086720867208669E-2"/>
  </r>
  <r>
    <x v="209"/>
    <x v="2"/>
    <x v="2"/>
    <x v="3"/>
    <x v="2"/>
    <x v="1030"/>
    <n v="321.83999999999997"/>
    <n v="0.1968440366972477"/>
  </r>
  <r>
    <x v="709"/>
    <x v="8"/>
    <x v="1"/>
    <x v="3"/>
    <x v="8"/>
    <x v="1378"/>
    <n v="465.39"/>
    <n v="0.22515239477503629"/>
  </r>
  <r>
    <x v="969"/>
    <x v="7"/>
    <x v="2"/>
    <x v="3"/>
    <x v="7"/>
    <x v="1298"/>
    <n v="544.54"/>
    <n v="7.6394500561167228E-2"/>
  </r>
  <r>
    <x v="134"/>
    <x v="0"/>
    <x v="0"/>
    <x v="0"/>
    <x v="3"/>
    <x v="1659"/>
    <n v="94.4"/>
    <n v="0.1"/>
  </r>
  <r>
    <x v="42"/>
    <x v="2"/>
    <x v="2"/>
    <x v="1"/>
    <x v="2"/>
    <x v="375"/>
    <n v="698.15"/>
    <n v="0.13530038759689922"/>
  </r>
  <r>
    <x v="316"/>
    <x v="7"/>
    <x v="2"/>
    <x v="3"/>
    <x v="6"/>
    <x v="1598"/>
    <n v="1987.82"/>
    <n v="0.24748754980079679"/>
  </r>
  <r>
    <x v="877"/>
    <x v="3"/>
    <x v="2"/>
    <x v="2"/>
    <x v="3"/>
    <x v="1865"/>
    <n v="99.16"/>
    <n v="0.26372340425531915"/>
  </r>
  <r>
    <x v="936"/>
    <x v="7"/>
    <x v="2"/>
    <x v="2"/>
    <x v="1"/>
    <x v="1866"/>
    <n v="426.39"/>
    <n v="0.10289333976833977"/>
  </r>
  <r>
    <x v="143"/>
    <x v="3"/>
    <x v="2"/>
    <x v="2"/>
    <x v="0"/>
    <x v="1867"/>
    <n v="293.25"/>
    <n v="0.13162028725314184"/>
  </r>
  <r>
    <x v="872"/>
    <x v="2"/>
    <x v="2"/>
    <x v="3"/>
    <x v="4"/>
    <x v="674"/>
    <n v="182.76"/>
    <n v="0.15514431239388793"/>
  </r>
  <r>
    <x v="448"/>
    <x v="1"/>
    <x v="1"/>
    <x v="0"/>
    <x v="2"/>
    <x v="1868"/>
    <n v="303.61"/>
    <n v="0.12120159680638723"/>
  </r>
  <r>
    <x v="970"/>
    <x v="5"/>
    <x v="2"/>
    <x v="3"/>
    <x v="0"/>
    <x v="55"/>
    <n v="418.05"/>
    <n v="0.2233173076923077"/>
  </r>
  <r>
    <x v="379"/>
    <x v="0"/>
    <x v="0"/>
    <x v="3"/>
    <x v="3"/>
    <x v="585"/>
    <n v="59.56"/>
    <n v="0.17517647058823529"/>
  </r>
  <r>
    <x v="971"/>
    <x v="9"/>
    <x v="2"/>
    <x v="3"/>
    <x v="4"/>
    <x v="1869"/>
    <n v="158.85"/>
    <n v="0.2696943972835314"/>
  </r>
  <r>
    <x v="706"/>
    <x v="9"/>
    <x v="2"/>
    <x v="3"/>
    <x v="8"/>
    <x v="1870"/>
    <n v="560.82000000000005"/>
    <n v="0.21586605080831411"/>
  </r>
  <r>
    <x v="958"/>
    <x v="2"/>
    <x v="2"/>
    <x v="0"/>
    <x v="4"/>
    <x v="11"/>
    <n v="92.31"/>
    <n v="0.18388446215139442"/>
  </r>
  <r>
    <x v="450"/>
    <x v="9"/>
    <x v="2"/>
    <x v="2"/>
    <x v="8"/>
    <x v="1871"/>
    <n v="546.44000000000005"/>
    <n v="0.15280760626398213"/>
  </r>
  <r>
    <x v="33"/>
    <x v="8"/>
    <x v="1"/>
    <x v="1"/>
    <x v="8"/>
    <x v="1854"/>
    <n v="468.27"/>
    <n v="0.19414179104477611"/>
  </r>
  <r>
    <x v="363"/>
    <x v="0"/>
    <x v="0"/>
    <x v="3"/>
    <x v="2"/>
    <x v="1872"/>
    <n v="244.72"/>
    <n v="0.21372925764192138"/>
  </r>
  <r>
    <x v="106"/>
    <x v="8"/>
    <x v="1"/>
    <x v="3"/>
    <x v="3"/>
    <x v="1873"/>
    <n v="159.30000000000001"/>
    <n v="7.5283553875236303E-2"/>
  </r>
  <r>
    <x v="877"/>
    <x v="9"/>
    <x v="2"/>
    <x v="0"/>
    <x v="4"/>
    <x v="1874"/>
    <n v="100.16"/>
    <n v="0.14166902404526166"/>
  </r>
  <r>
    <x v="455"/>
    <x v="1"/>
    <x v="1"/>
    <x v="2"/>
    <x v="5"/>
    <x v="1385"/>
    <n v="109.39"/>
    <n v="0.16649923896499239"/>
  </r>
  <r>
    <x v="859"/>
    <x v="9"/>
    <x v="2"/>
    <x v="2"/>
    <x v="2"/>
    <x v="1875"/>
    <n v="1060.46"/>
    <n v="0.19840224508886811"/>
  </r>
  <r>
    <x v="739"/>
    <x v="2"/>
    <x v="2"/>
    <x v="2"/>
    <x v="6"/>
    <x v="1113"/>
    <n v="251.05"/>
    <n v="6.2264384920634921E-2"/>
  </r>
  <r>
    <x v="493"/>
    <x v="3"/>
    <x v="2"/>
    <x v="2"/>
    <x v="0"/>
    <x v="1876"/>
    <n v="552.57000000000005"/>
    <n v="0.1438984375"/>
  </r>
  <r>
    <x v="744"/>
    <x v="6"/>
    <x v="1"/>
    <x v="1"/>
    <x v="2"/>
    <x v="1877"/>
    <n v="47.35"/>
    <n v="8.2347826086956524E-2"/>
  </r>
  <r>
    <x v="622"/>
    <x v="9"/>
    <x v="2"/>
    <x v="3"/>
    <x v="5"/>
    <x v="1878"/>
    <n v="1808.68"/>
    <n v="0.19416854535695116"/>
  </r>
  <r>
    <x v="890"/>
    <x v="1"/>
    <x v="1"/>
    <x v="1"/>
    <x v="1"/>
    <x v="1879"/>
    <n v="435.06"/>
    <n v="0.12709903593339175"/>
  </r>
  <r>
    <x v="972"/>
    <x v="6"/>
    <x v="1"/>
    <x v="2"/>
    <x v="7"/>
    <x v="1880"/>
    <n v="748.74"/>
    <n v="0.18993911719939116"/>
  </r>
  <r>
    <x v="903"/>
    <x v="9"/>
    <x v="2"/>
    <x v="2"/>
    <x v="3"/>
    <x v="882"/>
    <n v="70.16"/>
    <n v="0.12222996515679442"/>
  </r>
  <r>
    <x v="712"/>
    <x v="4"/>
    <x v="1"/>
    <x v="0"/>
    <x v="7"/>
    <x v="925"/>
    <n v="336.28"/>
    <n v="0.11120370370370369"/>
  </r>
  <r>
    <x v="520"/>
    <x v="4"/>
    <x v="1"/>
    <x v="0"/>
    <x v="1"/>
    <x v="255"/>
    <n v="215.51"/>
    <n v="0.22637605042016806"/>
  </r>
  <r>
    <x v="574"/>
    <x v="7"/>
    <x v="2"/>
    <x v="3"/>
    <x v="5"/>
    <x v="1881"/>
    <n v="937.69"/>
    <n v="0.10315621562156216"/>
  </r>
  <r>
    <x v="148"/>
    <x v="2"/>
    <x v="2"/>
    <x v="3"/>
    <x v="3"/>
    <x v="1882"/>
    <n v="170.11"/>
    <n v="0.14589193825042882"/>
  </r>
  <r>
    <x v="77"/>
    <x v="8"/>
    <x v="1"/>
    <x v="2"/>
    <x v="8"/>
    <x v="1883"/>
    <n v="433.95"/>
    <n v="0.14835897435897435"/>
  </r>
  <r>
    <x v="132"/>
    <x v="3"/>
    <x v="2"/>
    <x v="2"/>
    <x v="2"/>
    <x v="1884"/>
    <n v="867.55"/>
    <n v="0.25109985528219969"/>
  </r>
  <r>
    <x v="521"/>
    <x v="7"/>
    <x v="2"/>
    <x v="0"/>
    <x v="3"/>
    <x v="1885"/>
    <n v="331.3"/>
    <n v="0.20526641883519209"/>
  </r>
  <r>
    <x v="852"/>
    <x v="1"/>
    <x v="1"/>
    <x v="3"/>
    <x v="1"/>
    <x v="1886"/>
    <n v="171.26"/>
    <n v="9.6702428006775823E-2"/>
  </r>
  <r>
    <x v="519"/>
    <x v="0"/>
    <x v="0"/>
    <x v="2"/>
    <x v="7"/>
    <x v="1887"/>
    <n v="1504.97"/>
    <n v="0.26598974902792505"/>
  </r>
  <r>
    <x v="407"/>
    <x v="1"/>
    <x v="1"/>
    <x v="1"/>
    <x v="5"/>
    <x v="1250"/>
    <n v="1515.06"/>
    <n v="0.17908510638297873"/>
  </r>
  <r>
    <x v="973"/>
    <x v="0"/>
    <x v="0"/>
    <x v="3"/>
    <x v="2"/>
    <x v="361"/>
    <n v="570.92999999999995"/>
    <n v="0.29658701298701295"/>
  </r>
  <r>
    <x v="542"/>
    <x v="9"/>
    <x v="2"/>
    <x v="0"/>
    <x v="7"/>
    <x v="1888"/>
    <n v="572.16999999999996"/>
    <n v="0.2605510018214936"/>
  </r>
  <r>
    <x v="528"/>
    <x v="8"/>
    <x v="1"/>
    <x v="1"/>
    <x v="3"/>
    <x v="1889"/>
    <n v="500.56"/>
    <n v="0.29514150943396228"/>
  </r>
  <r>
    <x v="974"/>
    <x v="0"/>
    <x v="0"/>
    <x v="2"/>
    <x v="5"/>
    <x v="1890"/>
    <n v="1966.66"/>
    <n v="0.28866285043299578"/>
  </r>
  <r>
    <x v="975"/>
    <x v="8"/>
    <x v="1"/>
    <x v="0"/>
    <x v="2"/>
    <x v="713"/>
    <n v="790.67"/>
    <n v="0.21544141689373295"/>
  </r>
  <r>
    <x v="152"/>
    <x v="8"/>
    <x v="1"/>
    <x v="2"/>
    <x v="0"/>
    <x v="1891"/>
    <n v="204.55"/>
    <n v="6.9669618528610353E-2"/>
  </r>
  <r>
    <x v="778"/>
    <x v="6"/>
    <x v="1"/>
    <x v="3"/>
    <x v="2"/>
    <x v="1892"/>
    <n v="283.60000000000002"/>
    <n v="5.4908034849951604E-2"/>
  </r>
  <r>
    <x v="942"/>
    <x v="3"/>
    <x v="2"/>
    <x v="1"/>
    <x v="2"/>
    <x v="1893"/>
    <n v="467.31"/>
    <n v="7.867171717171717E-2"/>
  </r>
  <r>
    <x v="606"/>
    <x v="5"/>
    <x v="2"/>
    <x v="1"/>
    <x v="7"/>
    <x v="1894"/>
    <n v="520.29999999999995"/>
    <n v="0.19530780780780779"/>
  </r>
  <r>
    <x v="294"/>
    <x v="4"/>
    <x v="1"/>
    <x v="1"/>
    <x v="3"/>
    <x v="1895"/>
    <n v="134.38999999999999"/>
    <n v="0.11217863105175291"/>
  </r>
  <r>
    <x v="589"/>
    <x v="4"/>
    <x v="1"/>
    <x v="0"/>
    <x v="0"/>
    <x v="1605"/>
    <n v="309.8"/>
    <n v="0.23119402985074627"/>
  </r>
  <r>
    <x v="591"/>
    <x v="6"/>
    <x v="1"/>
    <x v="1"/>
    <x v="5"/>
    <x v="1896"/>
    <n v="1233.47"/>
    <n v="0.12772807290048668"/>
  </r>
  <r>
    <x v="620"/>
    <x v="3"/>
    <x v="2"/>
    <x v="0"/>
    <x v="6"/>
    <x v="1234"/>
    <n v="191.66"/>
    <n v="7.3942901234567898E-2"/>
  </r>
  <r>
    <x v="174"/>
    <x v="3"/>
    <x v="2"/>
    <x v="3"/>
    <x v="0"/>
    <x v="1416"/>
    <n v="135.36000000000001"/>
    <n v="0.11589041095890412"/>
  </r>
  <r>
    <x v="580"/>
    <x v="4"/>
    <x v="1"/>
    <x v="2"/>
    <x v="6"/>
    <x v="579"/>
    <n v="1241.27"/>
    <n v="0.2096739864864865"/>
  </r>
  <r>
    <x v="958"/>
    <x v="7"/>
    <x v="2"/>
    <x v="3"/>
    <x v="3"/>
    <x v="1897"/>
    <n v="268.47000000000003"/>
    <n v="0.11879203539823011"/>
  </r>
  <r>
    <x v="910"/>
    <x v="0"/>
    <x v="0"/>
    <x v="3"/>
    <x v="6"/>
    <x v="1898"/>
    <n v="1490.07"/>
    <n v="0.21238169897377421"/>
  </r>
  <r>
    <x v="181"/>
    <x v="4"/>
    <x v="1"/>
    <x v="0"/>
    <x v="7"/>
    <x v="1899"/>
    <n v="79.94"/>
    <n v="0.1464102564102564"/>
  </r>
  <r>
    <x v="976"/>
    <x v="9"/>
    <x v="2"/>
    <x v="1"/>
    <x v="4"/>
    <x v="1900"/>
    <n v="228.72"/>
    <n v="0.27261025029797376"/>
  </r>
  <r>
    <x v="751"/>
    <x v="2"/>
    <x v="2"/>
    <x v="2"/>
    <x v="6"/>
    <x v="769"/>
    <n v="619.45000000000005"/>
    <n v="0.11967735703245751"/>
  </r>
  <r>
    <x v="610"/>
    <x v="9"/>
    <x v="2"/>
    <x v="3"/>
    <x v="0"/>
    <x v="447"/>
    <n v="24.9"/>
    <n v="8.8928571428571426E-2"/>
  </r>
  <r>
    <x v="66"/>
    <x v="6"/>
    <x v="1"/>
    <x v="0"/>
    <x v="5"/>
    <x v="1901"/>
    <n v="210.59"/>
    <n v="0.10042441583214115"/>
  </r>
  <r>
    <x v="342"/>
    <x v="1"/>
    <x v="1"/>
    <x v="3"/>
    <x v="7"/>
    <x v="1902"/>
    <n v="799.16"/>
    <n v="0.17253022452504316"/>
  </r>
  <r>
    <x v="977"/>
    <x v="8"/>
    <x v="1"/>
    <x v="0"/>
    <x v="0"/>
    <x v="1076"/>
    <n v="283.61"/>
    <n v="0.26067095588235295"/>
  </r>
  <r>
    <x v="652"/>
    <x v="3"/>
    <x v="2"/>
    <x v="0"/>
    <x v="3"/>
    <x v="1903"/>
    <n v="391.55"/>
    <n v="0.2979832572298326"/>
  </r>
  <r>
    <x v="344"/>
    <x v="1"/>
    <x v="1"/>
    <x v="0"/>
    <x v="6"/>
    <x v="1904"/>
    <n v="804.11"/>
    <n v="0.10101884422110553"/>
  </r>
  <r>
    <x v="424"/>
    <x v="0"/>
    <x v="0"/>
    <x v="0"/>
    <x v="6"/>
    <x v="1905"/>
    <n v="350.32"/>
    <n v="0.12266106442577031"/>
  </r>
  <r>
    <x v="467"/>
    <x v="5"/>
    <x v="2"/>
    <x v="3"/>
    <x v="0"/>
    <x v="1446"/>
    <n v="385.92"/>
    <n v="0.22971428571428573"/>
  </r>
  <r>
    <x v="211"/>
    <x v="6"/>
    <x v="1"/>
    <x v="0"/>
    <x v="0"/>
    <x v="1343"/>
    <n v="1069.6300000000001"/>
    <n v="0.23961245519713265"/>
  </r>
  <r>
    <x v="682"/>
    <x v="7"/>
    <x v="2"/>
    <x v="1"/>
    <x v="7"/>
    <x v="1493"/>
    <n v="184.97"/>
    <n v="6.2914965986394553E-2"/>
  </r>
  <r>
    <x v="978"/>
    <x v="6"/>
    <x v="1"/>
    <x v="3"/>
    <x v="6"/>
    <x v="1606"/>
    <n v="344.45"/>
    <n v="0.27079402515723272"/>
  </r>
  <r>
    <x v="546"/>
    <x v="0"/>
    <x v="0"/>
    <x v="1"/>
    <x v="7"/>
    <x v="120"/>
    <n v="247.86"/>
    <n v="0.1434375"/>
  </r>
  <r>
    <x v="979"/>
    <x v="6"/>
    <x v="1"/>
    <x v="0"/>
    <x v="8"/>
    <x v="1906"/>
    <n v="563.55999999999995"/>
    <n v="0.17873771011734854"/>
  </r>
  <r>
    <x v="628"/>
    <x v="7"/>
    <x v="2"/>
    <x v="3"/>
    <x v="0"/>
    <x v="1208"/>
    <n v="285.72000000000003"/>
    <n v="0.11266561514195585"/>
  </r>
  <r>
    <x v="746"/>
    <x v="2"/>
    <x v="2"/>
    <x v="2"/>
    <x v="8"/>
    <x v="1210"/>
    <n v="431.53"/>
    <n v="0.17206140350877192"/>
  </r>
  <r>
    <x v="941"/>
    <x v="2"/>
    <x v="2"/>
    <x v="1"/>
    <x v="4"/>
    <x v="1907"/>
    <n v="12.36"/>
    <n v="0.10048780487804877"/>
  </r>
  <r>
    <x v="924"/>
    <x v="7"/>
    <x v="2"/>
    <x v="2"/>
    <x v="8"/>
    <x v="1908"/>
    <n v="148.68"/>
    <n v="6.2496847414880208E-2"/>
  </r>
  <r>
    <x v="980"/>
    <x v="0"/>
    <x v="0"/>
    <x v="3"/>
    <x v="7"/>
    <x v="1909"/>
    <n v="1693.77"/>
    <n v="0.24462305025996534"/>
  </r>
  <r>
    <x v="70"/>
    <x v="5"/>
    <x v="2"/>
    <x v="3"/>
    <x v="5"/>
    <x v="1910"/>
    <n v="644.36"/>
    <n v="7.1168544289816657E-2"/>
  </r>
  <r>
    <x v="856"/>
    <x v="3"/>
    <x v="2"/>
    <x v="2"/>
    <x v="5"/>
    <x v="1911"/>
    <n v="2797.45"/>
    <n v="0.28154690016103057"/>
  </r>
  <r>
    <x v="981"/>
    <x v="7"/>
    <x v="2"/>
    <x v="1"/>
    <x v="4"/>
    <x v="1737"/>
    <n v="41.05"/>
    <n v="0.10445292620865139"/>
  </r>
  <r>
    <x v="315"/>
    <x v="0"/>
    <x v="0"/>
    <x v="1"/>
    <x v="3"/>
    <x v="1912"/>
    <n v="35.32"/>
    <n v="0.11467532467532468"/>
  </r>
  <r>
    <x v="756"/>
    <x v="2"/>
    <x v="2"/>
    <x v="2"/>
    <x v="2"/>
    <x v="1913"/>
    <n v="347.25"/>
    <n v="7.0867346938775513E-2"/>
  </r>
  <r>
    <x v="715"/>
    <x v="9"/>
    <x v="2"/>
    <x v="2"/>
    <x v="4"/>
    <x v="1914"/>
    <n v="103.95"/>
    <n v="0.11213592233009709"/>
  </r>
  <r>
    <x v="962"/>
    <x v="8"/>
    <x v="1"/>
    <x v="1"/>
    <x v="4"/>
    <x v="1055"/>
    <n v="22.42"/>
    <n v="8.4285714285714297E-2"/>
  </r>
  <r>
    <x v="254"/>
    <x v="0"/>
    <x v="0"/>
    <x v="2"/>
    <x v="2"/>
    <x v="1915"/>
    <n v="1179.56"/>
    <n v="0.24832842105263156"/>
  </r>
  <r>
    <x v="241"/>
    <x v="5"/>
    <x v="2"/>
    <x v="1"/>
    <x v="6"/>
    <x v="341"/>
    <n v="460.82"/>
    <n v="0.14083740831295843"/>
  </r>
  <r>
    <x v="901"/>
    <x v="1"/>
    <x v="1"/>
    <x v="1"/>
    <x v="2"/>
    <x v="1916"/>
    <n v="688.77"/>
    <n v="0.15833793103448277"/>
  </r>
  <r>
    <x v="624"/>
    <x v="8"/>
    <x v="1"/>
    <x v="1"/>
    <x v="4"/>
    <x v="1809"/>
    <n v="63.82"/>
    <n v="9.0396600566572241E-2"/>
  </r>
  <r>
    <x v="342"/>
    <x v="9"/>
    <x v="2"/>
    <x v="0"/>
    <x v="8"/>
    <x v="317"/>
    <n v="30.68"/>
    <n v="0.14403755868544602"/>
  </r>
  <r>
    <x v="809"/>
    <x v="7"/>
    <x v="2"/>
    <x v="1"/>
    <x v="3"/>
    <x v="1885"/>
    <n v="376.31"/>
    <n v="0.23315365551425032"/>
  </r>
  <r>
    <x v="977"/>
    <x v="1"/>
    <x v="1"/>
    <x v="3"/>
    <x v="6"/>
    <x v="1917"/>
    <n v="499.63"/>
    <n v="8.0171694480102695E-2"/>
  </r>
  <r>
    <x v="268"/>
    <x v="0"/>
    <x v="0"/>
    <x v="0"/>
    <x v="0"/>
    <x v="1918"/>
    <n v="717.45"/>
    <n v="0.18567546583850933"/>
  </r>
  <r>
    <x v="982"/>
    <x v="4"/>
    <x v="1"/>
    <x v="2"/>
    <x v="8"/>
    <x v="1461"/>
    <n v="363.64"/>
    <n v="0.13980776624375241"/>
  </r>
  <r>
    <x v="73"/>
    <x v="1"/>
    <x v="1"/>
    <x v="1"/>
    <x v="7"/>
    <x v="1648"/>
    <n v="758.46"/>
    <n v="0.15341019417475729"/>
  </r>
  <r>
    <x v="974"/>
    <x v="0"/>
    <x v="0"/>
    <x v="2"/>
    <x v="0"/>
    <x v="185"/>
    <n v="301.91000000000003"/>
    <n v="6.4510683760683765E-2"/>
  </r>
  <r>
    <x v="196"/>
    <x v="1"/>
    <x v="1"/>
    <x v="2"/>
    <x v="6"/>
    <x v="1919"/>
    <n v="418.58"/>
    <n v="0.19819128787878787"/>
  </r>
  <r>
    <x v="163"/>
    <x v="6"/>
    <x v="1"/>
    <x v="1"/>
    <x v="7"/>
    <x v="1760"/>
    <n v="869.93"/>
    <n v="0.12183893557422969"/>
  </r>
  <r>
    <x v="834"/>
    <x v="8"/>
    <x v="1"/>
    <x v="1"/>
    <x v="4"/>
    <x v="1201"/>
    <n v="37.97"/>
    <n v="5.0626666666666667E-2"/>
  </r>
  <r>
    <x v="209"/>
    <x v="1"/>
    <x v="1"/>
    <x v="1"/>
    <x v="0"/>
    <x v="800"/>
    <n v="39.229999999999997"/>
    <n v="0.10007653061224489"/>
  </r>
  <r>
    <x v="710"/>
    <x v="9"/>
    <x v="2"/>
    <x v="2"/>
    <x v="0"/>
    <x v="1920"/>
    <n v="721.8"/>
    <n v="0.29975083056478402"/>
  </r>
  <r>
    <x v="280"/>
    <x v="6"/>
    <x v="1"/>
    <x v="1"/>
    <x v="3"/>
    <x v="441"/>
    <n v="151.4"/>
    <n v="7.5099206349206346E-2"/>
  </r>
  <r>
    <x v="879"/>
    <x v="6"/>
    <x v="1"/>
    <x v="2"/>
    <x v="0"/>
    <x v="696"/>
    <n v="47.93"/>
    <n v="0.10329741379310345"/>
  </r>
  <r>
    <x v="644"/>
    <x v="4"/>
    <x v="1"/>
    <x v="1"/>
    <x v="4"/>
    <x v="1782"/>
    <n v="227.11"/>
    <n v="0.27296875000000004"/>
  </r>
  <r>
    <x v="376"/>
    <x v="4"/>
    <x v="1"/>
    <x v="1"/>
    <x v="6"/>
    <x v="782"/>
    <n v="374.8"/>
    <n v="0.28919753086419753"/>
  </r>
  <r>
    <x v="472"/>
    <x v="7"/>
    <x v="2"/>
    <x v="1"/>
    <x v="4"/>
    <x v="919"/>
    <n v="45.81"/>
    <n v="0.1527"/>
  </r>
  <r>
    <x v="983"/>
    <x v="6"/>
    <x v="1"/>
    <x v="0"/>
    <x v="7"/>
    <x v="1905"/>
    <n v="226.53"/>
    <n v="7.9317226890756307E-2"/>
  </r>
  <r>
    <x v="901"/>
    <x v="2"/>
    <x v="2"/>
    <x v="3"/>
    <x v="2"/>
    <x v="719"/>
    <n v="287.05"/>
    <n v="8.4926035502958588E-2"/>
  </r>
  <r>
    <x v="45"/>
    <x v="2"/>
    <x v="2"/>
    <x v="0"/>
    <x v="2"/>
    <x v="1724"/>
    <n v="86.52"/>
    <n v="0.21629999999999999"/>
  </r>
  <r>
    <x v="634"/>
    <x v="3"/>
    <x v="2"/>
    <x v="0"/>
    <x v="4"/>
    <x v="1921"/>
    <n v="49.7"/>
    <n v="6.8836565096952906E-2"/>
  </r>
  <r>
    <x v="862"/>
    <x v="9"/>
    <x v="2"/>
    <x v="2"/>
    <x v="0"/>
    <x v="1174"/>
    <n v="947.45"/>
    <n v="0.2061466492602263"/>
  </r>
  <r>
    <x v="984"/>
    <x v="8"/>
    <x v="1"/>
    <x v="3"/>
    <x v="6"/>
    <x v="602"/>
    <n v="313.58"/>
    <n v="0.26664965986394557"/>
  </r>
  <r>
    <x v="155"/>
    <x v="3"/>
    <x v="2"/>
    <x v="0"/>
    <x v="3"/>
    <x v="569"/>
    <n v="45.72"/>
    <n v="7.099378881987578E-2"/>
  </r>
  <r>
    <x v="256"/>
    <x v="7"/>
    <x v="2"/>
    <x v="3"/>
    <x v="6"/>
    <x v="681"/>
    <n v="40.78"/>
    <n v="7.496323529411765E-2"/>
  </r>
  <r>
    <x v="985"/>
    <x v="6"/>
    <x v="1"/>
    <x v="1"/>
    <x v="3"/>
    <x v="1922"/>
    <n v="101.64"/>
    <n v="0.17344709897610922"/>
  </r>
  <r>
    <x v="881"/>
    <x v="8"/>
    <x v="1"/>
    <x v="0"/>
    <x v="2"/>
    <x v="1923"/>
    <n v="229.11"/>
    <n v="5.974185136897002E-2"/>
  </r>
  <r>
    <x v="841"/>
    <x v="0"/>
    <x v="0"/>
    <x v="2"/>
    <x v="2"/>
    <x v="1924"/>
    <n v="358.39"/>
    <n v="0.2532791519434629"/>
  </r>
  <r>
    <x v="742"/>
    <x v="8"/>
    <x v="1"/>
    <x v="2"/>
    <x v="5"/>
    <x v="1925"/>
    <n v="138.49"/>
    <n v="0.12310222222222222"/>
  </r>
  <r>
    <x v="513"/>
    <x v="3"/>
    <x v="2"/>
    <x v="2"/>
    <x v="8"/>
    <x v="1926"/>
    <n v="489.36"/>
    <n v="0.14397175639894086"/>
  </r>
  <r>
    <x v="204"/>
    <x v="6"/>
    <x v="1"/>
    <x v="1"/>
    <x v="7"/>
    <x v="1927"/>
    <n v="1501.06"/>
    <n v="0.27952700186219737"/>
  </r>
  <r>
    <x v="301"/>
    <x v="8"/>
    <x v="1"/>
    <x v="3"/>
    <x v="8"/>
    <x v="1928"/>
    <n v="419.26"/>
    <n v="0.17986271986271987"/>
  </r>
  <r>
    <x v="777"/>
    <x v="9"/>
    <x v="2"/>
    <x v="1"/>
    <x v="5"/>
    <x v="1929"/>
    <n v="1967.84"/>
    <n v="0.18343027591349739"/>
  </r>
  <r>
    <x v="885"/>
    <x v="6"/>
    <x v="1"/>
    <x v="3"/>
    <x v="6"/>
    <x v="618"/>
    <n v="1860.37"/>
    <n v="0.20542954946996464"/>
  </r>
  <r>
    <x v="143"/>
    <x v="6"/>
    <x v="1"/>
    <x v="3"/>
    <x v="5"/>
    <x v="1930"/>
    <n v="250.06"/>
    <n v="5.4586334861383978E-2"/>
  </r>
  <r>
    <x v="244"/>
    <x v="3"/>
    <x v="2"/>
    <x v="0"/>
    <x v="8"/>
    <x v="1931"/>
    <n v="240.44"/>
    <n v="0.22387337057728118"/>
  </r>
  <r>
    <x v="427"/>
    <x v="2"/>
    <x v="2"/>
    <x v="3"/>
    <x v="0"/>
    <x v="88"/>
    <n v="1199.49"/>
    <n v="0.26235564304461945"/>
  </r>
  <r>
    <x v="159"/>
    <x v="9"/>
    <x v="2"/>
    <x v="2"/>
    <x v="1"/>
    <x v="768"/>
    <n v="651.16"/>
    <n v="7.9985259796093847E-2"/>
  </r>
  <r>
    <x v="661"/>
    <x v="0"/>
    <x v="0"/>
    <x v="3"/>
    <x v="0"/>
    <x v="1414"/>
    <n v="180.93"/>
    <n v="0.29955298013245035"/>
  </r>
  <r>
    <x v="28"/>
    <x v="1"/>
    <x v="1"/>
    <x v="2"/>
    <x v="3"/>
    <x v="1932"/>
    <n v="59.06"/>
    <n v="6.5187637969094922E-2"/>
  </r>
  <r>
    <x v="986"/>
    <x v="4"/>
    <x v="1"/>
    <x v="2"/>
    <x v="1"/>
    <x v="762"/>
    <n v="278.14"/>
    <n v="0.17581542351453855"/>
  </r>
  <r>
    <x v="76"/>
    <x v="1"/>
    <x v="1"/>
    <x v="3"/>
    <x v="7"/>
    <x v="1933"/>
    <n v="216.91"/>
    <n v="6.5611010284331514E-2"/>
  </r>
  <r>
    <x v="161"/>
    <x v="4"/>
    <x v="1"/>
    <x v="3"/>
    <x v="4"/>
    <x v="1146"/>
    <n v="237.41"/>
    <n v="0.28029515938606847"/>
  </r>
  <r>
    <x v="987"/>
    <x v="0"/>
    <x v="0"/>
    <x v="1"/>
    <x v="7"/>
    <x v="1934"/>
    <n v="846.27"/>
    <n v="0.2626536312849162"/>
  </r>
  <r>
    <x v="327"/>
    <x v="8"/>
    <x v="1"/>
    <x v="1"/>
    <x v="8"/>
    <x v="136"/>
    <n v="33.94"/>
    <n v="0.17957671957671956"/>
  </r>
  <r>
    <x v="212"/>
    <x v="9"/>
    <x v="2"/>
    <x v="2"/>
    <x v="0"/>
    <x v="39"/>
    <n v="348.91"/>
    <n v="0.28505718954248366"/>
  </r>
  <r>
    <x v="929"/>
    <x v="3"/>
    <x v="2"/>
    <x v="2"/>
    <x v="1"/>
    <x v="1935"/>
    <n v="1390.73"/>
    <n v="0.24741682974559687"/>
  </r>
  <r>
    <x v="750"/>
    <x v="2"/>
    <x v="2"/>
    <x v="3"/>
    <x v="7"/>
    <x v="873"/>
    <n v="246.21"/>
    <n v="0.25487577639751552"/>
  </r>
  <r>
    <x v="786"/>
    <x v="2"/>
    <x v="2"/>
    <x v="3"/>
    <x v="5"/>
    <x v="120"/>
    <n v="179.64"/>
    <n v="0.10395833333333332"/>
  </r>
  <r>
    <x v="791"/>
    <x v="1"/>
    <x v="1"/>
    <x v="3"/>
    <x v="5"/>
    <x v="25"/>
    <n v="1478.57"/>
    <n v="0.24088791137178234"/>
  </r>
  <r>
    <x v="211"/>
    <x v="6"/>
    <x v="1"/>
    <x v="2"/>
    <x v="0"/>
    <x v="1936"/>
    <n v="184.03"/>
    <n v="0.19090248962655601"/>
  </r>
  <r>
    <x v="533"/>
    <x v="7"/>
    <x v="2"/>
    <x v="2"/>
    <x v="1"/>
    <x v="1937"/>
    <n v="976.26"/>
    <n v="0.20784756227379178"/>
  </r>
  <r>
    <x v="255"/>
    <x v="7"/>
    <x v="2"/>
    <x v="3"/>
    <x v="3"/>
    <x v="1938"/>
    <n v="155.52000000000001"/>
    <n v="0.12623376623376625"/>
  </r>
  <r>
    <x v="981"/>
    <x v="6"/>
    <x v="1"/>
    <x v="3"/>
    <x v="1"/>
    <x v="381"/>
    <n v="734.79"/>
    <n v="0.11509868421052631"/>
  </r>
  <r>
    <x v="988"/>
    <x v="1"/>
    <x v="1"/>
    <x v="3"/>
    <x v="0"/>
    <x v="1718"/>
    <n v="162.72"/>
    <n v="0.20861538461538462"/>
  </r>
  <r>
    <x v="760"/>
    <x v="0"/>
    <x v="0"/>
    <x v="3"/>
    <x v="0"/>
    <x v="1939"/>
    <n v="362.22"/>
    <n v="0.28839171974522293"/>
  </r>
  <r>
    <x v="176"/>
    <x v="1"/>
    <x v="1"/>
    <x v="2"/>
    <x v="4"/>
    <x v="1940"/>
    <n v="220.93"/>
    <n v="0.1901290877796902"/>
  </r>
  <r>
    <x v="291"/>
    <x v="1"/>
    <x v="1"/>
    <x v="2"/>
    <x v="6"/>
    <x v="1324"/>
    <n v="995.03"/>
    <n v="0.13231781914893617"/>
  </r>
  <r>
    <x v="38"/>
    <x v="4"/>
    <x v="1"/>
    <x v="2"/>
    <x v="1"/>
    <x v="1941"/>
    <n v="463.92"/>
    <n v="0.19435274403016339"/>
  </r>
  <r>
    <x v="85"/>
    <x v="8"/>
    <x v="1"/>
    <x v="1"/>
    <x v="6"/>
    <x v="790"/>
    <n v="316.77"/>
    <n v="0.14041223404255318"/>
  </r>
  <r>
    <x v="151"/>
    <x v="6"/>
    <x v="1"/>
    <x v="0"/>
    <x v="6"/>
    <x v="1942"/>
    <n v="913.12"/>
    <n v="0.11718685831622176"/>
  </r>
  <r>
    <x v="947"/>
    <x v="9"/>
    <x v="2"/>
    <x v="1"/>
    <x v="6"/>
    <x v="1943"/>
    <n v="296.35000000000002"/>
    <n v="7.5139452332657203E-2"/>
  </r>
  <r>
    <x v="232"/>
    <x v="7"/>
    <x v="2"/>
    <x v="2"/>
    <x v="3"/>
    <x v="584"/>
    <n v="183.45"/>
    <n v="0.2231751824817518"/>
  </r>
  <r>
    <x v="295"/>
    <x v="4"/>
    <x v="1"/>
    <x v="0"/>
    <x v="8"/>
    <x v="1944"/>
    <n v="469.94"/>
    <n v="0.23952089704383281"/>
  </r>
  <r>
    <x v="981"/>
    <x v="0"/>
    <x v="0"/>
    <x v="0"/>
    <x v="0"/>
    <x v="1111"/>
    <n v="269.88"/>
    <n v="0.26562992125984253"/>
  </r>
  <r>
    <x v="657"/>
    <x v="2"/>
    <x v="2"/>
    <x v="0"/>
    <x v="3"/>
    <x v="1945"/>
    <n v="125.99"/>
    <n v="6.3631313131313122E-2"/>
  </r>
  <r>
    <x v="982"/>
    <x v="4"/>
    <x v="1"/>
    <x v="3"/>
    <x v="0"/>
    <x v="1946"/>
    <n v="965.26"/>
    <n v="0.24155655655655656"/>
  </r>
  <r>
    <x v="222"/>
    <x v="5"/>
    <x v="2"/>
    <x v="0"/>
    <x v="4"/>
    <x v="1947"/>
    <n v="183.82"/>
    <n v="0.27725490196078428"/>
  </r>
  <r>
    <x v="19"/>
    <x v="9"/>
    <x v="2"/>
    <x v="2"/>
    <x v="4"/>
    <x v="1877"/>
    <n v="104.31"/>
    <n v="0.18140869565217391"/>
  </r>
  <r>
    <x v="339"/>
    <x v="2"/>
    <x v="2"/>
    <x v="2"/>
    <x v="4"/>
    <x v="1948"/>
    <n v="33.76"/>
    <n v="0.18053475935828875"/>
  </r>
  <r>
    <x v="598"/>
    <x v="2"/>
    <x v="2"/>
    <x v="1"/>
    <x v="1"/>
    <x v="1949"/>
    <n v="378.24"/>
    <n v="6.0849420849420847E-2"/>
  </r>
  <r>
    <x v="408"/>
    <x v="3"/>
    <x v="2"/>
    <x v="2"/>
    <x v="4"/>
    <x v="136"/>
    <n v="19.02"/>
    <n v="0.10063492063492063"/>
  </r>
  <r>
    <x v="581"/>
    <x v="2"/>
    <x v="2"/>
    <x v="2"/>
    <x v="3"/>
    <x v="862"/>
    <n v="41.46"/>
    <n v="0.11581005586592179"/>
  </r>
  <r>
    <x v="118"/>
    <x v="8"/>
    <x v="1"/>
    <x v="0"/>
    <x v="7"/>
    <x v="1296"/>
    <n v="316.23"/>
    <n v="5.1070736434108532E-2"/>
  </r>
  <r>
    <x v="40"/>
    <x v="2"/>
    <x v="2"/>
    <x v="1"/>
    <x v="1"/>
    <x v="1950"/>
    <n v="592.46"/>
    <n v="0.13520310360565951"/>
  </r>
  <r>
    <x v="836"/>
    <x v="8"/>
    <x v="1"/>
    <x v="1"/>
    <x v="3"/>
    <x v="1951"/>
    <n v="100.78"/>
    <n v="8.9821746880570416E-2"/>
  </r>
  <r>
    <x v="925"/>
    <x v="9"/>
    <x v="2"/>
    <x v="0"/>
    <x v="6"/>
    <x v="1247"/>
    <n v="2081.7199999999998"/>
    <n v="0.25411621093749998"/>
  </r>
  <r>
    <x v="326"/>
    <x v="9"/>
    <x v="2"/>
    <x v="2"/>
    <x v="7"/>
    <x v="941"/>
    <n v="200.79"/>
    <n v="7.5541760722347626E-2"/>
  </r>
  <r>
    <x v="278"/>
    <x v="2"/>
    <x v="2"/>
    <x v="3"/>
    <x v="7"/>
    <x v="752"/>
    <n v="127.68"/>
    <n v="0.21069306930693071"/>
  </r>
  <r>
    <x v="795"/>
    <x v="6"/>
    <x v="1"/>
    <x v="2"/>
    <x v="6"/>
    <x v="1823"/>
    <n v="45.43"/>
    <n v="0.10140625"/>
  </r>
  <r>
    <x v="386"/>
    <x v="0"/>
    <x v="0"/>
    <x v="0"/>
    <x v="8"/>
    <x v="458"/>
    <n v="435.95"/>
    <n v="0.26042413381123058"/>
  </r>
  <r>
    <x v="516"/>
    <x v="2"/>
    <x v="2"/>
    <x v="2"/>
    <x v="7"/>
    <x v="1591"/>
    <n v="366.18"/>
    <n v="0.1883641975308642"/>
  </r>
  <r>
    <x v="736"/>
    <x v="6"/>
    <x v="1"/>
    <x v="2"/>
    <x v="7"/>
    <x v="825"/>
    <n v="302.08999999999997"/>
    <n v="0.17604312354312354"/>
  </r>
  <r>
    <x v="582"/>
    <x v="3"/>
    <x v="2"/>
    <x v="2"/>
    <x v="7"/>
    <x v="1396"/>
    <n v="445.01"/>
    <n v="0.14923205902079142"/>
  </r>
  <r>
    <x v="201"/>
    <x v="9"/>
    <x v="2"/>
    <x v="0"/>
    <x v="5"/>
    <x v="1952"/>
    <n v="2241.59"/>
    <n v="0.2989982659730559"/>
  </r>
  <r>
    <x v="611"/>
    <x v="4"/>
    <x v="1"/>
    <x v="2"/>
    <x v="8"/>
    <x v="969"/>
    <n v="142.71"/>
    <n v="0.13909356725146199"/>
  </r>
  <r>
    <x v="731"/>
    <x v="9"/>
    <x v="2"/>
    <x v="2"/>
    <x v="1"/>
    <x v="1953"/>
    <n v="2063.23"/>
    <n v="0.27911661255411258"/>
  </r>
  <r>
    <x v="172"/>
    <x v="0"/>
    <x v="0"/>
    <x v="0"/>
    <x v="0"/>
    <x v="1165"/>
    <n v="271.22000000000003"/>
    <n v="0.10415514592933948"/>
  </r>
  <r>
    <x v="962"/>
    <x v="5"/>
    <x v="2"/>
    <x v="0"/>
    <x v="7"/>
    <x v="1798"/>
    <n v="289.2"/>
    <n v="0.16563573883161511"/>
  </r>
  <r>
    <x v="838"/>
    <x v="4"/>
    <x v="1"/>
    <x v="3"/>
    <x v="7"/>
    <x v="1954"/>
    <n v="1365.87"/>
    <n v="0.24038542766631465"/>
  </r>
  <r>
    <x v="887"/>
    <x v="1"/>
    <x v="1"/>
    <x v="0"/>
    <x v="6"/>
    <x v="1955"/>
    <n v="2131.16"/>
    <n v="0.24597876269621421"/>
  </r>
  <r>
    <x v="596"/>
    <x v="2"/>
    <x v="2"/>
    <x v="3"/>
    <x v="8"/>
    <x v="1956"/>
    <n v="363.42"/>
    <n v="0.19259141494435614"/>
  </r>
  <r>
    <x v="774"/>
    <x v="7"/>
    <x v="2"/>
    <x v="1"/>
    <x v="1"/>
    <x v="1957"/>
    <n v="1544.51"/>
    <n v="0.25686179943455845"/>
  </r>
  <r>
    <x v="638"/>
    <x v="5"/>
    <x v="2"/>
    <x v="0"/>
    <x v="3"/>
    <x v="1061"/>
    <n v="463.58"/>
    <n v="0.29377693282636247"/>
  </r>
  <r>
    <x v="688"/>
    <x v="3"/>
    <x v="2"/>
    <x v="2"/>
    <x v="8"/>
    <x v="1958"/>
    <n v="38.369999999999997"/>
    <n v="0.13463157894736841"/>
  </r>
  <r>
    <x v="760"/>
    <x v="9"/>
    <x v="2"/>
    <x v="3"/>
    <x v="7"/>
    <x v="1959"/>
    <n v="963.82"/>
    <n v="0.17691262848751838"/>
  </r>
  <r>
    <x v="27"/>
    <x v="0"/>
    <x v="0"/>
    <x v="1"/>
    <x v="3"/>
    <x v="1352"/>
    <n v="468.76"/>
    <n v="0.27412865497076022"/>
  </r>
  <r>
    <x v="236"/>
    <x v="8"/>
    <x v="1"/>
    <x v="3"/>
    <x v="5"/>
    <x v="1607"/>
    <n v="432.67"/>
    <n v="0.15359247426340078"/>
  </r>
  <r>
    <x v="584"/>
    <x v="7"/>
    <x v="2"/>
    <x v="1"/>
    <x v="5"/>
    <x v="1960"/>
    <n v="1780.52"/>
    <n v="0.19529669847537567"/>
  </r>
  <r>
    <x v="479"/>
    <x v="5"/>
    <x v="2"/>
    <x v="2"/>
    <x v="3"/>
    <x v="1961"/>
    <n v="42.37"/>
    <n v="0.15463503649635035"/>
  </r>
  <r>
    <x v="889"/>
    <x v="8"/>
    <x v="1"/>
    <x v="2"/>
    <x v="7"/>
    <x v="1962"/>
    <n v="885.71"/>
    <n v="0.13821941323345818"/>
  </r>
  <r>
    <x v="967"/>
    <x v="8"/>
    <x v="1"/>
    <x v="3"/>
    <x v="2"/>
    <x v="1963"/>
    <n v="1441.84"/>
    <n v="0.25053692441355341"/>
  </r>
  <r>
    <x v="989"/>
    <x v="2"/>
    <x v="2"/>
    <x v="3"/>
    <x v="8"/>
    <x v="90"/>
    <n v="245.66"/>
    <n v="0.10860300618921308"/>
  </r>
  <r>
    <x v="410"/>
    <x v="4"/>
    <x v="1"/>
    <x v="1"/>
    <x v="1"/>
    <x v="404"/>
    <n v="233.77"/>
    <n v="0.13096358543417366"/>
  </r>
  <r>
    <x v="68"/>
    <x v="0"/>
    <x v="0"/>
    <x v="0"/>
    <x v="6"/>
    <x v="1964"/>
    <n v="657.87"/>
    <n v="0.12828978159126364"/>
  </r>
  <r>
    <x v="990"/>
    <x v="3"/>
    <x v="2"/>
    <x v="2"/>
    <x v="6"/>
    <x v="769"/>
    <n v="1400.82"/>
    <n v="0.27063755795981453"/>
  </r>
  <r>
    <x v="991"/>
    <x v="8"/>
    <x v="1"/>
    <x v="0"/>
    <x v="2"/>
    <x v="1965"/>
    <n v="331.76"/>
    <n v="0.21970860927152316"/>
  </r>
  <r>
    <x v="278"/>
    <x v="8"/>
    <x v="1"/>
    <x v="0"/>
    <x v="4"/>
    <x v="1966"/>
    <n v="77.209999999999994"/>
    <n v="8.1531151003167893E-2"/>
  </r>
  <r>
    <x v="383"/>
    <x v="7"/>
    <x v="2"/>
    <x v="0"/>
    <x v="5"/>
    <x v="1967"/>
    <n v="731.33"/>
    <n v="0.1347576930163995"/>
  </r>
  <r>
    <x v="584"/>
    <x v="5"/>
    <x v="2"/>
    <x v="2"/>
    <x v="0"/>
    <x v="1968"/>
    <n v="507.87"/>
    <n v="0.111375"/>
  </r>
  <r>
    <x v="318"/>
    <x v="2"/>
    <x v="2"/>
    <x v="2"/>
    <x v="7"/>
    <x v="1024"/>
    <n v="268.39999999999998"/>
    <n v="0.12780952380952379"/>
  </r>
  <r>
    <x v="870"/>
    <x v="9"/>
    <x v="2"/>
    <x v="0"/>
    <x v="4"/>
    <x v="1969"/>
    <n v="288.14999999999998"/>
    <n v="0.27338709677419354"/>
  </r>
  <r>
    <x v="480"/>
    <x v="5"/>
    <x v="2"/>
    <x v="3"/>
    <x v="7"/>
    <x v="1970"/>
    <n v="1814.21"/>
    <n v="0.25821377739823514"/>
  </r>
  <r>
    <x v="992"/>
    <x v="3"/>
    <x v="2"/>
    <x v="0"/>
    <x v="5"/>
    <x v="698"/>
    <n v="151.87"/>
    <n v="0.29604288499025344"/>
  </r>
  <r>
    <x v="423"/>
    <x v="4"/>
    <x v="1"/>
    <x v="2"/>
    <x v="3"/>
    <x v="167"/>
    <n v="353.83"/>
    <n v="0.1576782531194296"/>
  </r>
  <r>
    <x v="932"/>
    <x v="7"/>
    <x v="2"/>
    <x v="0"/>
    <x v="2"/>
    <x v="404"/>
    <n v="134.94999999999999"/>
    <n v="7.560224089635853E-2"/>
  </r>
  <r>
    <x v="96"/>
    <x v="8"/>
    <x v="1"/>
    <x v="2"/>
    <x v="2"/>
    <x v="1736"/>
    <n v="77.91"/>
    <n v="0.10746206896551724"/>
  </r>
  <r>
    <x v="880"/>
    <x v="7"/>
    <x v="2"/>
    <x v="0"/>
    <x v="0"/>
    <x v="1971"/>
    <n v="689.29"/>
    <n v="0.27396263910969793"/>
  </r>
  <r>
    <x v="377"/>
    <x v="6"/>
    <x v="1"/>
    <x v="1"/>
    <x v="6"/>
    <x v="1972"/>
    <n v="1152.99"/>
    <n v="0.18430147058823529"/>
  </r>
  <r>
    <x v="223"/>
    <x v="3"/>
    <x v="2"/>
    <x v="0"/>
    <x v="3"/>
    <x v="1973"/>
    <n v="74.34"/>
    <n v="0.16446902654867257"/>
  </r>
  <r>
    <x v="408"/>
    <x v="9"/>
    <x v="2"/>
    <x v="2"/>
    <x v="1"/>
    <x v="1476"/>
    <n v="1338.58"/>
    <n v="0.25327909176915797"/>
  </r>
  <r>
    <x v="569"/>
    <x v="7"/>
    <x v="2"/>
    <x v="0"/>
    <x v="7"/>
    <x v="1073"/>
    <n v="786.79"/>
    <n v="0.16149220032840722"/>
  </r>
  <r>
    <x v="858"/>
    <x v="8"/>
    <x v="1"/>
    <x v="1"/>
    <x v="2"/>
    <x v="1974"/>
    <n v="164.56"/>
    <n v="6.5955911823647295E-2"/>
  </r>
  <r>
    <x v="273"/>
    <x v="6"/>
    <x v="1"/>
    <x v="3"/>
    <x v="4"/>
    <x v="772"/>
    <n v="82.73"/>
    <n v="0.18717194570135748"/>
  </r>
  <r>
    <x v="545"/>
    <x v="0"/>
    <x v="0"/>
    <x v="1"/>
    <x v="5"/>
    <x v="1975"/>
    <n v="1312.19"/>
    <n v="0.15266899360093078"/>
  </r>
  <r>
    <x v="183"/>
    <x v="8"/>
    <x v="1"/>
    <x v="1"/>
    <x v="0"/>
    <x v="1068"/>
    <n v="411.5"/>
    <n v="0.11663832199546485"/>
  </r>
  <r>
    <x v="428"/>
    <x v="9"/>
    <x v="2"/>
    <x v="0"/>
    <x v="1"/>
    <x v="1976"/>
    <n v="746.84"/>
    <n v="9.603188890317603E-2"/>
  </r>
  <r>
    <x v="861"/>
    <x v="5"/>
    <x v="2"/>
    <x v="2"/>
    <x v="0"/>
    <x v="66"/>
    <n v="451.68"/>
    <n v="0.22494023904382471"/>
  </r>
  <r>
    <x v="806"/>
    <x v="1"/>
    <x v="1"/>
    <x v="0"/>
    <x v="3"/>
    <x v="1977"/>
    <n v="41.37"/>
    <n v="6.9412751677852338E-2"/>
  </r>
  <r>
    <x v="366"/>
    <x v="5"/>
    <x v="2"/>
    <x v="1"/>
    <x v="5"/>
    <x v="1978"/>
    <n v="1402.67"/>
    <n v="0.28336767676767677"/>
  </r>
  <r>
    <x v="821"/>
    <x v="8"/>
    <x v="1"/>
    <x v="2"/>
    <x v="3"/>
    <x v="316"/>
    <n v="86.07"/>
    <n v="0.13661904761904761"/>
  </r>
  <r>
    <x v="528"/>
    <x v="3"/>
    <x v="2"/>
    <x v="0"/>
    <x v="7"/>
    <x v="1979"/>
    <n v="754.18"/>
    <n v="0.12275065104166666"/>
  </r>
  <r>
    <x v="963"/>
    <x v="6"/>
    <x v="1"/>
    <x v="0"/>
    <x v="4"/>
    <x v="1804"/>
    <n v="24.21"/>
    <n v="0.17292857142857143"/>
  </r>
  <r>
    <x v="475"/>
    <x v="4"/>
    <x v="1"/>
    <x v="1"/>
    <x v="3"/>
    <x v="1980"/>
    <n v="215.06"/>
    <n v="0.10678252234359484"/>
  </r>
  <r>
    <x v="933"/>
    <x v="1"/>
    <x v="1"/>
    <x v="3"/>
    <x v="3"/>
    <x v="245"/>
    <n v="99.02"/>
    <n v="0.25786458333333334"/>
  </r>
  <r>
    <x v="842"/>
    <x v="0"/>
    <x v="0"/>
    <x v="1"/>
    <x v="1"/>
    <x v="1060"/>
    <n v="351.51"/>
    <n v="9.2992063492063487E-2"/>
  </r>
  <r>
    <x v="993"/>
    <x v="6"/>
    <x v="1"/>
    <x v="3"/>
    <x v="1"/>
    <x v="1981"/>
    <n v="915.75"/>
    <n v="0.18144442242916584"/>
  </r>
  <r>
    <x v="866"/>
    <x v="4"/>
    <x v="1"/>
    <x v="2"/>
    <x v="8"/>
    <x v="941"/>
    <n v="175.89"/>
    <n v="6.6173814898419864E-2"/>
  </r>
  <r>
    <x v="662"/>
    <x v="1"/>
    <x v="1"/>
    <x v="3"/>
    <x v="6"/>
    <x v="571"/>
    <n v="53.91"/>
    <n v="0.10210227272727272"/>
  </r>
  <r>
    <x v="994"/>
    <x v="8"/>
    <x v="1"/>
    <x v="1"/>
    <x v="5"/>
    <x v="1723"/>
    <n v="1045.1400000000001"/>
    <n v="0.16061779621945599"/>
  </r>
  <r>
    <x v="642"/>
    <x v="3"/>
    <x v="2"/>
    <x v="2"/>
    <x v="1"/>
    <x v="1982"/>
    <n v="1035.5"/>
    <n v="0.17589604212671989"/>
  </r>
  <r>
    <x v="162"/>
    <x v="4"/>
    <x v="1"/>
    <x v="1"/>
    <x v="6"/>
    <x v="1983"/>
    <n v="1679.16"/>
    <n v="0.20417801556420234"/>
  </r>
  <r>
    <x v="655"/>
    <x v="9"/>
    <x v="2"/>
    <x v="2"/>
    <x v="8"/>
    <x v="551"/>
    <n v="115.25"/>
    <n v="0.15940525587828491"/>
  </r>
  <r>
    <x v="937"/>
    <x v="1"/>
    <x v="1"/>
    <x v="0"/>
    <x v="3"/>
    <x v="1984"/>
    <n v="504.72"/>
    <n v="0.22214788732394367"/>
  </r>
  <r>
    <x v="995"/>
    <x v="8"/>
    <x v="1"/>
    <x v="1"/>
    <x v="5"/>
    <x v="1795"/>
    <n v="1963.34"/>
    <n v="0.22723842592592591"/>
  </r>
  <r>
    <x v="496"/>
    <x v="3"/>
    <x v="2"/>
    <x v="0"/>
    <x v="6"/>
    <x v="817"/>
    <n v="631.80999999999995"/>
    <n v="0.21173257372654153"/>
  </r>
  <r>
    <x v="503"/>
    <x v="7"/>
    <x v="2"/>
    <x v="1"/>
    <x v="3"/>
    <x v="752"/>
    <n v="150.94999999999999"/>
    <n v="0.24909240924092407"/>
  </r>
  <r>
    <x v="183"/>
    <x v="6"/>
    <x v="1"/>
    <x v="3"/>
    <x v="3"/>
    <x v="1985"/>
    <n v="48.69"/>
    <n v="0.28641176470588237"/>
  </r>
  <r>
    <x v="996"/>
    <x v="4"/>
    <x v="1"/>
    <x v="1"/>
    <x v="5"/>
    <x v="1986"/>
    <n v="1550.3"/>
    <n v="0.29345069089532461"/>
  </r>
  <r>
    <x v="946"/>
    <x v="5"/>
    <x v="2"/>
    <x v="3"/>
    <x v="7"/>
    <x v="864"/>
    <n v="356.88"/>
    <n v="0.26435555555555557"/>
  </r>
  <r>
    <x v="380"/>
    <x v="4"/>
    <x v="1"/>
    <x v="2"/>
    <x v="0"/>
    <x v="1987"/>
    <n v="467.34"/>
    <n v="0.18693599999999999"/>
  </r>
  <r>
    <x v="691"/>
    <x v="3"/>
    <x v="2"/>
    <x v="0"/>
    <x v="0"/>
    <x v="1116"/>
    <n v="689.85"/>
    <n v="0.14841867469879519"/>
  </r>
  <r>
    <x v="722"/>
    <x v="0"/>
    <x v="0"/>
    <x v="0"/>
    <x v="2"/>
    <x v="1988"/>
    <n v="93.41"/>
    <n v="0.14370769230769231"/>
  </r>
  <r>
    <x v="415"/>
    <x v="6"/>
    <x v="1"/>
    <x v="0"/>
    <x v="3"/>
    <x v="1989"/>
    <n v="97.15"/>
    <n v="6.3166449934980495E-2"/>
  </r>
  <r>
    <x v="689"/>
    <x v="5"/>
    <x v="2"/>
    <x v="1"/>
    <x v="0"/>
    <x v="1512"/>
    <n v="325.32"/>
    <n v="8.2820773930753558E-2"/>
  </r>
  <r>
    <x v="510"/>
    <x v="4"/>
    <x v="1"/>
    <x v="0"/>
    <x v="3"/>
    <x v="322"/>
    <n v="175.86"/>
    <n v="7.7883082373782109E-2"/>
  </r>
  <r>
    <x v="317"/>
    <x v="6"/>
    <x v="1"/>
    <x v="3"/>
    <x v="5"/>
    <x v="605"/>
    <n v="447.93"/>
    <n v="0.14990963855421688"/>
  </r>
  <r>
    <x v="529"/>
    <x v="4"/>
    <x v="1"/>
    <x v="2"/>
    <x v="6"/>
    <x v="1311"/>
    <n v="810.82"/>
    <n v="0.1960396518375242"/>
  </r>
  <r>
    <x v="708"/>
    <x v="1"/>
    <x v="1"/>
    <x v="2"/>
    <x v="1"/>
    <x v="1990"/>
    <n v="387.82"/>
    <n v="0.10757836338418862"/>
  </r>
  <r>
    <x v="966"/>
    <x v="5"/>
    <x v="2"/>
    <x v="3"/>
    <x v="8"/>
    <x v="359"/>
    <n v="469.28"/>
    <n v="0.28338164251207726"/>
  </r>
  <r>
    <x v="997"/>
    <x v="0"/>
    <x v="0"/>
    <x v="3"/>
    <x v="6"/>
    <x v="1991"/>
    <n v="2113.06"/>
    <n v="0.29879242081447965"/>
  </r>
  <r>
    <x v="235"/>
    <x v="8"/>
    <x v="1"/>
    <x v="2"/>
    <x v="6"/>
    <x v="1992"/>
    <n v="542.52"/>
    <n v="0.1010655737704918"/>
  </r>
  <r>
    <x v="31"/>
    <x v="9"/>
    <x v="2"/>
    <x v="1"/>
    <x v="0"/>
    <x v="380"/>
    <n v="374.79"/>
    <n v="0.27639380530973451"/>
  </r>
  <r>
    <x v="697"/>
    <x v="0"/>
    <x v="0"/>
    <x v="2"/>
    <x v="7"/>
    <x v="1993"/>
    <n v="338.66"/>
    <n v="0.25539969834087484"/>
  </r>
  <r>
    <x v="756"/>
    <x v="0"/>
    <x v="0"/>
    <x v="1"/>
    <x v="4"/>
    <x v="1994"/>
    <n v="55.72"/>
    <n v="7.6328767123287664E-2"/>
  </r>
  <r>
    <x v="870"/>
    <x v="4"/>
    <x v="1"/>
    <x v="2"/>
    <x v="0"/>
    <x v="1995"/>
    <n v="294.05"/>
    <n v="6.3046740994854203E-2"/>
  </r>
  <r>
    <x v="10"/>
    <x v="9"/>
    <x v="2"/>
    <x v="0"/>
    <x v="6"/>
    <x v="1068"/>
    <n v="593.11"/>
    <n v="0.16811507936507936"/>
  </r>
  <r>
    <x v="569"/>
    <x v="1"/>
    <x v="1"/>
    <x v="3"/>
    <x v="8"/>
    <x v="1996"/>
    <n v="190.59"/>
    <n v="0.12731462925851703"/>
  </r>
  <r>
    <x v="364"/>
    <x v="2"/>
    <x v="2"/>
    <x v="0"/>
    <x v="8"/>
    <x v="751"/>
    <n v="781.94"/>
    <n v="0.29754185692541857"/>
  </r>
  <r>
    <x v="900"/>
    <x v="9"/>
    <x v="2"/>
    <x v="3"/>
    <x v="0"/>
    <x v="1387"/>
    <n v="655.29"/>
    <n v="0.15617016205910389"/>
  </r>
  <r>
    <x v="382"/>
    <x v="6"/>
    <x v="1"/>
    <x v="2"/>
    <x v="1"/>
    <x v="1997"/>
    <n v="317.12"/>
    <n v="0.26338870431893691"/>
  </r>
  <r>
    <x v="635"/>
    <x v="0"/>
    <x v="0"/>
    <x v="3"/>
    <x v="1"/>
    <x v="1998"/>
    <n v="1555.05"/>
    <n v="0.21843657817109144"/>
  </r>
  <r>
    <x v="446"/>
    <x v="2"/>
    <x v="2"/>
    <x v="3"/>
    <x v="6"/>
    <x v="1505"/>
    <n v="351.02"/>
    <n v="0.18994588744588745"/>
  </r>
  <r>
    <x v="342"/>
    <x v="2"/>
    <x v="2"/>
    <x v="2"/>
    <x v="0"/>
    <x v="860"/>
    <n v="531.12"/>
    <n v="0.23795698924731182"/>
  </r>
  <r>
    <x v="221"/>
    <x v="1"/>
    <x v="1"/>
    <x v="3"/>
    <x v="7"/>
    <x v="951"/>
    <n v="898.86"/>
    <n v="0.17319075144508672"/>
  </r>
  <r>
    <x v="245"/>
    <x v="7"/>
    <x v="2"/>
    <x v="3"/>
    <x v="8"/>
    <x v="386"/>
    <n v="403.42"/>
    <n v="0.220448087431694"/>
  </r>
  <r>
    <x v="196"/>
    <x v="1"/>
    <x v="1"/>
    <x v="3"/>
    <x v="4"/>
    <x v="1999"/>
    <n v="302.68"/>
    <n v="0.29301064859632142"/>
  </r>
  <r>
    <x v="506"/>
    <x v="5"/>
    <x v="2"/>
    <x v="2"/>
    <x v="1"/>
    <x v="1191"/>
    <n v="611.70000000000005"/>
    <n v="0.26320998278829605"/>
  </r>
  <r>
    <x v="388"/>
    <x v="8"/>
    <x v="1"/>
    <x v="0"/>
    <x v="3"/>
    <x v="2000"/>
    <n v="235.42"/>
    <n v="0.12122554067971163"/>
  </r>
  <r>
    <x v="743"/>
    <x v="0"/>
    <x v="0"/>
    <x v="2"/>
    <x v="1"/>
    <x v="2001"/>
    <n v="1615.9"/>
    <n v="0.28151567944250872"/>
  </r>
  <r>
    <x v="418"/>
    <x v="5"/>
    <x v="2"/>
    <x v="2"/>
    <x v="5"/>
    <x v="2002"/>
    <n v="1096.8800000000001"/>
    <n v="0.17045532245532247"/>
  </r>
  <r>
    <x v="540"/>
    <x v="1"/>
    <x v="1"/>
    <x v="0"/>
    <x v="3"/>
    <x v="1416"/>
    <n v="172.18"/>
    <n v="0.14741438356164385"/>
  </r>
  <r>
    <x v="356"/>
    <x v="2"/>
    <x v="2"/>
    <x v="2"/>
    <x v="5"/>
    <x v="1491"/>
    <n v="441.36"/>
    <n v="5.9951100244498783E-2"/>
  </r>
  <r>
    <x v="391"/>
    <x v="5"/>
    <x v="2"/>
    <x v="3"/>
    <x v="3"/>
    <x v="2003"/>
    <n v="105.97"/>
    <n v="0.12293503480278423"/>
  </r>
  <r>
    <x v="809"/>
    <x v="1"/>
    <x v="1"/>
    <x v="3"/>
    <x v="4"/>
    <x v="1705"/>
    <n v="167.16"/>
    <n v="0.17485355648535564"/>
  </r>
  <r>
    <x v="935"/>
    <x v="7"/>
    <x v="2"/>
    <x v="3"/>
    <x v="1"/>
    <x v="2004"/>
    <n v="770.3"/>
    <n v="0.17356917530419105"/>
  </r>
  <r>
    <x v="14"/>
    <x v="8"/>
    <x v="1"/>
    <x v="1"/>
    <x v="5"/>
    <x v="1601"/>
    <n v="100"/>
    <n v="0.102880658436214"/>
  </r>
  <r>
    <x v="851"/>
    <x v="8"/>
    <x v="1"/>
    <x v="3"/>
    <x v="3"/>
    <x v="2005"/>
    <n v="129.24"/>
    <n v="7.1167400881057274E-2"/>
  </r>
  <r>
    <x v="526"/>
    <x v="6"/>
    <x v="1"/>
    <x v="1"/>
    <x v="0"/>
    <x v="1977"/>
    <n v="105.89"/>
    <n v="0.17766778523489932"/>
  </r>
  <r>
    <x v="153"/>
    <x v="1"/>
    <x v="1"/>
    <x v="1"/>
    <x v="5"/>
    <x v="429"/>
    <n v="346.9"/>
    <n v="0.28134630981346309"/>
  </r>
  <r>
    <x v="188"/>
    <x v="4"/>
    <x v="1"/>
    <x v="3"/>
    <x v="4"/>
    <x v="2006"/>
    <n v="88.61"/>
    <n v="8.399052132701422E-2"/>
  </r>
  <r>
    <x v="514"/>
    <x v="2"/>
    <x v="2"/>
    <x v="1"/>
    <x v="3"/>
    <x v="255"/>
    <n v="112.39"/>
    <n v="0.11805672268907563"/>
  </r>
  <r>
    <x v="956"/>
    <x v="1"/>
    <x v="1"/>
    <x v="3"/>
    <x v="4"/>
    <x v="1307"/>
    <n v="40.47"/>
    <n v="0.12971153846153846"/>
  </r>
  <r>
    <x v="998"/>
    <x v="2"/>
    <x v="2"/>
    <x v="2"/>
    <x v="3"/>
    <x v="499"/>
    <n v="35.049999999999997"/>
    <n v="0.11921768707482992"/>
  </r>
  <r>
    <x v="312"/>
    <x v="5"/>
    <x v="2"/>
    <x v="0"/>
    <x v="3"/>
    <x v="591"/>
    <n v="120.91"/>
    <n v="0.25508438818565399"/>
  </r>
  <r>
    <x v="642"/>
    <x v="3"/>
    <x v="2"/>
    <x v="1"/>
    <x v="3"/>
    <x v="2007"/>
    <n v="195.15"/>
    <n v="0.24765228426395941"/>
  </r>
  <r>
    <x v="16"/>
    <x v="1"/>
    <x v="1"/>
    <x v="0"/>
    <x v="6"/>
    <x v="2008"/>
    <n v="156.53"/>
    <n v="5.6713768115942031E-2"/>
  </r>
  <r>
    <x v="662"/>
    <x v="9"/>
    <x v="2"/>
    <x v="0"/>
    <x v="0"/>
    <x v="292"/>
    <n v="219.79"/>
    <n v="0.24205947136563877"/>
  </r>
  <r>
    <x v="461"/>
    <x v="7"/>
    <x v="2"/>
    <x v="1"/>
    <x v="4"/>
    <x v="2009"/>
    <n v="133.01"/>
    <n v="0.22430016863406407"/>
  </r>
  <r>
    <x v="940"/>
    <x v="4"/>
    <x v="1"/>
    <x v="2"/>
    <x v="7"/>
    <x v="966"/>
    <n v="193.42"/>
    <n v="0.11391048292108362"/>
  </r>
  <r>
    <x v="104"/>
    <x v="0"/>
    <x v="0"/>
    <x v="1"/>
    <x v="4"/>
    <x v="1899"/>
    <n v="124.1"/>
    <n v="0.22728937728937729"/>
  </r>
  <r>
    <x v="783"/>
    <x v="9"/>
    <x v="2"/>
    <x v="3"/>
    <x v="2"/>
    <x v="233"/>
    <n v="275.83999999999997"/>
    <n v="6.2977168949771678E-2"/>
  </r>
  <r>
    <x v="223"/>
    <x v="3"/>
    <x v="2"/>
    <x v="3"/>
    <x v="0"/>
    <x v="451"/>
    <n v="594.62"/>
    <n v="0.240542071197411"/>
  </r>
  <r>
    <x v="330"/>
    <x v="7"/>
    <x v="2"/>
    <x v="1"/>
    <x v="0"/>
    <x v="2010"/>
    <n v="396.63"/>
    <n v="0.19871242484969939"/>
  </r>
  <r>
    <x v="366"/>
    <x v="3"/>
    <x v="2"/>
    <x v="3"/>
    <x v="2"/>
    <x v="2011"/>
    <n v="699.74"/>
    <n v="0.27712475247524754"/>
  </r>
  <r>
    <x v="782"/>
    <x v="4"/>
    <x v="1"/>
    <x v="3"/>
    <x v="5"/>
    <x v="1730"/>
    <n v="517.23"/>
    <n v="0.1279955456570156"/>
  </r>
  <r>
    <x v="909"/>
    <x v="8"/>
    <x v="1"/>
    <x v="2"/>
    <x v="8"/>
    <x v="2012"/>
    <n v="246.86"/>
    <n v="0.28771561771561771"/>
  </r>
  <r>
    <x v="91"/>
    <x v="8"/>
    <x v="1"/>
    <x v="0"/>
    <x v="5"/>
    <x v="149"/>
    <n v="1238.5999999999999"/>
    <n v="0.29343757403458892"/>
  </r>
  <r>
    <x v="390"/>
    <x v="2"/>
    <x v="2"/>
    <x v="1"/>
    <x v="3"/>
    <x v="2012"/>
    <n v="73.489999999999995"/>
    <n v="8.5652680652680641E-2"/>
  </r>
  <r>
    <x v="227"/>
    <x v="8"/>
    <x v="1"/>
    <x v="0"/>
    <x v="4"/>
    <x v="1811"/>
    <n v="172.19"/>
    <n v="0.22189432989690722"/>
  </r>
  <r>
    <x v="635"/>
    <x v="9"/>
    <x v="2"/>
    <x v="0"/>
    <x v="1"/>
    <x v="517"/>
    <n v="871.81"/>
    <n v="0.23859058565955116"/>
  </r>
  <r>
    <x v="921"/>
    <x v="4"/>
    <x v="1"/>
    <x v="1"/>
    <x v="8"/>
    <x v="245"/>
    <n v="45.99"/>
    <n v="0.119765625"/>
  </r>
  <r>
    <x v="991"/>
    <x v="0"/>
    <x v="0"/>
    <x v="3"/>
    <x v="2"/>
    <x v="2013"/>
    <n v="43.47"/>
    <n v="8.1252336448598125E-2"/>
  </r>
  <r>
    <x v="818"/>
    <x v="4"/>
    <x v="1"/>
    <x v="0"/>
    <x v="5"/>
    <x v="2014"/>
    <n v="1979.53"/>
    <n v="0.24768893893893892"/>
  </r>
  <r>
    <x v="562"/>
    <x v="1"/>
    <x v="1"/>
    <x v="0"/>
    <x v="1"/>
    <x v="398"/>
    <n v="350.57"/>
    <n v="9.0074511819116132E-2"/>
  </r>
  <r>
    <x v="999"/>
    <x v="2"/>
    <x v="2"/>
    <x v="1"/>
    <x v="8"/>
    <x v="2015"/>
    <n v="468.6"/>
    <n v="0.17770193401592721"/>
  </r>
  <r>
    <x v="1000"/>
    <x v="1"/>
    <x v="1"/>
    <x v="2"/>
    <x v="6"/>
    <x v="1955"/>
    <n v="2349.6799999999998"/>
    <n v="0.27120036934441366"/>
  </r>
  <r>
    <x v="855"/>
    <x v="5"/>
    <x v="2"/>
    <x v="2"/>
    <x v="7"/>
    <x v="1118"/>
    <n v="116.87"/>
    <n v="0.12730936819172115"/>
  </r>
  <r>
    <x v="607"/>
    <x v="6"/>
    <x v="1"/>
    <x v="3"/>
    <x v="2"/>
    <x v="2016"/>
    <n v="1006.95"/>
    <n v="0.17901333333333333"/>
  </r>
  <r>
    <x v="642"/>
    <x v="2"/>
    <x v="2"/>
    <x v="3"/>
    <x v="7"/>
    <x v="2017"/>
    <n v="511.7"/>
    <n v="8.4859038142620233E-2"/>
  </r>
  <r>
    <x v="802"/>
    <x v="0"/>
    <x v="0"/>
    <x v="3"/>
    <x v="6"/>
    <x v="1356"/>
    <n v="98.44"/>
    <n v="0.22787037037037036"/>
  </r>
  <r>
    <x v="819"/>
    <x v="9"/>
    <x v="2"/>
    <x v="2"/>
    <x v="7"/>
    <x v="2018"/>
    <n v="190.58"/>
    <n v="0.10115711252653928"/>
  </r>
  <r>
    <x v="801"/>
    <x v="9"/>
    <x v="2"/>
    <x v="1"/>
    <x v="5"/>
    <x v="702"/>
    <n v="2526.27"/>
    <n v="0.27385040650406506"/>
  </r>
  <r>
    <x v="210"/>
    <x v="0"/>
    <x v="0"/>
    <x v="0"/>
    <x v="3"/>
    <x v="613"/>
    <n v="71"/>
    <n v="7.4423480083857449E-2"/>
  </r>
  <r>
    <x v="33"/>
    <x v="5"/>
    <x v="2"/>
    <x v="3"/>
    <x v="6"/>
    <x v="1991"/>
    <n v="1983.42"/>
    <n v="0.28046097285067872"/>
  </r>
  <r>
    <x v="852"/>
    <x v="7"/>
    <x v="2"/>
    <x v="0"/>
    <x v="8"/>
    <x v="2019"/>
    <n v="89.67"/>
    <n v="0.26219298245614037"/>
  </r>
  <r>
    <x v="43"/>
    <x v="0"/>
    <x v="0"/>
    <x v="2"/>
    <x v="0"/>
    <x v="2020"/>
    <n v="410.86"/>
    <n v="0.16838524590163936"/>
  </r>
  <r>
    <x v="31"/>
    <x v="1"/>
    <x v="1"/>
    <x v="2"/>
    <x v="2"/>
    <x v="742"/>
    <n v="82.47"/>
    <n v="0.16170588235294117"/>
  </r>
  <r>
    <x v="305"/>
    <x v="7"/>
    <x v="2"/>
    <x v="2"/>
    <x v="4"/>
    <x v="2021"/>
    <n v="16.47"/>
    <n v="8.5781249999999989E-2"/>
  </r>
  <r>
    <x v="673"/>
    <x v="1"/>
    <x v="1"/>
    <x v="1"/>
    <x v="2"/>
    <x v="81"/>
    <n v="712.3"/>
    <n v="0.1978611111111111"/>
  </r>
  <r>
    <x v="1001"/>
    <x v="3"/>
    <x v="2"/>
    <x v="3"/>
    <x v="1"/>
    <x v="1417"/>
    <n v="766.32"/>
    <n v="0.29507893723527151"/>
  </r>
  <r>
    <x v="212"/>
    <x v="3"/>
    <x v="2"/>
    <x v="1"/>
    <x v="0"/>
    <x v="2022"/>
    <n v="215.62"/>
    <n v="0.27930051813471501"/>
  </r>
  <r>
    <x v="665"/>
    <x v="1"/>
    <x v="1"/>
    <x v="3"/>
    <x v="3"/>
    <x v="2023"/>
    <n v="180.5"/>
    <n v="0.27941176470588236"/>
  </r>
  <r>
    <x v="181"/>
    <x v="7"/>
    <x v="2"/>
    <x v="1"/>
    <x v="1"/>
    <x v="2024"/>
    <n v="809.46"/>
    <n v="0.27467254835425858"/>
  </r>
  <r>
    <x v="801"/>
    <x v="9"/>
    <x v="2"/>
    <x v="2"/>
    <x v="2"/>
    <x v="2025"/>
    <n v="255.9"/>
    <n v="0.29079545454545458"/>
  </r>
  <r>
    <x v="691"/>
    <x v="3"/>
    <x v="2"/>
    <x v="3"/>
    <x v="8"/>
    <x v="1197"/>
    <n v="219.69"/>
    <n v="0.21164739884393063"/>
  </r>
  <r>
    <x v="965"/>
    <x v="0"/>
    <x v="0"/>
    <x v="3"/>
    <x v="4"/>
    <x v="147"/>
    <n v="209.69"/>
    <n v="0.29368347338935574"/>
  </r>
  <r>
    <x v="275"/>
    <x v="9"/>
    <x v="2"/>
    <x v="2"/>
    <x v="0"/>
    <x v="1764"/>
    <n v="506.56"/>
    <n v="0.28267857142857145"/>
  </r>
  <r>
    <x v="116"/>
    <x v="4"/>
    <x v="1"/>
    <x v="1"/>
    <x v="7"/>
    <x v="2026"/>
    <n v="1386.51"/>
    <n v="0.23604187946884575"/>
  </r>
  <r>
    <x v="162"/>
    <x v="5"/>
    <x v="2"/>
    <x v="1"/>
    <x v="7"/>
    <x v="2027"/>
    <n v="332.08"/>
    <n v="0.13304487179487179"/>
  </r>
  <r>
    <x v="841"/>
    <x v="5"/>
    <x v="2"/>
    <x v="3"/>
    <x v="8"/>
    <x v="2028"/>
    <n v="60.34"/>
    <n v="7.5899371069182389E-2"/>
  </r>
  <r>
    <x v="350"/>
    <x v="7"/>
    <x v="2"/>
    <x v="1"/>
    <x v="1"/>
    <x v="851"/>
    <n v="1597.03"/>
    <n v="0.22064520585797182"/>
  </r>
  <r>
    <x v="409"/>
    <x v="2"/>
    <x v="2"/>
    <x v="2"/>
    <x v="4"/>
    <x v="1568"/>
    <n v="83.33"/>
    <n v="0.19379069767441859"/>
  </r>
  <r>
    <x v="135"/>
    <x v="4"/>
    <x v="1"/>
    <x v="3"/>
    <x v="0"/>
    <x v="120"/>
    <n v="239.64"/>
    <n v="0.13868055555555556"/>
  </r>
  <r>
    <x v="709"/>
    <x v="6"/>
    <x v="1"/>
    <x v="2"/>
    <x v="8"/>
    <x v="2029"/>
    <n v="314.79000000000002"/>
    <n v="0.17173486088379705"/>
  </r>
  <r>
    <x v="320"/>
    <x v="6"/>
    <x v="1"/>
    <x v="0"/>
    <x v="1"/>
    <x v="616"/>
    <n v="1682.79"/>
    <n v="0.23115247252747254"/>
  </r>
  <r>
    <x v="458"/>
    <x v="5"/>
    <x v="2"/>
    <x v="2"/>
    <x v="4"/>
    <x v="2030"/>
    <n v="197.91"/>
    <n v="0.24313267813267814"/>
  </r>
  <r>
    <x v="536"/>
    <x v="0"/>
    <x v="0"/>
    <x v="2"/>
    <x v="6"/>
    <x v="2031"/>
    <n v="410.03"/>
    <n v="8.7314735945485514E-2"/>
  </r>
  <r>
    <x v="346"/>
    <x v="1"/>
    <x v="1"/>
    <x v="2"/>
    <x v="2"/>
    <x v="2032"/>
    <n v="235.64"/>
    <n v="0.19801680672268906"/>
  </r>
  <r>
    <x v="750"/>
    <x v="0"/>
    <x v="0"/>
    <x v="1"/>
    <x v="4"/>
    <x v="2033"/>
    <n v="39.06"/>
    <n v="6.6091370558375634E-2"/>
  </r>
  <r>
    <x v="639"/>
    <x v="1"/>
    <x v="1"/>
    <x v="0"/>
    <x v="5"/>
    <x v="2034"/>
    <n v="2203.56"/>
    <n v="0.27204444444444442"/>
  </r>
  <r>
    <x v="552"/>
    <x v="9"/>
    <x v="2"/>
    <x v="2"/>
    <x v="7"/>
    <x v="2035"/>
    <n v="183.31"/>
    <n v="0.12220666666666667"/>
  </r>
  <r>
    <x v="501"/>
    <x v="5"/>
    <x v="2"/>
    <x v="0"/>
    <x v="3"/>
    <x v="919"/>
    <n v="48.69"/>
    <n v="0.1623"/>
  </r>
  <r>
    <x v="70"/>
    <x v="5"/>
    <x v="2"/>
    <x v="0"/>
    <x v="5"/>
    <x v="557"/>
    <n v="106.97"/>
    <n v="9.742258652094718E-2"/>
  </r>
  <r>
    <x v="828"/>
    <x v="6"/>
    <x v="1"/>
    <x v="3"/>
    <x v="0"/>
    <x v="2036"/>
    <n v="509.49"/>
    <n v="0.21810359589041095"/>
  </r>
  <r>
    <x v="323"/>
    <x v="3"/>
    <x v="2"/>
    <x v="0"/>
    <x v="2"/>
    <x v="2037"/>
    <n v="40.96"/>
    <n v="9.9902439024390249E-2"/>
  </r>
  <r>
    <x v="6"/>
    <x v="1"/>
    <x v="1"/>
    <x v="2"/>
    <x v="5"/>
    <x v="323"/>
    <n v="51.49"/>
    <n v="8.6683501683501682E-2"/>
  </r>
  <r>
    <x v="39"/>
    <x v="5"/>
    <x v="2"/>
    <x v="1"/>
    <x v="3"/>
    <x v="2038"/>
    <n v="38.93"/>
    <n v="0.17857798165137614"/>
  </r>
  <r>
    <x v="1002"/>
    <x v="2"/>
    <x v="2"/>
    <x v="2"/>
    <x v="3"/>
    <x v="1132"/>
    <n v="123.9"/>
    <n v="9.5454545454545459E-2"/>
  </r>
  <r>
    <x v="594"/>
    <x v="2"/>
    <x v="2"/>
    <x v="0"/>
    <x v="2"/>
    <x v="2039"/>
    <n v="180.64"/>
    <n v="0.20183240223463686"/>
  </r>
  <r>
    <x v="713"/>
    <x v="8"/>
    <x v="1"/>
    <x v="3"/>
    <x v="0"/>
    <x v="2040"/>
    <n v="539.42999999999995"/>
    <n v="0.19074611032531824"/>
  </r>
  <r>
    <x v="886"/>
    <x v="2"/>
    <x v="2"/>
    <x v="3"/>
    <x v="8"/>
    <x v="1569"/>
    <n v="188.94"/>
    <n v="0.23239852398523986"/>
  </r>
  <r>
    <x v="534"/>
    <x v="6"/>
    <x v="1"/>
    <x v="3"/>
    <x v="0"/>
    <x v="689"/>
    <n v="170.19"/>
    <n v="9.4549999999999995E-2"/>
  </r>
  <r>
    <x v="751"/>
    <x v="2"/>
    <x v="2"/>
    <x v="3"/>
    <x v="4"/>
    <x v="2041"/>
    <n v="12.79"/>
    <n v="0.12919191919191919"/>
  </r>
  <r>
    <x v="481"/>
    <x v="4"/>
    <x v="1"/>
    <x v="3"/>
    <x v="6"/>
    <x v="2042"/>
    <n v="1703.42"/>
    <n v="0.22484424498416053"/>
  </r>
  <r>
    <x v="450"/>
    <x v="5"/>
    <x v="2"/>
    <x v="1"/>
    <x v="8"/>
    <x v="2043"/>
    <n v="71.02"/>
    <n v="5.3925588458618071E-2"/>
  </r>
  <r>
    <x v="726"/>
    <x v="5"/>
    <x v="2"/>
    <x v="3"/>
    <x v="8"/>
    <x v="2044"/>
    <n v="120.27"/>
    <n v="0.12567398119122256"/>
  </r>
  <r>
    <x v="47"/>
    <x v="1"/>
    <x v="1"/>
    <x v="2"/>
    <x v="0"/>
    <x v="2045"/>
    <n v="244.13"/>
    <n v="0.18550911854103344"/>
  </r>
  <r>
    <x v="888"/>
    <x v="4"/>
    <x v="1"/>
    <x v="2"/>
    <x v="7"/>
    <x v="2046"/>
    <n v="351.93"/>
    <n v="6.5830527497194161E-2"/>
  </r>
  <r>
    <x v="401"/>
    <x v="7"/>
    <x v="2"/>
    <x v="1"/>
    <x v="4"/>
    <x v="696"/>
    <n v="66.260000000000005"/>
    <n v="0.14280172413793105"/>
  </r>
  <r>
    <x v="711"/>
    <x v="8"/>
    <x v="1"/>
    <x v="0"/>
    <x v="1"/>
    <x v="1228"/>
    <n v="835.34"/>
    <n v="0.22263859275053305"/>
  </r>
  <r>
    <x v="827"/>
    <x v="8"/>
    <x v="1"/>
    <x v="3"/>
    <x v="7"/>
    <x v="1944"/>
    <n v="301.57"/>
    <n v="0.15370540265035679"/>
  </r>
  <r>
    <x v="492"/>
    <x v="7"/>
    <x v="2"/>
    <x v="2"/>
    <x v="7"/>
    <x v="2047"/>
    <n v="202.98"/>
    <n v="8.7870129870129862E-2"/>
  </r>
  <r>
    <x v="125"/>
    <x v="2"/>
    <x v="2"/>
    <x v="1"/>
    <x v="0"/>
    <x v="2048"/>
    <n v="685.23"/>
    <n v="0.22629788639365919"/>
  </r>
  <r>
    <x v="843"/>
    <x v="6"/>
    <x v="1"/>
    <x v="0"/>
    <x v="8"/>
    <x v="409"/>
    <n v="877.92"/>
    <n v="0.29322645290581162"/>
  </r>
  <r>
    <x v="113"/>
    <x v="2"/>
    <x v="2"/>
    <x v="2"/>
    <x v="8"/>
    <x v="2049"/>
    <n v="313.45"/>
    <n v="9.2381373415856172E-2"/>
  </r>
  <r>
    <x v="447"/>
    <x v="3"/>
    <x v="2"/>
    <x v="0"/>
    <x v="8"/>
    <x v="2050"/>
    <n v="320.61"/>
    <n v="0.26518610421836231"/>
  </r>
  <r>
    <x v="417"/>
    <x v="8"/>
    <x v="1"/>
    <x v="1"/>
    <x v="6"/>
    <x v="2051"/>
    <n v="1276.57"/>
    <n v="0.22070712309820192"/>
  </r>
  <r>
    <x v="149"/>
    <x v="9"/>
    <x v="2"/>
    <x v="3"/>
    <x v="5"/>
    <x v="2052"/>
    <n v="285.05"/>
    <n v="9.260883690708252E-2"/>
  </r>
  <r>
    <x v="927"/>
    <x v="0"/>
    <x v="0"/>
    <x v="2"/>
    <x v="0"/>
    <x v="2053"/>
    <n v="602.29999999999995"/>
    <n v="0.24443993506493505"/>
  </r>
  <r>
    <x v="1003"/>
    <x v="3"/>
    <x v="2"/>
    <x v="3"/>
    <x v="2"/>
    <x v="2054"/>
    <n v="146.6"/>
    <n v="5.9959100204498975E-2"/>
  </r>
  <r>
    <x v="144"/>
    <x v="8"/>
    <x v="1"/>
    <x v="0"/>
    <x v="6"/>
    <x v="1434"/>
    <n v="841.13"/>
    <n v="0.15834525602409638"/>
  </r>
  <r>
    <x v="133"/>
    <x v="8"/>
    <x v="1"/>
    <x v="2"/>
    <x v="4"/>
    <x v="1385"/>
    <n v="101.85"/>
    <n v="0.15502283105022829"/>
  </r>
  <r>
    <x v="432"/>
    <x v="8"/>
    <x v="1"/>
    <x v="2"/>
    <x v="8"/>
    <x v="1131"/>
    <n v="173.89"/>
    <n v="6.7399224806201544E-2"/>
  </r>
  <r>
    <x v="323"/>
    <x v="9"/>
    <x v="2"/>
    <x v="1"/>
    <x v="6"/>
    <x v="1345"/>
    <n v="893.74"/>
    <n v="0.19328287197231833"/>
  </r>
  <r>
    <x v="424"/>
    <x v="5"/>
    <x v="2"/>
    <x v="0"/>
    <x v="3"/>
    <x v="2055"/>
    <n v="146.69999999999999"/>
    <n v="0.11661367249602543"/>
  </r>
  <r>
    <x v="311"/>
    <x v="3"/>
    <x v="2"/>
    <x v="1"/>
    <x v="1"/>
    <x v="2056"/>
    <n v="398.23"/>
    <n v="6.1569264069264072E-2"/>
  </r>
  <r>
    <x v="947"/>
    <x v="6"/>
    <x v="1"/>
    <x v="3"/>
    <x v="8"/>
    <x v="2057"/>
    <n v="152.85"/>
    <n v="0.11247240618101545"/>
  </r>
  <r>
    <x v="271"/>
    <x v="9"/>
    <x v="2"/>
    <x v="0"/>
    <x v="4"/>
    <x v="1251"/>
    <n v="18.670000000000002"/>
    <n v="0.17951923076923079"/>
  </r>
  <r>
    <x v="125"/>
    <x v="4"/>
    <x v="1"/>
    <x v="2"/>
    <x v="8"/>
    <x v="404"/>
    <n v="93.17"/>
    <n v="5.2196078431372549E-2"/>
  </r>
  <r>
    <x v="824"/>
    <x v="6"/>
    <x v="1"/>
    <x v="0"/>
    <x v="6"/>
    <x v="2058"/>
    <n v="1748.26"/>
    <n v="0.22622412008281573"/>
  </r>
  <r>
    <x v="748"/>
    <x v="7"/>
    <x v="2"/>
    <x v="3"/>
    <x v="7"/>
    <x v="799"/>
    <n v="1231.1600000000001"/>
    <n v="0.29397325692454634"/>
  </r>
  <r>
    <x v="1004"/>
    <x v="5"/>
    <x v="2"/>
    <x v="2"/>
    <x v="6"/>
    <x v="1043"/>
    <n v="359.84"/>
    <n v="0.10222727272727272"/>
  </r>
  <r>
    <x v="212"/>
    <x v="3"/>
    <x v="2"/>
    <x v="1"/>
    <x v="8"/>
    <x v="2059"/>
    <n v="365.17"/>
    <n v="0.16016228070175439"/>
  </r>
  <r>
    <x v="53"/>
    <x v="0"/>
    <x v="0"/>
    <x v="0"/>
    <x v="5"/>
    <x v="2060"/>
    <n v="655.54"/>
    <n v="0.26390499194847017"/>
  </r>
  <r>
    <x v="57"/>
    <x v="2"/>
    <x v="2"/>
    <x v="3"/>
    <x v="8"/>
    <x v="2061"/>
    <n v="348.19"/>
    <n v="0.27899839743589744"/>
  </r>
  <r>
    <x v="706"/>
    <x v="5"/>
    <x v="2"/>
    <x v="3"/>
    <x v="3"/>
    <x v="2062"/>
    <n v="59.92"/>
    <n v="7.0494117647058832E-2"/>
  </r>
  <r>
    <x v="804"/>
    <x v="0"/>
    <x v="0"/>
    <x v="1"/>
    <x v="0"/>
    <x v="2063"/>
    <n v="150.13"/>
    <n v="0.10632436260623229"/>
  </r>
  <r>
    <x v="56"/>
    <x v="4"/>
    <x v="1"/>
    <x v="0"/>
    <x v="4"/>
    <x v="1413"/>
    <n v="26.5"/>
    <n v="5.6989247311827959E-2"/>
  </r>
  <r>
    <x v="828"/>
    <x v="0"/>
    <x v="0"/>
    <x v="3"/>
    <x v="4"/>
    <x v="2064"/>
    <n v="29.58"/>
    <n v="0.1009556313993174"/>
  </r>
  <r>
    <x v="105"/>
    <x v="2"/>
    <x v="2"/>
    <x v="0"/>
    <x v="5"/>
    <x v="2065"/>
    <n v="2523.67"/>
    <n v="0.2733019276586528"/>
  </r>
  <r>
    <x v="906"/>
    <x v="2"/>
    <x v="2"/>
    <x v="0"/>
    <x v="3"/>
    <x v="1132"/>
    <n v="239.45"/>
    <n v="0.18447611710323575"/>
  </r>
  <r>
    <x v="852"/>
    <x v="0"/>
    <x v="0"/>
    <x v="1"/>
    <x v="5"/>
    <x v="2066"/>
    <n v="2443.62"/>
    <n v="0.25784742006964229"/>
  </r>
  <r>
    <x v="1005"/>
    <x v="0"/>
    <x v="0"/>
    <x v="2"/>
    <x v="1"/>
    <x v="2067"/>
    <n v="457.99"/>
    <n v="6.8224340831223002E-2"/>
  </r>
  <r>
    <x v="803"/>
    <x v="9"/>
    <x v="2"/>
    <x v="2"/>
    <x v="2"/>
    <x v="2068"/>
    <n v="999.26"/>
    <n v="0.17530877192982455"/>
  </r>
  <r>
    <x v="600"/>
    <x v="3"/>
    <x v="2"/>
    <x v="3"/>
    <x v="7"/>
    <x v="2069"/>
    <n v="700.46"/>
    <n v="0.16894838398456344"/>
  </r>
  <r>
    <x v="893"/>
    <x v="2"/>
    <x v="2"/>
    <x v="0"/>
    <x v="6"/>
    <x v="278"/>
    <n v="704.55"/>
    <n v="0.10111222732491389"/>
  </r>
  <r>
    <x v="299"/>
    <x v="3"/>
    <x v="2"/>
    <x v="1"/>
    <x v="3"/>
    <x v="1969"/>
    <n v="243.5"/>
    <n v="0.2310246679316888"/>
  </r>
  <r>
    <x v="532"/>
    <x v="8"/>
    <x v="1"/>
    <x v="3"/>
    <x v="8"/>
    <x v="2070"/>
    <n v="453.09"/>
    <n v="0.22848714069591528"/>
  </r>
  <r>
    <x v="845"/>
    <x v="8"/>
    <x v="1"/>
    <x v="2"/>
    <x v="2"/>
    <x v="791"/>
    <n v="70.72"/>
    <n v="8.0822857142857141E-2"/>
  </r>
  <r>
    <x v="889"/>
    <x v="0"/>
    <x v="0"/>
    <x v="0"/>
    <x v="3"/>
    <x v="2071"/>
    <n v="63.01"/>
    <n v="0.23511194029850746"/>
  </r>
  <r>
    <x v="426"/>
    <x v="4"/>
    <x v="1"/>
    <x v="3"/>
    <x v="7"/>
    <x v="1927"/>
    <n v="1045.0999999999999"/>
    <n v="0.19461824953445064"/>
  </r>
  <r>
    <x v="433"/>
    <x v="6"/>
    <x v="1"/>
    <x v="3"/>
    <x v="6"/>
    <x v="256"/>
    <n v="1071.43"/>
    <n v="0.29564845474613688"/>
  </r>
  <r>
    <x v="807"/>
    <x v="5"/>
    <x v="2"/>
    <x v="3"/>
    <x v="0"/>
    <x v="319"/>
    <n v="301.16000000000003"/>
    <n v="0.15587991718426503"/>
  </r>
  <r>
    <x v="1006"/>
    <x v="7"/>
    <x v="2"/>
    <x v="0"/>
    <x v="1"/>
    <x v="2072"/>
    <n v="384.74"/>
    <n v="6.3910299003322263E-2"/>
  </r>
  <r>
    <x v="348"/>
    <x v="4"/>
    <x v="1"/>
    <x v="1"/>
    <x v="2"/>
    <x v="539"/>
    <n v="234.67"/>
    <n v="0.13220845070422535"/>
  </r>
  <r>
    <x v="1007"/>
    <x v="5"/>
    <x v="2"/>
    <x v="3"/>
    <x v="8"/>
    <x v="1354"/>
    <n v="382.09"/>
    <n v="0.25678091397849462"/>
  </r>
  <r>
    <x v="769"/>
    <x v="8"/>
    <x v="1"/>
    <x v="1"/>
    <x v="7"/>
    <x v="2073"/>
    <n v="1113.56"/>
    <n v="0.16570833333333332"/>
  </r>
  <r>
    <x v="78"/>
    <x v="1"/>
    <x v="1"/>
    <x v="1"/>
    <x v="1"/>
    <x v="1981"/>
    <n v="1356.23"/>
    <n v="0.26872003170200121"/>
  </r>
  <r>
    <x v="1008"/>
    <x v="2"/>
    <x v="2"/>
    <x v="1"/>
    <x v="2"/>
    <x v="1678"/>
    <n v="957.13"/>
    <n v="0.25625970548862115"/>
  </r>
  <r>
    <x v="999"/>
    <x v="8"/>
    <x v="1"/>
    <x v="1"/>
    <x v="2"/>
    <x v="2074"/>
    <n v="120.74"/>
    <n v="9.6591999999999997E-2"/>
  </r>
  <r>
    <x v="182"/>
    <x v="2"/>
    <x v="2"/>
    <x v="0"/>
    <x v="1"/>
    <x v="1112"/>
    <n v="548.04999999999995"/>
    <n v="0.19921846601235912"/>
  </r>
  <r>
    <x v="63"/>
    <x v="9"/>
    <x v="2"/>
    <x v="1"/>
    <x v="5"/>
    <x v="999"/>
    <n v="58.98"/>
    <n v="0.12602564102564101"/>
  </r>
  <r>
    <x v="573"/>
    <x v="0"/>
    <x v="0"/>
    <x v="0"/>
    <x v="0"/>
    <x v="461"/>
    <n v="114.82"/>
    <n v="0.1816772151898734"/>
  </r>
  <r>
    <x v="481"/>
    <x v="8"/>
    <x v="1"/>
    <x v="2"/>
    <x v="1"/>
    <x v="884"/>
    <n v="219.2"/>
    <n v="0.27468671679197992"/>
  </r>
  <r>
    <x v="245"/>
    <x v="5"/>
    <x v="2"/>
    <x v="2"/>
    <x v="2"/>
    <x v="2075"/>
    <n v="104.26"/>
    <n v="8.0509652509652516E-2"/>
  </r>
  <r>
    <x v="989"/>
    <x v="3"/>
    <x v="2"/>
    <x v="3"/>
    <x v="0"/>
    <x v="1539"/>
    <n v="540.38"/>
    <n v="0.16082738095238094"/>
  </r>
  <r>
    <x v="223"/>
    <x v="3"/>
    <x v="2"/>
    <x v="0"/>
    <x v="2"/>
    <x v="2076"/>
    <n v="206.95"/>
    <n v="0.20798994974874371"/>
  </r>
  <r>
    <x v="888"/>
    <x v="5"/>
    <x v="2"/>
    <x v="1"/>
    <x v="2"/>
    <x v="208"/>
    <n v="28.72"/>
    <n v="5.2218181818181816E-2"/>
  </r>
  <r>
    <x v="946"/>
    <x v="6"/>
    <x v="1"/>
    <x v="3"/>
    <x v="6"/>
    <x v="2077"/>
    <n v="724.8"/>
    <n v="0.13462109955423476"/>
  </r>
  <r>
    <x v="359"/>
    <x v="0"/>
    <x v="0"/>
    <x v="1"/>
    <x v="8"/>
    <x v="2078"/>
    <n v="489.06"/>
    <n v="0.13838709677419356"/>
  </r>
  <r>
    <x v="205"/>
    <x v="7"/>
    <x v="2"/>
    <x v="3"/>
    <x v="5"/>
    <x v="1890"/>
    <n v="890.05"/>
    <n v="0.1306399530309702"/>
  </r>
  <r>
    <x v="412"/>
    <x v="5"/>
    <x v="2"/>
    <x v="1"/>
    <x v="7"/>
    <x v="1532"/>
    <n v="1632.37"/>
    <n v="0.29636347131445168"/>
  </r>
  <r>
    <x v="45"/>
    <x v="4"/>
    <x v="1"/>
    <x v="1"/>
    <x v="4"/>
    <x v="873"/>
    <n v="202.53"/>
    <n v="0.2096583850931677"/>
  </r>
  <r>
    <x v="562"/>
    <x v="1"/>
    <x v="1"/>
    <x v="2"/>
    <x v="0"/>
    <x v="2079"/>
    <n v="92.24"/>
    <n v="0.20052173913043478"/>
  </r>
  <r>
    <x v="334"/>
    <x v="7"/>
    <x v="2"/>
    <x v="0"/>
    <x v="7"/>
    <x v="1970"/>
    <n v="459.4"/>
    <n v="6.5385710219185877E-2"/>
  </r>
  <r>
    <x v="342"/>
    <x v="7"/>
    <x v="2"/>
    <x v="2"/>
    <x v="2"/>
    <x v="2080"/>
    <n v="116.47"/>
    <n v="0.127989010989011"/>
  </r>
  <r>
    <x v="326"/>
    <x v="6"/>
    <x v="1"/>
    <x v="3"/>
    <x v="5"/>
    <x v="2081"/>
    <n v="1729.18"/>
    <n v="0.29834023464458248"/>
  </r>
  <r>
    <x v="711"/>
    <x v="6"/>
    <x v="1"/>
    <x v="0"/>
    <x v="8"/>
    <x v="2082"/>
    <n v="292.64"/>
    <n v="0.2787047619047619"/>
  </r>
  <r>
    <x v="828"/>
    <x v="1"/>
    <x v="1"/>
    <x v="3"/>
    <x v="4"/>
    <x v="2083"/>
    <n v="151.13"/>
    <n v="0.1448993288590604"/>
  </r>
  <r>
    <x v="727"/>
    <x v="0"/>
    <x v="0"/>
    <x v="2"/>
    <x v="8"/>
    <x v="2084"/>
    <n v="503.85"/>
    <n v="0.15130630630630632"/>
  </r>
  <r>
    <x v="260"/>
    <x v="1"/>
    <x v="1"/>
    <x v="1"/>
    <x v="6"/>
    <x v="563"/>
    <n v="448.53"/>
    <n v="0.23656645569620252"/>
  </r>
  <r>
    <x v="964"/>
    <x v="3"/>
    <x v="2"/>
    <x v="3"/>
    <x v="2"/>
    <x v="2085"/>
    <n v="1248.6600000000001"/>
    <n v="0.2415203094777563"/>
  </r>
  <r>
    <x v="1009"/>
    <x v="0"/>
    <x v="0"/>
    <x v="0"/>
    <x v="3"/>
    <x v="2086"/>
    <n v="25.04"/>
    <n v="5.3733905579399138E-2"/>
  </r>
  <r>
    <x v="1010"/>
    <x v="1"/>
    <x v="1"/>
    <x v="0"/>
    <x v="6"/>
    <x v="2087"/>
    <n v="1636.61"/>
    <n v="0.27132128647214854"/>
  </r>
  <r>
    <x v="565"/>
    <x v="3"/>
    <x v="2"/>
    <x v="2"/>
    <x v="4"/>
    <x v="1826"/>
    <n v="103.06"/>
    <n v="9.5073800738007377E-2"/>
  </r>
  <r>
    <x v="39"/>
    <x v="8"/>
    <x v="1"/>
    <x v="0"/>
    <x v="3"/>
    <x v="1640"/>
    <n v="45.34"/>
    <n v="9.2530612244897961E-2"/>
  </r>
  <r>
    <x v="718"/>
    <x v="6"/>
    <x v="1"/>
    <x v="0"/>
    <x v="7"/>
    <x v="1187"/>
    <n v="57.01"/>
    <n v="0.10216845878136201"/>
  </r>
  <r>
    <x v="226"/>
    <x v="6"/>
    <x v="1"/>
    <x v="1"/>
    <x v="0"/>
    <x v="2088"/>
    <n v="787.06"/>
    <n v="0.1955914512922465"/>
  </r>
  <r>
    <x v="374"/>
    <x v="1"/>
    <x v="1"/>
    <x v="1"/>
    <x v="0"/>
    <x v="724"/>
    <n v="461.15"/>
    <n v="0.29560897435897432"/>
  </r>
  <r>
    <x v="729"/>
    <x v="9"/>
    <x v="2"/>
    <x v="0"/>
    <x v="4"/>
    <x v="2089"/>
    <n v="26.62"/>
    <n v="0.21126984126984127"/>
  </r>
  <r>
    <x v="370"/>
    <x v="1"/>
    <x v="1"/>
    <x v="2"/>
    <x v="1"/>
    <x v="677"/>
    <n v="827.87"/>
    <n v="0.16823206665311929"/>
  </r>
  <r>
    <x v="14"/>
    <x v="4"/>
    <x v="1"/>
    <x v="3"/>
    <x v="2"/>
    <x v="2090"/>
    <n v="532.76"/>
    <n v="0.19990994371482176"/>
  </r>
  <r>
    <x v="246"/>
    <x v="4"/>
    <x v="1"/>
    <x v="2"/>
    <x v="0"/>
    <x v="1666"/>
    <n v="58.42"/>
    <n v="0.29210000000000003"/>
  </r>
  <r>
    <x v="452"/>
    <x v="5"/>
    <x v="2"/>
    <x v="1"/>
    <x v="3"/>
    <x v="2091"/>
    <n v="32.479999999999997"/>
    <n v="0.17462365591397846"/>
  </r>
  <r>
    <x v="100"/>
    <x v="6"/>
    <x v="1"/>
    <x v="2"/>
    <x v="6"/>
    <x v="2092"/>
    <n v="898.06"/>
    <n v="0.16460043988269793"/>
  </r>
  <r>
    <x v="559"/>
    <x v="5"/>
    <x v="2"/>
    <x v="3"/>
    <x v="5"/>
    <x v="1406"/>
    <n v="540.66999999999996"/>
    <n v="0.1628033724781692"/>
  </r>
  <r>
    <x v="792"/>
    <x v="4"/>
    <x v="1"/>
    <x v="0"/>
    <x v="1"/>
    <x v="2093"/>
    <n v="914.49"/>
    <n v="0.24282793414763676"/>
  </r>
  <r>
    <x v="829"/>
    <x v="8"/>
    <x v="1"/>
    <x v="3"/>
    <x v="7"/>
    <x v="168"/>
    <n v="498.63"/>
    <n v="0.1582952380952381"/>
  </r>
  <r>
    <x v="913"/>
    <x v="9"/>
    <x v="2"/>
    <x v="1"/>
    <x v="3"/>
    <x v="2023"/>
    <n v="110.13"/>
    <n v="0.1704798761609907"/>
  </r>
  <r>
    <x v="209"/>
    <x v="7"/>
    <x v="2"/>
    <x v="2"/>
    <x v="2"/>
    <x v="2090"/>
    <n v="369.73"/>
    <n v="0.13873545966228892"/>
  </r>
  <r>
    <x v="533"/>
    <x v="5"/>
    <x v="2"/>
    <x v="0"/>
    <x v="5"/>
    <x v="1793"/>
    <n v="384.22"/>
    <n v="0.26190865712338107"/>
  </r>
  <r>
    <x v="528"/>
    <x v="2"/>
    <x v="2"/>
    <x v="0"/>
    <x v="1"/>
    <x v="2094"/>
    <n v="990.79"/>
    <n v="0.21445670995670996"/>
  </r>
  <r>
    <x v="278"/>
    <x v="2"/>
    <x v="2"/>
    <x v="3"/>
    <x v="6"/>
    <x v="2095"/>
    <n v="148.69"/>
    <n v="0.12558277027027026"/>
  </r>
  <r>
    <x v="285"/>
    <x v="3"/>
    <x v="2"/>
    <x v="1"/>
    <x v="4"/>
    <x v="2096"/>
    <n v="20.07"/>
    <n v="0.17761061946902656"/>
  </r>
  <r>
    <x v="710"/>
    <x v="0"/>
    <x v="0"/>
    <x v="1"/>
    <x v="6"/>
    <x v="1603"/>
    <n v="492.76"/>
    <n v="0.14770983213429256"/>
  </r>
  <r>
    <x v="32"/>
    <x v="7"/>
    <x v="2"/>
    <x v="2"/>
    <x v="0"/>
    <x v="2097"/>
    <n v="477.33"/>
    <n v="0.11300426136363637"/>
  </r>
  <r>
    <x v="24"/>
    <x v="4"/>
    <x v="1"/>
    <x v="0"/>
    <x v="8"/>
    <x v="557"/>
    <n v="144.24"/>
    <n v="0.13136612021857924"/>
  </r>
  <r>
    <x v="951"/>
    <x v="3"/>
    <x v="2"/>
    <x v="2"/>
    <x v="6"/>
    <x v="2098"/>
    <n v="351.82"/>
    <n v="7.995909090909091E-2"/>
  </r>
  <r>
    <x v="176"/>
    <x v="0"/>
    <x v="0"/>
    <x v="0"/>
    <x v="6"/>
    <x v="2099"/>
    <n v="723.42"/>
    <n v="0.12881410256410256"/>
  </r>
  <r>
    <x v="578"/>
    <x v="0"/>
    <x v="0"/>
    <x v="0"/>
    <x v="1"/>
    <x v="285"/>
    <n v="520.38"/>
    <n v="0.11128742514970059"/>
  </r>
  <r>
    <x v="1011"/>
    <x v="5"/>
    <x v="2"/>
    <x v="0"/>
    <x v="3"/>
    <x v="2100"/>
    <n v="641.23"/>
    <n v="0.27056118143459917"/>
  </r>
  <r>
    <x v="955"/>
    <x v="1"/>
    <x v="1"/>
    <x v="3"/>
    <x v="1"/>
    <x v="2101"/>
    <n v="688.76"/>
    <n v="0.15350122576331623"/>
  </r>
  <r>
    <x v="244"/>
    <x v="3"/>
    <x v="2"/>
    <x v="0"/>
    <x v="7"/>
    <x v="381"/>
    <n v="1754.15"/>
    <n v="0.27477286967418546"/>
  </r>
  <r>
    <x v="367"/>
    <x v="8"/>
    <x v="1"/>
    <x v="2"/>
    <x v="6"/>
    <x v="2102"/>
    <n v="878.11"/>
    <n v="0.2966587837837838"/>
  </r>
  <r>
    <x v="1012"/>
    <x v="5"/>
    <x v="2"/>
    <x v="1"/>
    <x v="4"/>
    <x v="2103"/>
    <n v="250.78"/>
    <n v="0.27957636566332217"/>
  </r>
  <r>
    <x v="1002"/>
    <x v="7"/>
    <x v="2"/>
    <x v="1"/>
    <x v="3"/>
    <x v="674"/>
    <n v="120.51"/>
    <n v="0.10230050933786078"/>
  </r>
  <r>
    <x v="1013"/>
    <x v="5"/>
    <x v="2"/>
    <x v="1"/>
    <x v="3"/>
    <x v="969"/>
    <n v="64.510000000000005"/>
    <n v="6.2875243664717348E-2"/>
  </r>
  <r>
    <x v="371"/>
    <x v="0"/>
    <x v="0"/>
    <x v="2"/>
    <x v="4"/>
    <x v="1833"/>
    <n v="89.04"/>
    <n v="7.7560975609756097E-2"/>
  </r>
  <r>
    <x v="831"/>
    <x v="0"/>
    <x v="0"/>
    <x v="3"/>
    <x v="1"/>
    <x v="2104"/>
    <n v="765.41"/>
    <n v="0.24031711145996859"/>
  </r>
  <r>
    <x v="204"/>
    <x v="7"/>
    <x v="2"/>
    <x v="1"/>
    <x v="1"/>
    <x v="1746"/>
    <n v="463.35"/>
    <n v="8.9449806949806948E-2"/>
  </r>
  <r>
    <x v="592"/>
    <x v="4"/>
    <x v="1"/>
    <x v="2"/>
    <x v="2"/>
    <x v="220"/>
    <n v="295.13"/>
    <n v="0.14574320987654321"/>
  </r>
  <r>
    <x v="413"/>
    <x v="2"/>
    <x v="2"/>
    <x v="0"/>
    <x v="5"/>
    <x v="2057"/>
    <n v="187.72"/>
    <n v="0.13813097866077997"/>
  </r>
  <r>
    <x v="367"/>
    <x v="3"/>
    <x v="2"/>
    <x v="2"/>
    <x v="0"/>
    <x v="2105"/>
    <n v="462.52"/>
    <n v="0.25191721132897604"/>
  </r>
  <r>
    <x v="553"/>
    <x v="2"/>
    <x v="2"/>
    <x v="3"/>
    <x v="3"/>
    <x v="431"/>
    <n v="112.04"/>
    <n v="0.15960113960113961"/>
  </r>
  <r>
    <x v="820"/>
    <x v="7"/>
    <x v="2"/>
    <x v="3"/>
    <x v="6"/>
    <x v="1636"/>
    <n v="1337.38"/>
    <n v="0.20337287104622873"/>
  </r>
  <r>
    <x v="588"/>
    <x v="5"/>
    <x v="2"/>
    <x v="3"/>
    <x v="3"/>
    <x v="1382"/>
    <n v="398.24"/>
    <n v="0.27887955182072832"/>
  </r>
  <r>
    <x v="690"/>
    <x v="3"/>
    <x v="2"/>
    <x v="0"/>
    <x v="1"/>
    <x v="2106"/>
    <n v="1259.03"/>
    <n v="0.18371953888807821"/>
  </r>
  <r>
    <x v="967"/>
    <x v="3"/>
    <x v="2"/>
    <x v="3"/>
    <x v="3"/>
    <x v="2107"/>
    <n v="276.56"/>
    <n v="0.18536193029490616"/>
  </r>
  <r>
    <x v="423"/>
    <x v="0"/>
    <x v="0"/>
    <x v="0"/>
    <x v="7"/>
    <x v="2108"/>
    <n v="146.72999999999999"/>
    <n v="7.5712074303405569E-2"/>
  </r>
  <r>
    <x v="690"/>
    <x v="3"/>
    <x v="2"/>
    <x v="2"/>
    <x v="2"/>
    <x v="2109"/>
    <n v="70.91"/>
    <n v="7.8353591160220989E-2"/>
  </r>
  <r>
    <x v="543"/>
    <x v="0"/>
    <x v="0"/>
    <x v="0"/>
    <x v="8"/>
    <x v="2110"/>
    <n v="510.01"/>
    <n v="0.19837028393621159"/>
  </r>
  <r>
    <x v="497"/>
    <x v="2"/>
    <x v="2"/>
    <x v="3"/>
    <x v="0"/>
    <x v="2035"/>
    <n v="127.81"/>
    <n v="8.5206666666666667E-2"/>
  </r>
  <r>
    <x v="278"/>
    <x v="5"/>
    <x v="2"/>
    <x v="2"/>
    <x v="5"/>
    <x v="2111"/>
    <n v="1034.27"/>
    <n v="0.11871786042240587"/>
  </r>
  <r>
    <x v="825"/>
    <x v="6"/>
    <x v="1"/>
    <x v="1"/>
    <x v="0"/>
    <x v="501"/>
    <n v="368.28"/>
    <n v="0.2815596330275229"/>
  </r>
  <r>
    <x v="489"/>
    <x v="7"/>
    <x v="2"/>
    <x v="2"/>
    <x v="0"/>
    <x v="2112"/>
    <n v="707.32"/>
    <n v="0.26711480362537765"/>
  </r>
  <r>
    <x v="1014"/>
    <x v="3"/>
    <x v="2"/>
    <x v="2"/>
    <x v="5"/>
    <x v="940"/>
    <n v="1666.96"/>
    <n v="0.16992456676860346"/>
  </r>
  <r>
    <x v="51"/>
    <x v="4"/>
    <x v="1"/>
    <x v="0"/>
    <x v="8"/>
    <x v="2113"/>
    <n v="274.10000000000002"/>
    <n v="8.3287754481920398E-2"/>
  </r>
  <r>
    <x v="362"/>
    <x v="5"/>
    <x v="2"/>
    <x v="0"/>
    <x v="4"/>
    <x v="2114"/>
    <n v="96.44"/>
    <n v="0.12722955145118733"/>
  </r>
  <r>
    <x v="464"/>
    <x v="8"/>
    <x v="1"/>
    <x v="1"/>
    <x v="1"/>
    <x v="2115"/>
    <n v="715.14"/>
    <n v="0.29357142857142854"/>
  </r>
  <r>
    <x v="1001"/>
    <x v="5"/>
    <x v="2"/>
    <x v="0"/>
    <x v="1"/>
    <x v="2116"/>
    <n v="163.16"/>
    <n v="0.29135714285714287"/>
  </r>
  <r>
    <x v="199"/>
    <x v="7"/>
    <x v="2"/>
    <x v="3"/>
    <x v="6"/>
    <x v="1071"/>
    <n v="519.72"/>
    <n v="0.12257547169811321"/>
  </r>
  <r>
    <x v="640"/>
    <x v="6"/>
    <x v="1"/>
    <x v="1"/>
    <x v="6"/>
    <x v="2117"/>
    <n v="403.52"/>
    <n v="7.4505169867060558E-2"/>
  </r>
  <r>
    <x v="940"/>
    <x v="7"/>
    <x v="2"/>
    <x v="1"/>
    <x v="6"/>
    <x v="120"/>
    <n v="477.7"/>
    <n v="0.27644675925925927"/>
  </r>
  <r>
    <x v="160"/>
    <x v="8"/>
    <x v="1"/>
    <x v="3"/>
    <x v="5"/>
    <x v="2118"/>
    <n v="801.15"/>
    <n v="0.1269852591535901"/>
  </r>
  <r>
    <x v="259"/>
    <x v="8"/>
    <x v="1"/>
    <x v="0"/>
    <x v="6"/>
    <x v="2119"/>
    <n v="758.57"/>
    <n v="0.22310882352941178"/>
  </r>
  <r>
    <x v="754"/>
    <x v="9"/>
    <x v="2"/>
    <x v="1"/>
    <x v="4"/>
    <x v="2120"/>
    <n v="72.45"/>
    <n v="0.17977667493796526"/>
  </r>
  <r>
    <x v="527"/>
    <x v="8"/>
    <x v="1"/>
    <x v="2"/>
    <x v="0"/>
    <x v="150"/>
    <n v="375.62"/>
    <n v="0.17818785578747628"/>
  </r>
  <r>
    <x v="365"/>
    <x v="4"/>
    <x v="1"/>
    <x v="3"/>
    <x v="3"/>
    <x v="868"/>
    <n v="296.12"/>
    <n v="0.27166972477064222"/>
  </r>
  <r>
    <x v="785"/>
    <x v="8"/>
    <x v="1"/>
    <x v="0"/>
    <x v="1"/>
    <x v="2121"/>
    <n v="317.92"/>
    <n v="0.24954474097331242"/>
  </r>
  <r>
    <x v="896"/>
    <x v="1"/>
    <x v="1"/>
    <x v="2"/>
    <x v="8"/>
    <x v="2122"/>
    <n v="70.540000000000006"/>
    <n v="6.6799242424242428E-2"/>
  </r>
  <r>
    <x v="473"/>
    <x v="1"/>
    <x v="1"/>
    <x v="0"/>
    <x v="5"/>
    <x v="2123"/>
    <n v="921.09"/>
    <n v="0.17554602630074329"/>
  </r>
  <r>
    <x v="577"/>
    <x v="1"/>
    <x v="1"/>
    <x v="3"/>
    <x v="1"/>
    <x v="2124"/>
    <n v="1595.22"/>
    <n v="0.26560439560439558"/>
  </r>
  <r>
    <x v="927"/>
    <x v="6"/>
    <x v="1"/>
    <x v="3"/>
    <x v="2"/>
    <x v="2125"/>
    <n v="1261.6500000000001"/>
    <n v="0.23299168975069254"/>
  </r>
  <r>
    <x v="857"/>
    <x v="7"/>
    <x v="2"/>
    <x v="3"/>
    <x v="4"/>
    <x v="461"/>
    <n v="81.540000000000006"/>
    <n v="0.12901898734177217"/>
  </r>
  <r>
    <x v="76"/>
    <x v="0"/>
    <x v="0"/>
    <x v="3"/>
    <x v="6"/>
    <x v="1484"/>
    <n v="947.96"/>
    <n v="0.15388961038961038"/>
  </r>
  <r>
    <x v="251"/>
    <x v="0"/>
    <x v="0"/>
    <x v="2"/>
    <x v="4"/>
    <x v="2126"/>
    <n v="172.91"/>
    <n v="0.20176196032672111"/>
  </r>
  <r>
    <x v="438"/>
    <x v="2"/>
    <x v="2"/>
    <x v="1"/>
    <x v="4"/>
    <x v="2127"/>
    <n v="22.99"/>
    <n v="0.13603550295857988"/>
  </r>
  <r>
    <x v="487"/>
    <x v="2"/>
    <x v="2"/>
    <x v="3"/>
    <x v="1"/>
    <x v="2128"/>
    <n v="175.13"/>
    <n v="0.11970608339029391"/>
  </r>
  <r>
    <x v="675"/>
    <x v="3"/>
    <x v="2"/>
    <x v="1"/>
    <x v="6"/>
    <x v="2129"/>
    <n v="1283.07"/>
    <n v="0.17043969181721572"/>
  </r>
  <r>
    <x v="997"/>
    <x v="5"/>
    <x v="2"/>
    <x v="3"/>
    <x v="3"/>
    <x v="2130"/>
    <n v="227.61"/>
    <n v="0.19655440414507774"/>
  </r>
  <r>
    <x v="669"/>
    <x v="6"/>
    <x v="1"/>
    <x v="3"/>
    <x v="0"/>
    <x v="1666"/>
    <n v="20.25"/>
    <n v="0.10125000000000001"/>
  </r>
  <r>
    <x v="313"/>
    <x v="7"/>
    <x v="2"/>
    <x v="3"/>
    <x v="3"/>
    <x v="2131"/>
    <n v="180.67"/>
    <n v="0.11933289299867898"/>
  </r>
  <r>
    <x v="109"/>
    <x v="5"/>
    <x v="2"/>
    <x v="2"/>
    <x v="1"/>
    <x v="1063"/>
    <n v="738.93"/>
    <n v="0.28074848024316107"/>
  </r>
  <r>
    <x v="462"/>
    <x v="8"/>
    <x v="1"/>
    <x v="0"/>
    <x v="4"/>
    <x v="862"/>
    <n v="77.84"/>
    <n v="0.21743016759776537"/>
  </r>
  <r>
    <x v="388"/>
    <x v="3"/>
    <x v="2"/>
    <x v="1"/>
    <x v="6"/>
    <x v="502"/>
    <n v="653.29999999999995"/>
    <n v="0.27682203389830506"/>
  </r>
  <r>
    <x v="556"/>
    <x v="8"/>
    <x v="1"/>
    <x v="2"/>
    <x v="2"/>
    <x v="2132"/>
    <n v="594.29"/>
    <n v="0.11266161137440757"/>
  </r>
  <r>
    <x v="98"/>
    <x v="6"/>
    <x v="1"/>
    <x v="1"/>
    <x v="5"/>
    <x v="2133"/>
    <n v="251.85"/>
    <n v="0.14650959860383944"/>
  </r>
  <r>
    <x v="968"/>
    <x v="7"/>
    <x v="2"/>
    <x v="3"/>
    <x v="7"/>
    <x v="754"/>
    <n v="434.03"/>
    <n v="0.2218967280163599"/>
  </r>
  <r>
    <x v="866"/>
    <x v="8"/>
    <x v="1"/>
    <x v="3"/>
    <x v="8"/>
    <x v="2134"/>
    <n v="152.07"/>
    <n v="8.1103999999999996E-2"/>
  </r>
  <r>
    <x v="355"/>
    <x v="6"/>
    <x v="1"/>
    <x v="2"/>
    <x v="0"/>
    <x v="1253"/>
    <n v="157.72"/>
    <n v="0.16028455284552845"/>
  </r>
  <r>
    <x v="500"/>
    <x v="3"/>
    <x v="2"/>
    <x v="2"/>
    <x v="0"/>
    <x v="1462"/>
    <n v="789.63"/>
    <n v="0.21837112831858407"/>
  </r>
  <r>
    <x v="941"/>
    <x v="2"/>
    <x v="2"/>
    <x v="3"/>
    <x v="2"/>
    <x v="1968"/>
    <n v="1180.8"/>
    <n v="0.25894736842105265"/>
  </r>
  <r>
    <x v="277"/>
    <x v="7"/>
    <x v="2"/>
    <x v="3"/>
    <x v="6"/>
    <x v="2135"/>
    <n v="2019.32"/>
    <n v="0.2693863393810032"/>
  </r>
  <r>
    <x v="653"/>
    <x v="3"/>
    <x v="2"/>
    <x v="0"/>
    <x v="2"/>
    <x v="1018"/>
    <n v="889.97"/>
    <n v="0.17553648915187378"/>
  </r>
  <r>
    <x v="915"/>
    <x v="5"/>
    <x v="2"/>
    <x v="0"/>
    <x v="2"/>
    <x v="2136"/>
    <n v="1351.28"/>
    <n v="0.2999511653718091"/>
  </r>
  <r>
    <x v="555"/>
    <x v="2"/>
    <x v="2"/>
    <x v="2"/>
    <x v="3"/>
    <x v="2137"/>
    <n v="503.83"/>
    <n v="0.26295929018789144"/>
  </r>
  <r>
    <x v="94"/>
    <x v="3"/>
    <x v="2"/>
    <x v="3"/>
    <x v="1"/>
    <x v="385"/>
    <n v="1103.57"/>
    <n v="0.13602489831135214"/>
  </r>
  <r>
    <x v="581"/>
    <x v="9"/>
    <x v="2"/>
    <x v="0"/>
    <x v="5"/>
    <x v="2138"/>
    <n v="392.44"/>
    <n v="0.21693753454947484"/>
  </r>
  <r>
    <x v="300"/>
    <x v="9"/>
    <x v="2"/>
    <x v="2"/>
    <x v="8"/>
    <x v="2139"/>
    <n v="229.75"/>
    <n v="0.18724531377343112"/>
  </r>
  <r>
    <x v="50"/>
    <x v="9"/>
    <x v="2"/>
    <x v="2"/>
    <x v="7"/>
    <x v="721"/>
    <n v="124.65"/>
    <n v="6.1102941176470589E-2"/>
  </r>
  <r>
    <x v="733"/>
    <x v="2"/>
    <x v="2"/>
    <x v="3"/>
    <x v="7"/>
    <x v="2140"/>
    <n v="629.20000000000005"/>
    <n v="9.9493991144845043E-2"/>
  </r>
  <r>
    <x v="1002"/>
    <x v="0"/>
    <x v="0"/>
    <x v="0"/>
    <x v="8"/>
    <x v="1430"/>
    <n v="521.24"/>
    <n v="0.19135095447870779"/>
  </r>
  <r>
    <x v="654"/>
    <x v="9"/>
    <x v="2"/>
    <x v="2"/>
    <x v="4"/>
    <x v="414"/>
    <n v="110.32"/>
    <n v="9.2861952861952854E-2"/>
  </r>
  <r>
    <x v="203"/>
    <x v="8"/>
    <x v="1"/>
    <x v="1"/>
    <x v="6"/>
    <x v="2141"/>
    <n v="1561.07"/>
    <n v="0.17787944393801275"/>
  </r>
  <r>
    <x v="1002"/>
    <x v="9"/>
    <x v="2"/>
    <x v="2"/>
    <x v="5"/>
    <x v="1690"/>
    <n v="1432.76"/>
    <n v="0.25801548712407707"/>
  </r>
  <r>
    <x v="866"/>
    <x v="7"/>
    <x v="2"/>
    <x v="2"/>
    <x v="3"/>
    <x v="2142"/>
    <n v="262.19"/>
    <n v="0.27029896907216494"/>
  </r>
  <r>
    <x v="494"/>
    <x v="8"/>
    <x v="1"/>
    <x v="2"/>
    <x v="2"/>
    <x v="137"/>
    <n v="56.7"/>
    <n v="6.0319148936170214E-2"/>
  </r>
  <r>
    <x v="1015"/>
    <x v="0"/>
    <x v="0"/>
    <x v="1"/>
    <x v="4"/>
    <x v="2143"/>
    <n v="171.51"/>
    <n v="0.14596595744680851"/>
  </r>
  <r>
    <x v="256"/>
    <x v="9"/>
    <x v="2"/>
    <x v="1"/>
    <x v="5"/>
    <x v="2144"/>
    <n v="1425.54"/>
    <n v="0.29332098765432096"/>
  </r>
  <r>
    <x v="264"/>
    <x v="4"/>
    <x v="1"/>
    <x v="0"/>
    <x v="4"/>
    <x v="1548"/>
    <n v="207.69"/>
    <n v="0.2104255319148936"/>
  </r>
  <r>
    <x v="432"/>
    <x v="3"/>
    <x v="2"/>
    <x v="1"/>
    <x v="1"/>
    <x v="523"/>
    <n v="485.13"/>
    <n v="0.1634535040431267"/>
  </r>
  <r>
    <x v="402"/>
    <x v="1"/>
    <x v="1"/>
    <x v="1"/>
    <x v="8"/>
    <x v="2145"/>
    <n v="364.77"/>
    <n v="0.16794198895027623"/>
  </r>
  <r>
    <x v="105"/>
    <x v="4"/>
    <x v="1"/>
    <x v="2"/>
    <x v="1"/>
    <x v="1481"/>
    <n v="628.96"/>
    <n v="0.15959401167216444"/>
  </r>
  <r>
    <x v="753"/>
    <x v="4"/>
    <x v="1"/>
    <x v="0"/>
    <x v="1"/>
    <x v="2146"/>
    <n v="566.36"/>
    <n v="0.2504909332153914"/>
  </r>
  <r>
    <x v="494"/>
    <x v="5"/>
    <x v="2"/>
    <x v="3"/>
    <x v="5"/>
    <x v="98"/>
    <n v="2519.9299999999998"/>
    <n v="0.28629061576914333"/>
  </r>
  <r>
    <x v="745"/>
    <x v="0"/>
    <x v="0"/>
    <x v="2"/>
    <x v="2"/>
    <x v="2147"/>
    <n v="172.43"/>
    <n v="5.7001652892561983E-2"/>
  </r>
  <r>
    <x v="714"/>
    <x v="0"/>
    <x v="0"/>
    <x v="0"/>
    <x v="0"/>
    <x v="2148"/>
    <n v="600.54999999999995"/>
    <n v="0.1356255645889792"/>
  </r>
  <r>
    <x v="166"/>
    <x v="1"/>
    <x v="1"/>
    <x v="3"/>
    <x v="5"/>
    <x v="2149"/>
    <n v="1417.84"/>
    <n v="0.19306100217864922"/>
  </r>
  <r>
    <x v="770"/>
    <x v="8"/>
    <x v="1"/>
    <x v="1"/>
    <x v="0"/>
    <x v="2150"/>
    <n v="167.78"/>
    <n v="7.5035778175313053E-2"/>
  </r>
  <r>
    <x v="1016"/>
    <x v="7"/>
    <x v="2"/>
    <x v="2"/>
    <x v="6"/>
    <x v="2151"/>
    <n v="57.08"/>
    <n v="0.10649253731343283"/>
  </r>
  <r>
    <x v="836"/>
    <x v="6"/>
    <x v="1"/>
    <x v="0"/>
    <x v="2"/>
    <x v="1945"/>
    <n v="249.22"/>
    <n v="0.12586868686868688"/>
  </r>
  <r>
    <x v="833"/>
    <x v="0"/>
    <x v="0"/>
    <x v="1"/>
    <x v="7"/>
    <x v="1024"/>
    <n v="202.86"/>
    <n v="9.6600000000000005E-2"/>
  </r>
  <r>
    <x v="498"/>
    <x v="5"/>
    <x v="2"/>
    <x v="3"/>
    <x v="8"/>
    <x v="1996"/>
    <n v="122.76"/>
    <n v="8.2004008016032068E-2"/>
  </r>
  <r>
    <x v="361"/>
    <x v="9"/>
    <x v="2"/>
    <x v="0"/>
    <x v="7"/>
    <x v="1100"/>
    <n v="1013.7"/>
    <n v="0.24135714285714288"/>
  </r>
  <r>
    <x v="853"/>
    <x v="4"/>
    <x v="1"/>
    <x v="2"/>
    <x v="3"/>
    <x v="628"/>
    <n v="191.82"/>
    <n v="0.15444444444444444"/>
  </r>
  <r>
    <x v="1017"/>
    <x v="5"/>
    <x v="2"/>
    <x v="2"/>
    <x v="2"/>
    <x v="620"/>
    <n v="312.81"/>
    <n v="0.1992420382165605"/>
  </r>
  <r>
    <x v="336"/>
    <x v="6"/>
    <x v="1"/>
    <x v="1"/>
    <x v="0"/>
    <x v="2152"/>
    <n v="86.62"/>
    <n v="0.20238317757009347"/>
  </r>
  <r>
    <x v="374"/>
    <x v="0"/>
    <x v="0"/>
    <x v="2"/>
    <x v="4"/>
    <x v="2153"/>
    <n v="270.74"/>
    <n v="0.29621444201312913"/>
  </r>
  <r>
    <x v="764"/>
    <x v="2"/>
    <x v="2"/>
    <x v="0"/>
    <x v="8"/>
    <x v="1413"/>
    <n v="98.93"/>
    <n v="0.21275268817204301"/>
  </r>
  <r>
    <x v="866"/>
    <x v="5"/>
    <x v="2"/>
    <x v="0"/>
    <x v="3"/>
    <x v="310"/>
    <n v="83.49"/>
    <n v="7.8615819209039539E-2"/>
  </r>
  <r>
    <x v="1018"/>
    <x v="3"/>
    <x v="2"/>
    <x v="2"/>
    <x v="6"/>
    <x v="2154"/>
    <n v="1984.11"/>
    <n v="0.2275355504587156"/>
  </r>
  <r>
    <x v="649"/>
    <x v="1"/>
    <x v="1"/>
    <x v="2"/>
    <x v="7"/>
    <x v="501"/>
    <n v="343.61"/>
    <n v="0.2626987767584098"/>
  </r>
  <r>
    <x v="1019"/>
    <x v="4"/>
    <x v="1"/>
    <x v="2"/>
    <x v="5"/>
    <x v="692"/>
    <n v="1291.97"/>
    <n v="0.15174653511862815"/>
  </r>
  <r>
    <x v="33"/>
    <x v="2"/>
    <x v="2"/>
    <x v="0"/>
    <x v="3"/>
    <x v="2155"/>
    <n v="151.07"/>
    <n v="0.12464521452145214"/>
  </r>
  <r>
    <x v="1009"/>
    <x v="4"/>
    <x v="1"/>
    <x v="3"/>
    <x v="0"/>
    <x v="2156"/>
    <n v="503.57"/>
    <n v="0.19548524844720497"/>
  </r>
  <r>
    <x v="673"/>
    <x v="8"/>
    <x v="1"/>
    <x v="1"/>
    <x v="6"/>
    <x v="2157"/>
    <n v="606.19000000000005"/>
    <n v="0.12628958333333334"/>
  </r>
  <r>
    <x v="186"/>
    <x v="5"/>
    <x v="2"/>
    <x v="1"/>
    <x v="2"/>
    <x v="313"/>
    <n v="274.54000000000002"/>
    <n v="0.19065277777777778"/>
  </r>
  <r>
    <x v="854"/>
    <x v="5"/>
    <x v="2"/>
    <x v="0"/>
    <x v="5"/>
    <x v="2158"/>
    <n v="737.45"/>
    <n v="7.1939322992878751E-2"/>
  </r>
  <r>
    <x v="961"/>
    <x v="7"/>
    <x v="2"/>
    <x v="0"/>
    <x v="1"/>
    <x v="1858"/>
    <n v="570.98"/>
    <n v="0.18794601711652403"/>
  </r>
  <r>
    <x v="167"/>
    <x v="6"/>
    <x v="1"/>
    <x v="3"/>
    <x v="5"/>
    <x v="2159"/>
    <n v="1945.56"/>
    <n v="0.2782153582153582"/>
  </r>
  <r>
    <x v="588"/>
    <x v="6"/>
    <x v="1"/>
    <x v="1"/>
    <x v="0"/>
    <x v="542"/>
    <n v="247.88"/>
    <n v="0.15188725490196078"/>
  </r>
  <r>
    <x v="943"/>
    <x v="8"/>
    <x v="1"/>
    <x v="1"/>
    <x v="5"/>
    <x v="802"/>
    <n v="1704.8"/>
    <n v="0.29877322117069749"/>
  </r>
  <r>
    <x v="891"/>
    <x v="3"/>
    <x v="2"/>
    <x v="0"/>
    <x v="5"/>
    <x v="1896"/>
    <n v="1187.22"/>
    <n v="0.12293880086983536"/>
  </r>
  <r>
    <x v="429"/>
    <x v="5"/>
    <x v="2"/>
    <x v="1"/>
    <x v="2"/>
    <x v="600"/>
    <n v="450.83"/>
    <n v="0.10234506242905789"/>
  </r>
  <r>
    <x v="1020"/>
    <x v="8"/>
    <x v="1"/>
    <x v="1"/>
    <x v="0"/>
    <x v="1269"/>
    <n v="360.78"/>
    <n v="0.20975581395348836"/>
  </r>
  <r>
    <x v="162"/>
    <x v="3"/>
    <x v="2"/>
    <x v="2"/>
    <x v="1"/>
    <x v="2160"/>
    <n v="234.62"/>
    <n v="5.1485626508667982E-2"/>
  </r>
  <r>
    <x v="1019"/>
    <x v="4"/>
    <x v="1"/>
    <x v="3"/>
    <x v="1"/>
    <x v="1410"/>
    <n v="431.43"/>
    <n v="0.18127310924369749"/>
  </r>
  <r>
    <x v="691"/>
    <x v="4"/>
    <x v="1"/>
    <x v="0"/>
    <x v="6"/>
    <x v="1050"/>
    <n v="74.989999999999995"/>
    <n v="0.1644517543859649"/>
  </r>
  <r>
    <x v="974"/>
    <x v="3"/>
    <x v="2"/>
    <x v="1"/>
    <x v="7"/>
    <x v="2161"/>
    <n v="355.03"/>
    <n v="5.4335782063054783E-2"/>
  </r>
  <r>
    <x v="969"/>
    <x v="7"/>
    <x v="2"/>
    <x v="0"/>
    <x v="7"/>
    <x v="2162"/>
    <n v="307.45999999999998"/>
    <n v="8.8964120370370367E-2"/>
  </r>
  <r>
    <x v="1021"/>
    <x v="8"/>
    <x v="1"/>
    <x v="3"/>
    <x v="5"/>
    <x v="2163"/>
    <n v="2352.46"/>
    <n v="0.28818571603577114"/>
  </r>
  <r>
    <x v="1022"/>
    <x v="4"/>
    <x v="1"/>
    <x v="0"/>
    <x v="7"/>
    <x v="304"/>
    <n v="601.71"/>
    <n v="0.12923324742268041"/>
  </r>
  <r>
    <x v="615"/>
    <x v="7"/>
    <x v="2"/>
    <x v="3"/>
    <x v="3"/>
    <x v="873"/>
    <n v="241.54"/>
    <n v="0.25004140786749479"/>
  </r>
  <r>
    <x v="899"/>
    <x v="1"/>
    <x v="1"/>
    <x v="1"/>
    <x v="0"/>
    <x v="1131"/>
    <n v="669.67"/>
    <n v="0.25956201550387598"/>
  </r>
  <r>
    <x v="186"/>
    <x v="3"/>
    <x v="2"/>
    <x v="2"/>
    <x v="5"/>
    <x v="2164"/>
    <n v="1906.5"/>
    <n v="0.23458840900701367"/>
  </r>
  <r>
    <x v="913"/>
    <x v="5"/>
    <x v="2"/>
    <x v="2"/>
    <x v="0"/>
    <x v="952"/>
    <n v="614.04999999999995"/>
    <n v="0.28855733082706764"/>
  </r>
  <r>
    <x v="918"/>
    <x v="7"/>
    <x v="2"/>
    <x v="2"/>
    <x v="5"/>
    <x v="2165"/>
    <n v="1100.52"/>
    <n v="0.1715007012622721"/>
  </r>
  <r>
    <x v="165"/>
    <x v="8"/>
    <x v="1"/>
    <x v="1"/>
    <x v="1"/>
    <x v="2166"/>
    <n v="494.78"/>
    <n v="0.12378784088066049"/>
  </r>
  <r>
    <x v="107"/>
    <x v="9"/>
    <x v="2"/>
    <x v="3"/>
    <x v="4"/>
    <x v="1179"/>
    <n v="149.52000000000001"/>
    <n v="0.17010238907849831"/>
  </r>
  <r>
    <x v="319"/>
    <x v="9"/>
    <x v="2"/>
    <x v="0"/>
    <x v="8"/>
    <x v="2167"/>
    <n v="538.39"/>
    <n v="0.22293581780538302"/>
  </r>
  <r>
    <x v="352"/>
    <x v="3"/>
    <x v="2"/>
    <x v="3"/>
    <x v="0"/>
    <x v="1561"/>
    <n v="314.83999999999997"/>
    <n v="0.29590225563909772"/>
  </r>
  <r>
    <x v="958"/>
    <x v="1"/>
    <x v="1"/>
    <x v="2"/>
    <x v="0"/>
    <x v="2168"/>
    <n v="326.92"/>
    <n v="0.28280276816608996"/>
  </r>
  <r>
    <x v="381"/>
    <x v="7"/>
    <x v="2"/>
    <x v="0"/>
    <x v="4"/>
    <x v="2095"/>
    <n v="218.27"/>
    <n v="0.18434966216216217"/>
  </r>
  <r>
    <x v="272"/>
    <x v="8"/>
    <x v="1"/>
    <x v="2"/>
    <x v="8"/>
    <x v="1453"/>
    <n v="211.16"/>
    <n v="0.10828717948717949"/>
  </r>
  <r>
    <x v="891"/>
    <x v="9"/>
    <x v="2"/>
    <x v="2"/>
    <x v="0"/>
    <x v="1076"/>
    <n v="295.08999999999997"/>
    <n v="0.2712224264705882"/>
  </r>
  <r>
    <x v="10"/>
    <x v="0"/>
    <x v="0"/>
    <x v="2"/>
    <x v="7"/>
    <x v="233"/>
    <n v="522.29999999999995"/>
    <n v="0.11924657534246574"/>
  </r>
  <r>
    <x v="341"/>
    <x v="3"/>
    <x v="2"/>
    <x v="2"/>
    <x v="4"/>
    <x v="2169"/>
    <n v="196.17"/>
    <n v="0.19656312625250499"/>
  </r>
  <r>
    <x v="538"/>
    <x v="7"/>
    <x v="2"/>
    <x v="1"/>
    <x v="7"/>
    <x v="2170"/>
    <n v="675.17"/>
    <n v="0.11709503988900451"/>
  </r>
  <r>
    <x v="62"/>
    <x v="2"/>
    <x v="2"/>
    <x v="3"/>
    <x v="7"/>
    <x v="2171"/>
    <n v="274.64999999999998"/>
    <n v="8.8028846153846152E-2"/>
  </r>
  <r>
    <x v="1008"/>
    <x v="0"/>
    <x v="0"/>
    <x v="1"/>
    <x v="1"/>
    <x v="1139"/>
    <n v="68.11"/>
    <n v="0.10692307692307693"/>
  </r>
  <r>
    <x v="845"/>
    <x v="9"/>
    <x v="2"/>
    <x v="3"/>
    <x v="7"/>
    <x v="1933"/>
    <n v="697.74"/>
    <n v="0.21105263157894738"/>
  </r>
  <r>
    <x v="169"/>
    <x v="6"/>
    <x v="1"/>
    <x v="2"/>
    <x v="7"/>
    <x v="2172"/>
    <n v="726.72"/>
    <n v="0.10352136752136752"/>
  </r>
  <r>
    <x v="615"/>
    <x v="3"/>
    <x v="2"/>
    <x v="2"/>
    <x v="1"/>
    <x v="2173"/>
    <n v="502.14"/>
    <n v="8.4096466253558863E-2"/>
  </r>
  <r>
    <x v="424"/>
    <x v="9"/>
    <x v="2"/>
    <x v="0"/>
    <x v="3"/>
    <x v="1201"/>
    <n v="77.680000000000007"/>
    <n v="0.10357333333333334"/>
  </r>
  <r>
    <x v="395"/>
    <x v="2"/>
    <x v="2"/>
    <x v="0"/>
    <x v="8"/>
    <x v="1908"/>
    <n v="523"/>
    <n v="0.21984026902059689"/>
  </r>
  <r>
    <x v="116"/>
    <x v="3"/>
    <x v="2"/>
    <x v="0"/>
    <x v="4"/>
    <x v="2174"/>
    <n v="108.94"/>
    <n v="0.15585121602288984"/>
  </r>
  <r>
    <x v="283"/>
    <x v="3"/>
    <x v="2"/>
    <x v="3"/>
    <x v="5"/>
    <x v="1732"/>
    <n v="1895.24"/>
    <n v="0.27563118091913902"/>
  </r>
  <r>
    <x v="914"/>
    <x v="6"/>
    <x v="1"/>
    <x v="0"/>
    <x v="6"/>
    <x v="689"/>
    <n v="494.02"/>
    <n v="0.27445555555555556"/>
  </r>
  <r>
    <x v="325"/>
    <x v="2"/>
    <x v="2"/>
    <x v="2"/>
    <x v="2"/>
    <x v="360"/>
    <n v="236.25"/>
    <n v="0.18824701195219123"/>
  </r>
  <r>
    <x v="824"/>
    <x v="5"/>
    <x v="2"/>
    <x v="1"/>
    <x v="5"/>
    <x v="2175"/>
    <n v="343.58"/>
    <n v="0.17196196196196195"/>
  </r>
  <r>
    <x v="818"/>
    <x v="4"/>
    <x v="1"/>
    <x v="1"/>
    <x v="4"/>
    <x v="1609"/>
    <n v="80.19"/>
    <n v="0.26120521172638433"/>
  </r>
  <r>
    <x v="759"/>
    <x v="0"/>
    <x v="0"/>
    <x v="3"/>
    <x v="4"/>
    <x v="2176"/>
    <n v="54.87"/>
    <n v="0.23348936170212764"/>
  </r>
  <r>
    <x v="285"/>
    <x v="6"/>
    <x v="1"/>
    <x v="2"/>
    <x v="7"/>
    <x v="1547"/>
    <n v="407.73"/>
    <n v="0.2707370517928287"/>
  </r>
  <r>
    <x v="756"/>
    <x v="2"/>
    <x v="2"/>
    <x v="0"/>
    <x v="6"/>
    <x v="2053"/>
    <n v="216.51"/>
    <n v="8.7869318181818173E-2"/>
  </r>
  <r>
    <x v="193"/>
    <x v="5"/>
    <x v="2"/>
    <x v="2"/>
    <x v="3"/>
    <x v="2177"/>
    <n v="42.03"/>
    <n v="0.130527950310559"/>
  </r>
  <r>
    <x v="956"/>
    <x v="0"/>
    <x v="0"/>
    <x v="3"/>
    <x v="0"/>
    <x v="1097"/>
    <n v="100.02"/>
    <n v="9.0927272727272718E-2"/>
  </r>
  <r>
    <x v="123"/>
    <x v="8"/>
    <x v="1"/>
    <x v="2"/>
    <x v="0"/>
    <x v="2178"/>
    <n v="265.54000000000002"/>
    <n v="0.1213619744058501"/>
  </r>
  <r>
    <x v="488"/>
    <x v="0"/>
    <x v="0"/>
    <x v="3"/>
    <x v="5"/>
    <x v="2179"/>
    <n v="473.34"/>
    <n v="0.16132924335378324"/>
  </r>
  <r>
    <x v="254"/>
    <x v="4"/>
    <x v="1"/>
    <x v="2"/>
    <x v="6"/>
    <x v="2180"/>
    <n v="514.05999999999995"/>
    <n v="5.5730702515177789E-2"/>
  </r>
  <r>
    <x v="787"/>
    <x v="6"/>
    <x v="1"/>
    <x v="1"/>
    <x v="0"/>
    <x v="2115"/>
    <n v="142.81"/>
    <n v="5.8624794745484404E-2"/>
  </r>
  <r>
    <x v="482"/>
    <x v="5"/>
    <x v="2"/>
    <x v="3"/>
    <x v="0"/>
    <x v="1601"/>
    <n v="97.55"/>
    <n v="0.10036008230452674"/>
  </r>
  <r>
    <x v="141"/>
    <x v="9"/>
    <x v="2"/>
    <x v="2"/>
    <x v="7"/>
    <x v="2181"/>
    <n v="540.4"/>
    <n v="9.8541210795040107E-2"/>
  </r>
  <r>
    <x v="892"/>
    <x v="3"/>
    <x v="2"/>
    <x v="3"/>
    <x v="6"/>
    <x v="1674"/>
    <n v="337.36"/>
    <n v="0.10703045685279189"/>
  </r>
  <r>
    <x v="122"/>
    <x v="8"/>
    <x v="1"/>
    <x v="1"/>
    <x v="6"/>
    <x v="2087"/>
    <n v="870.17"/>
    <n v="0.14425895225464191"/>
  </r>
  <r>
    <x v="434"/>
    <x v="3"/>
    <x v="2"/>
    <x v="3"/>
    <x v="1"/>
    <x v="381"/>
    <n v="1324.49"/>
    <n v="0.2074702380952381"/>
  </r>
  <r>
    <x v="749"/>
    <x v="0"/>
    <x v="0"/>
    <x v="1"/>
    <x v="2"/>
    <x v="2182"/>
    <n v="707.08"/>
    <n v="0.19084480431848855"/>
  </r>
  <r>
    <x v="254"/>
    <x v="5"/>
    <x v="2"/>
    <x v="2"/>
    <x v="7"/>
    <x v="2183"/>
    <n v="394.03"/>
    <n v="7.0614695340501785E-2"/>
  </r>
  <r>
    <x v="812"/>
    <x v="3"/>
    <x v="2"/>
    <x v="1"/>
    <x v="3"/>
    <x v="1698"/>
    <n v="120.74"/>
    <n v="9.7686084142394825E-2"/>
  </r>
  <r>
    <x v="610"/>
    <x v="3"/>
    <x v="2"/>
    <x v="0"/>
    <x v="6"/>
    <x v="1339"/>
    <n v="1969.93"/>
    <n v="0.27981960227272729"/>
  </r>
  <r>
    <x v="525"/>
    <x v="3"/>
    <x v="2"/>
    <x v="1"/>
    <x v="5"/>
    <x v="2184"/>
    <n v="138.04"/>
    <n v="0.15185918591859185"/>
  </r>
  <r>
    <x v="618"/>
    <x v="1"/>
    <x v="1"/>
    <x v="2"/>
    <x v="4"/>
    <x v="2185"/>
    <n v="7.24"/>
    <n v="6.8301886792452832E-2"/>
  </r>
  <r>
    <x v="916"/>
    <x v="5"/>
    <x v="2"/>
    <x v="2"/>
    <x v="4"/>
    <x v="1053"/>
    <n v="67.849999999999994"/>
    <n v="0.24145907473309605"/>
  </r>
  <r>
    <x v="179"/>
    <x v="3"/>
    <x v="2"/>
    <x v="1"/>
    <x v="7"/>
    <x v="2186"/>
    <n v="1851.01"/>
    <n v="0.27349438534278958"/>
  </r>
  <r>
    <x v="401"/>
    <x v="9"/>
    <x v="2"/>
    <x v="3"/>
    <x v="7"/>
    <x v="604"/>
    <n v="276.35000000000002"/>
    <n v="6.4237563923756402E-2"/>
  </r>
  <r>
    <x v="511"/>
    <x v="7"/>
    <x v="2"/>
    <x v="0"/>
    <x v="5"/>
    <x v="135"/>
    <n v="2125.44"/>
    <n v="0.29743073047858942"/>
  </r>
  <r>
    <x v="390"/>
    <x v="7"/>
    <x v="2"/>
    <x v="2"/>
    <x v="8"/>
    <x v="1241"/>
    <n v="48.08"/>
    <n v="8.2611683848797246E-2"/>
  </r>
  <r>
    <x v="452"/>
    <x v="4"/>
    <x v="1"/>
    <x v="0"/>
    <x v="7"/>
    <x v="934"/>
    <n v="162.75"/>
    <n v="0.28255208333333331"/>
  </r>
  <r>
    <x v="425"/>
    <x v="8"/>
    <x v="1"/>
    <x v="2"/>
    <x v="2"/>
    <x v="2187"/>
    <n v="796.12"/>
    <n v="0.18666354044548653"/>
  </r>
  <r>
    <x v="96"/>
    <x v="5"/>
    <x v="2"/>
    <x v="1"/>
    <x v="6"/>
    <x v="1992"/>
    <n v="333.53"/>
    <n v="6.2133010432190758E-2"/>
  </r>
  <r>
    <x v="10"/>
    <x v="4"/>
    <x v="1"/>
    <x v="2"/>
    <x v="4"/>
    <x v="2188"/>
    <n v="66.23"/>
    <n v="0.21092356687898089"/>
  </r>
  <r>
    <x v="413"/>
    <x v="2"/>
    <x v="2"/>
    <x v="3"/>
    <x v="7"/>
    <x v="2189"/>
    <n v="646.70000000000005"/>
    <n v="0.2416666666666667"/>
  </r>
  <r>
    <x v="516"/>
    <x v="9"/>
    <x v="2"/>
    <x v="0"/>
    <x v="0"/>
    <x v="781"/>
    <n v="947.52"/>
    <n v="0.27999999999999997"/>
  </r>
  <r>
    <x v="50"/>
    <x v="1"/>
    <x v="1"/>
    <x v="3"/>
    <x v="7"/>
    <x v="454"/>
    <n v="794.94"/>
    <n v="0.24951035781544259"/>
  </r>
  <r>
    <x v="888"/>
    <x v="5"/>
    <x v="2"/>
    <x v="2"/>
    <x v="0"/>
    <x v="2190"/>
    <n v="528.69000000000005"/>
    <n v="0.28858624454148474"/>
  </r>
  <r>
    <x v="795"/>
    <x v="0"/>
    <x v="0"/>
    <x v="2"/>
    <x v="6"/>
    <x v="2191"/>
    <n v="769.91"/>
    <n v="0.16093436454849497"/>
  </r>
  <r>
    <x v="959"/>
    <x v="2"/>
    <x v="2"/>
    <x v="3"/>
    <x v="4"/>
    <x v="440"/>
    <n v="63.18"/>
    <n v="0.16582677165354331"/>
  </r>
  <r>
    <x v="1017"/>
    <x v="7"/>
    <x v="2"/>
    <x v="2"/>
    <x v="5"/>
    <x v="2192"/>
    <n v="677.34"/>
    <n v="0.14962226640159046"/>
  </r>
  <r>
    <x v="779"/>
    <x v="0"/>
    <x v="0"/>
    <x v="2"/>
    <x v="0"/>
    <x v="2193"/>
    <n v="240.42"/>
    <n v="0.1491439205955335"/>
  </r>
  <r>
    <x v="707"/>
    <x v="0"/>
    <x v="0"/>
    <x v="1"/>
    <x v="3"/>
    <x v="2194"/>
    <n v="435.56"/>
    <n v="0.22709071949947862"/>
  </r>
  <r>
    <x v="990"/>
    <x v="3"/>
    <x v="2"/>
    <x v="1"/>
    <x v="4"/>
    <x v="2195"/>
    <n v="42.37"/>
    <n v="0.23670391061452511"/>
  </r>
  <r>
    <x v="678"/>
    <x v="5"/>
    <x v="2"/>
    <x v="3"/>
    <x v="8"/>
    <x v="1906"/>
    <n v="224.29"/>
    <n v="7.1135426577862357E-2"/>
  </r>
  <r>
    <x v="35"/>
    <x v="2"/>
    <x v="2"/>
    <x v="1"/>
    <x v="6"/>
    <x v="1918"/>
    <n v="855.75"/>
    <n v="0.22146739130434784"/>
  </r>
  <r>
    <x v="920"/>
    <x v="0"/>
    <x v="0"/>
    <x v="2"/>
    <x v="2"/>
    <x v="2020"/>
    <n v="570.78"/>
    <n v="0.23392622950819672"/>
  </r>
  <r>
    <x v="524"/>
    <x v="3"/>
    <x v="2"/>
    <x v="2"/>
    <x v="7"/>
    <x v="2196"/>
    <n v="675.38"/>
    <n v="0.18453005464480873"/>
  </r>
  <r>
    <x v="444"/>
    <x v="5"/>
    <x v="2"/>
    <x v="1"/>
    <x v="8"/>
    <x v="2197"/>
    <n v="49.93"/>
    <n v="0.15701257861635221"/>
  </r>
  <r>
    <x v="309"/>
    <x v="1"/>
    <x v="1"/>
    <x v="2"/>
    <x v="8"/>
    <x v="1783"/>
    <n v="63.27"/>
    <n v="0.13099378881987578"/>
  </r>
  <r>
    <x v="200"/>
    <x v="4"/>
    <x v="1"/>
    <x v="0"/>
    <x v="7"/>
    <x v="2198"/>
    <n v="960.41"/>
    <n v="0.14177886034839091"/>
  </r>
  <r>
    <x v="240"/>
    <x v="6"/>
    <x v="1"/>
    <x v="3"/>
    <x v="2"/>
    <x v="917"/>
    <n v="806.12"/>
    <n v="0.15181167608286253"/>
  </r>
  <r>
    <x v="489"/>
    <x v="8"/>
    <x v="1"/>
    <x v="3"/>
    <x v="7"/>
    <x v="1697"/>
    <n v="779.43"/>
    <n v="0.15122817229336435"/>
  </r>
  <r>
    <x v="910"/>
    <x v="8"/>
    <x v="1"/>
    <x v="1"/>
    <x v="5"/>
    <x v="2199"/>
    <n v="823.17"/>
    <n v="0.12211392968402314"/>
  </r>
  <r>
    <x v="728"/>
    <x v="3"/>
    <x v="2"/>
    <x v="0"/>
    <x v="3"/>
    <x v="907"/>
    <n v="61.33"/>
    <n v="0.11794230769230769"/>
  </r>
  <r>
    <x v="534"/>
    <x v="2"/>
    <x v="2"/>
    <x v="1"/>
    <x v="1"/>
    <x v="1431"/>
    <n v="111.79"/>
    <n v="9.9812500000000012E-2"/>
  </r>
  <r>
    <x v="535"/>
    <x v="8"/>
    <x v="1"/>
    <x v="1"/>
    <x v="4"/>
    <x v="2200"/>
    <n v="155.30000000000001"/>
    <n v="0.17047200878155874"/>
  </r>
  <r>
    <x v="996"/>
    <x v="6"/>
    <x v="1"/>
    <x v="2"/>
    <x v="6"/>
    <x v="1561"/>
    <n v="190.73"/>
    <n v="0.17925751879699248"/>
  </r>
  <r>
    <x v="74"/>
    <x v="9"/>
    <x v="2"/>
    <x v="0"/>
    <x v="1"/>
    <x v="1759"/>
    <n v="404.3"/>
    <n v="0.20408884401817265"/>
  </r>
  <r>
    <x v="776"/>
    <x v="3"/>
    <x v="2"/>
    <x v="2"/>
    <x v="2"/>
    <x v="2201"/>
    <n v="540.47"/>
    <n v="0.12627803738317758"/>
  </r>
  <r>
    <x v="759"/>
    <x v="5"/>
    <x v="2"/>
    <x v="2"/>
    <x v="2"/>
    <x v="2202"/>
    <n v="268.39"/>
    <n v="5.2368780487804877E-2"/>
  </r>
  <r>
    <x v="618"/>
    <x v="6"/>
    <x v="1"/>
    <x v="3"/>
    <x v="1"/>
    <x v="2203"/>
    <n v="313.95999999999998"/>
    <n v="0.19933968253968254"/>
  </r>
  <r>
    <x v="74"/>
    <x v="2"/>
    <x v="2"/>
    <x v="1"/>
    <x v="5"/>
    <x v="422"/>
    <n v="1868.64"/>
    <n v="0.1873886883273165"/>
  </r>
  <r>
    <x v="430"/>
    <x v="7"/>
    <x v="2"/>
    <x v="1"/>
    <x v="6"/>
    <x v="2204"/>
    <n v="900.04"/>
    <n v="0.19668706293706292"/>
  </r>
  <r>
    <x v="1001"/>
    <x v="6"/>
    <x v="1"/>
    <x v="2"/>
    <x v="1"/>
    <x v="2205"/>
    <n v="1141.32"/>
    <n v="0.1740082329623418"/>
  </r>
  <r>
    <x v="50"/>
    <x v="2"/>
    <x v="2"/>
    <x v="2"/>
    <x v="4"/>
    <x v="1822"/>
    <n v="35.36"/>
    <n v="5.7124394184168009E-2"/>
  </r>
  <r>
    <x v="83"/>
    <x v="4"/>
    <x v="1"/>
    <x v="3"/>
    <x v="6"/>
    <x v="2206"/>
    <n v="151.94999999999999"/>
    <n v="6.1073151125401924E-2"/>
  </r>
  <r>
    <x v="952"/>
    <x v="1"/>
    <x v="1"/>
    <x v="3"/>
    <x v="0"/>
    <x v="1208"/>
    <n v="148.85"/>
    <n v="5.8694794952681387E-2"/>
  </r>
  <r>
    <x v="106"/>
    <x v="2"/>
    <x v="2"/>
    <x v="3"/>
    <x v="6"/>
    <x v="2117"/>
    <n v="297.5"/>
    <n v="5.4929837518463809E-2"/>
  </r>
  <r>
    <x v="694"/>
    <x v="5"/>
    <x v="2"/>
    <x v="1"/>
    <x v="3"/>
    <x v="2207"/>
    <n v="158.07"/>
    <n v="6.7724935732647817E-2"/>
  </r>
  <r>
    <x v="1023"/>
    <x v="3"/>
    <x v="2"/>
    <x v="1"/>
    <x v="5"/>
    <x v="610"/>
    <n v="183.42"/>
    <n v="0.16983333333333331"/>
  </r>
  <r>
    <x v="111"/>
    <x v="2"/>
    <x v="2"/>
    <x v="2"/>
    <x v="0"/>
    <x v="1344"/>
    <n v="127.07"/>
    <n v="9.5974320241691835E-2"/>
  </r>
  <r>
    <x v="940"/>
    <x v="3"/>
    <x v="2"/>
    <x v="3"/>
    <x v="3"/>
    <x v="1807"/>
    <n v="444.08"/>
    <n v="0.19274305555555554"/>
  </r>
  <r>
    <x v="819"/>
    <x v="7"/>
    <x v="2"/>
    <x v="1"/>
    <x v="0"/>
    <x v="2208"/>
    <n v="1026.24"/>
    <n v="0.2166891891891892"/>
  </r>
  <r>
    <x v="939"/>
    <x v="1"/>
    <x v="1"/>
    <x v="3"/>
    <x v="5"/>
    <x v="1883"/>
    <n v="457.49"/>
    <n v="0.1564068376068376"/>
  </r>
  <r>
    <x v="760"/>
    <x v="9"/>
    <x v="2"/>
    <x v="1"/>
    <x v="5"/>
    <x v="2209"/>
    <n v="1627.26"/>
    <n v="0.25646335697399525"/>
  </r>
  <r>
    <x v="355"/>
    <x v="4"/>
    <x v="1"/>
    <x v="1"/>
    <x v="5"/>
    <x v="149"/>
    <n v="912.84"/>
    <n v="0.21626154939587777"/>
  </r>
  <r>
    <x v="521"/>
    <x v="4"/>
    <x v="1"/>
    <x v="2"/>
    <x v="1"/>
    <x v="1419"/>
    <n v="56.89"/>
    <n v="0.12313852813852814"/>
  </r>
  <r>
    <x v="728"/>
    <x v="6"/>
    <x v="1"/>
    <x v="0"/>
    <x v="1"/>
    <x v="2210"/>
    <n v="1625.55"/>
    <n v="0.21422641012124408"/>
  </r>
  <r>
    <x v="36"/>
    <x v="8"/>
    <x v="1"/>
    <x v="0"/>
    <x v="7"/>
    <x v="2211"/>
    <n v="1270.6400000000001"/>
    <n v="0.24285932721712541"/>
  </r>
  <r>
    <x v="452"/>
    <x v="3"/>
    <x v="2"/>
    <x v="1"/>
    <x v="6"/>
    <x v="313"/>
    <n v="402.06"/>
    <n v="0.27920833333333334"/>
  </r>
  <r>
    <x v="524"/>
    <x v="6"/>
    <x v="1"/>
    <x v="0"/>
    <x v="3"/>
    <x v="969"/>
    <n v="226.4"/>
    <n v="0.22066276803118909"/>
  </r>
  <r>
    <x v="769"/>
    <x v="3"/>
    <x v="2"/>
    <x v="0"/>
    <x v="1"/>
    <x v="2212"/>
    <n v="1008.42"/>
    <n v="0.1352676056338028"/>
  </r>
  <r>
    <x v="639"/>
    <x v="0"/>
    <x v="0"/>
    <x v="1"/>
    <x v="6"/>
    <x v="1376"/>
    <n v="404.35"/>
    <n v="0.16463762214983715"/>
  </r>
  <r>
    <x v="506"/>
    <x v="3"/>
    <x v="2"/>
    <x v="0"/>
    <x v="8"/>
    <x v="2213"/>
    <n v="404.56"/>
    <n v="0.14150402238544946"/>
  </r>
  <r>
    <x v="288"/>
    <x v="8"/>
    <x v="1"/>
    <x v="1"/>
    <x v="4"/>
    <x v="2214"/>
    <n v="50.66"/>
    <n v="0.16289389067524115"/>
  </r>
  <r>
    <x v="934"/>
    <x v="0"/>
    <x v="0"/>
    <x v="1"/>
    <x v="5"/>
    <x v="2215"/>
    <n v="246.6"/>
    <n v="0.1957142857142857"/>
  </r>
  <r>
    <x v="842"/>
    <x v="8"/>
    <x v="1"/>
    <x v="2"/>
    <x v="4"/>
    <x v="2086"/>
    <n v="102.48"/>
    <n v="0.21991416309012876"/>
  </r>
  <r>
    <x v="1024"/>
    <x v="9"/>
    <x v="2"/>
    <x v="3"/>
    <x v="8"/>
    <x v="2216"/>
    <n v="58.2"/>
    <n v="6.7128027681660901E-2"/>
  </r>
  <r>
    <x v="144"/>
    <x v="6"/>
    <x v="1"/>
    <x v="2"/>
    <x v="7"/>
    <x v="676"/>
    <n v="275.72000000000003"/>
    <n v="7.0915637860082315E-2"/>
  </r>
  <r>
    <x v="294"/>
    <x v="2"/>
    <x v="2"/>
    <x v="0"/>
    <x v="0"/>
    <x v="2217"/>
    <n v="347.2"/>
    <n v="0.11451187335092348"/>
  </r>
  <r>
    <x v="488"/>
    <x v="2"/>
    <x v="2"/>
    <x v="0"/>
    <x v="1"/>
    <x v="1184"/>
    <n v="978.81"/>
    <n v="0.20808035714285714"/>
  </r>
  <r>
    <x v="930"/>
    <x v="0"/>
    <x v="0"/>
    <x v="3"/>
    <x v="8"/>
    <x v="454"/>
    <n v="527.75"/>
    <n v="0.16564657878217201"/>
  </r>
  <r>
    <x v="1025"/>
    <x v="0"/>
    <x v="0"/>
    <x v="0"/>
    <x v="5"/>
    <x v="2218"/>
    <n v="359.54"/>
    <n v="5.814976548601003E-2"/>
  </r>
  <r>
    <x v="634"/>
    <x v="5"/>
    <x v="2"/>
    <x v="3"/>
    <x v="4"/>
    <x v="2219"/>
    <n v="21.75"/>
    <n v="8.9506172839506168E-2"/>
  </r>
  <r>
    <x v="657"/>
    <x v="7"/>
    <x v="2"/>
    <x v="0"/>
    <x v="8"/>
    <x v="2103"/>
    <n v="235.67"/>
    <n v="0.2627313266443701"/>
  </r>
  <r>
    <x v="453"/>
    <x v="4"/>
    <x v="1"/>
    <x v="3"/>
    <x v="5"/>
    <x v="2220"/>
    <n v="675.62"/>
    <n v="0.14806486960333115"/>
  </r>
  <r>
    <x v="1026"/>
    <x v="9"/>
    <x v="2"/>
    <x v="2"/>
    <x v="0"/>
    <x v="2221"/>
    <n v="156.97999999999999"/>
    <n v="0.24996815286624202"/>
  </r>
  <r>
    <x v="378"/>
    <x v="6"/>
    <x v="1"/>
    <x v="1"/>
    <x v="7"/>
    <x v="2082"/>
    <n v="172.83"/>
    <n v="0.16460000000000002"/>
  </r>
  <r>
    <x v="967"/>
    <x v="6"/>
    <x v="1"/>
    <x v="0"/>
    <x v="6"/>
    <x v="2217"/>
    <n v="278.85000000000002"/>
    <n v="9.1968997361477581E-2"/>
  </r>
  <r>
    <x v="850"/>
    <x v="8"/>
    <x v="1"/>
    <x v="3"/>
    <x v="4"/>
    <x v="1586"/>
    <n v="118.24"/>
    <n v="0.12852173913043477"/>
  </r>
  <r>
    <x v="578"/>
    <x v="9"/>
    <x v="2"/>
    <x v="2"/>
    <x v="3"/>
    <x v="519"/>
    <n v="90.67"/>
    <n v="0.13573353293413173"/>
  </r>
  <r>
    <x v="678"/>
    <x v="1"/>
    <x v="1"/>
    <x v="1"/>
    <x v="2"/>
    <x v="1145"/>
    <n v="1403.53"/>
    <n v="0.23431218697829717"/>
  </r>
  <r>
    <x v="117"/>
    <x v="2"/>
    <x v="2"/>
    <x v="2"/>
    <x v="5"/>
    <x v="1150"/>
    <n v="1223.9000000000001"/>
    <n v="0.13126340626340627"/>
  </r>
  <r>
    <x v="832"/>
    <x v="8"/>
    <x v="1"/>
    <x v="1"/>
    <x v="6"/>
    <x v="2222"/>
    <n v="368.49"/>
    <n v="6.3885228848821085E-2"/>
  </r>
  <r>
    <x v="957"/>
    <x v="9"/>
    <x v="2"/>
    <x v="0"/>
    <x v="4"/>
    <x v="2223"/>
    <n v="318.08999999999997"/>
    <n v="0.28325022261798749"/>
  </r>
  <r>
    <x v="888"/>
    <x v="8"/>
    <x v="1"/>
    <x v="3"/>
    <x v="0"/>
    <x v="2036"/>
    <n v="453.04"/>
    <n v="0.19393835616438357"/>
  </r>
  <r>
    <x v="424"/>
    <x v="9"/>
    <x v="2"/>
    <x v="3"/>
    <x v="7"/>
    <x v="1330"/>
    <n v="26.03"/>
    <n v="5.9429223744292242E-2"/>
  </r>
  <r>
    <x v="717"/>
    <x v="2"/>
    <x v="2"/>
    <x v="0"/>
    <x v="7"/>
    <x v="1893"/>
    <n v="318.72000000000003"/>
    <n v="5.3656565656565659E-2"/>
  </r>
  <r>
    <x v="753"/>
    <x v="3"/>
    <x v="2"/>
    <x v="3"/>
    <x v="8"/>
    <x v="1505"/>
    <n v="549.34"/>
    <n v="0.29726190476190478"/>
  </r>
  <r>
    <x v="278"/>
    <x v="8"/>
    <x v="1"/>
    <x v="0"/>
    <x v="8"/>
    <x v="60"/>
    <n v="321.05"/>
    <n v="0.15158168083097262"/>
  </r>
  <r>
    <x v="714"/>
    <x v="7"/>
    <x v="2"/>
    <x v="0"/>
    <x v="8"/>
    <x v="2224"/>
    <n v="36.729999999999997"/>
    <n v="0.15900432900432898"/>
  </r>
  <r>
    <x v="1027"/>
    <x v="4"/>
    <x v="1"/>
    <x v="2"/>
    <x v="7"/>
    <x v="1266"/>
    <n v="182.46"/>
    <n v="0.18656441717791411"/>
  </r>
  <r>
    <x v="608"/>
    <x v="6"/>
    <x v="1"/>
    <x v="0"/>
    <x v="2"/>
    <x v="2225"/>
    <n v="420.98"/>
    <n v="8.4875000000000006E-2"/>
  </r>
  <r>
    <x v="402"/>
    <x v="3"/>
    <x v="2"/>
    <x v="2"/>
    <x v="8"/>
    <x v="2226"/>
    <n v="330.44"/>
    <n v="0.23997095134350035"/>
  </r>
  <r>
    <x v="977"/>
    <x v="3"/>
    <x v="2"/>
    <x v="3"/>
    <x v="3"/>
    <x v="2227"/>
    <n v="227.77"/>
    <n v="0.11632788559754853"/>
  </r>
  <r>
    <x v="810"/>
    <x v="1"/>
    <x v="1"/>
    <x v="3"/>
    <x v="1"/>
    <x v="2228"/>
    <n v="1288.04"/>
    <n v="0.22971999286606026"/>
  </r>
  <r>
    <x v="167"/>
    <x v="5"/>
    <x v="2"/>
    <x v="2"/>
    <x v="7"/>
    <x v="1342"/>
    <n v="980.7"/>
    <n v="0.27988013698630138"/>
  </r>
  <r>
    <x v="546"/>
    <x v="1"/>
    <x v="1"/>
    <x v="0"/>
    <x v="0"/>
    <x v="2229"/>
    <n v="75.150000000000006"/>
    <n v="9.4409547738693478E-2"/>
  </r>
  <r>
    <x v="72"/>
    <x v="6"/>
    <x v="1"/>
    <x v="0"/>
    <x v="4"/>
    <x v="2019"/>
    <n v="37.64"/>
    <n v="0.11005847953216374"/>
  </r>
  <r>
    <x v="72"/>
    <x v="6"/>
    <x v="1"/>
    <x v="2"/>
    <x v="1"/>
    <x v="2230"/>
    <n v="1549.67"/>
    <n v="0.22893632737479688"/>
  </r>
  <r>
    <x v="556"/>
    <x v="4"/>
    <x v="1"/>
    <x v="2"/>
    <x v="5"/>
    <x v="2231"/>
    <n v="1794.73"/>
    <n v="0.17804861111111112"/>
  </r>
  <r>
    <x v="953"/>
    <x v="5"/>
    <x v="2"/>
    <x v="1"/>
    <x v="1"/>
    <x v="2232"/>
    <n v="758.36"/>
    <n v="0.1920871327254306"/>
  </r>
  <r>
    <x v="128"/>
    <x v="4"/>
    <x v="1"/>
    <x v="2"/>
    <x v="0"/>
    <x v="1354"/>
    <n v="74.52"/>
    <n v="5.0080645161290321E-2"/>
  </r>
  <r>
    <x v="607"/>
    <x v="1"/>
    <x v="1"/>
    <x v="2"/>
    <x v="2"/>
    <x v="1129"/>
    <n v="201.8"/>
    <n v="0.16816666666666669"/>
  </r>
  <r>
    <x v="537"/>
    <x v="5"/>
    <x v="2"/>
    <x v="0"/>
    <x v="0"/>
    <x v="2233"/>
    <n v="977.6"/>
    <n v="0.21840929401251116"/>
  </r>
  <r>
    <x v="598"/>
    <x v="6"/>
    <x v="1"/>
    <x v="3"/>
    <x v="4"/>
    <x v="674"/>
    <n v="292.14999999999998"/>
    <n v="0.24800509337860779"/>
  </r>
  <r>
    <x v="618"/>
    <x v="5"/>
    <x v="2"/>
    <x v="2"/>
    <x v="6"/>
    <x v="2234"/>
    <n v="149.91999999999999"/>
    <n v="5.1911357340720214E-2"/>
  </r>
  <r>
    <x v="764"/>
    <x v="7"/>
    <x v="2"/>
    <x v="2"/>
    <x v="7"/>
    <x v="327"/>
    <n v="193.18"/>
    <n v="0.11336854460093897"/>
  </r>
  <r>
    <x v="461"/>
    <x v="0"/>
    <x v="0"/>
    <x v="3"/>
    <x v="6"/>
    <x v="1100"/>
    <n v="1017.94"/>
    <n v="0.24236666666666667"/>
  </r>
  <r>
    <x v="416"/>
    <x v="8"/>
    <x v="1"/>
    <x v="1"/>
    <x v="1"/>
    <x v="844"/>
    <n v="562.79"/>
    <n v="0.12741453475209416"/>
  </r>
  <r>
    <x v="229"/>
    <x v="3"/>
    <x v="2"/>
    <x v="3"/>
    <x v="0"/>
    <x v="2235"/>
    <n v="178.83"/>
    <n v="0.23407068062827227"/>
  </r>
  <r>
    <x v="168"/>
    <x v="4"/>
    <x v="1"/>
    <x v="2"/>
    <x v="0"/>
    <x v="2236"/>
    <n v="964.43"/>
    <n v="0.24110749999999997"/>
  </r>
  <r>
    <x v="257"/>
    <x v="6"/>
    <x v="1"/>
    <x v="1"/>
    <x v="5"/>
    <x v="1928"/>
    <n v="558"/>
    <n v="0.23938223938223938"/>
  </r>
  <r>
    <x v="171"/>
    <x v="1"/>
    <x v="1"/>
    <x v="3"/>
    <x v="5"/>
    <x v="2237"/>
    <n v="1296.29"/>
    <n v="0.15862579539892316"/>
  </r>
  <r>
    <x v="888"/>
    <x v="9"/>
    <x v="2"/>
    <x v="0"/>
    <x v="4"/>
    <x v="2238"/>
    <n v="61.15"/>
    <n v="8.035479632063075E-2"/>
  </r>
  <r>
    <x v="574"/>
    <x v="3"/>
    <x v="2"/>
    <x v="1"/>
    <x v="3"/>
    <x v="2239"/>
    <n v="56.41"/>
    <n v="0.11419028340080971"/>
  </r>
  <r>
    <x v="1028"/>
    <x v="4"/>
    <x v="1"/>
    <x v="1"/>
    <x v="3"/>
    <x v="2240"/>
    <n v="52.16"/>
    <n v="0.2688659793814433"/>
  </r>
  <r>
    <x v="541"/>
    <x v="2"/>
    <x v="2"/>
    <x v="3"/>
    <x v="7"/>
    <x v="2241"/>
    <n v="1423.67"/>
    <n v="0.24461683848797253"/>
  </r>
  <r>
    <x v="721"/>
    <x v="3"/>
    <x v="2"/>
    <x v="0"/>
    <x v="2"/>
    <x v="2037"/>
    <n v="121.77"/>
    <n v="0.29699999999999999"/>
  </r>
  <r>
    <x v="486"/>
    <x v="7"/>
    <x v="2"/>
    <x v="1"/>
    <x v="7"/>
    <x v="258"/>
    <n v="360.87"/>
    <n v="0.28777511961722491"/>
  </r>
  <r>
    <x v="824"/>
    <x v="2"/>
    <x v="2"/>
    <x v="1"/>
    <x v="7"/>
    <x v="1065"/>
    <n v="452.4"/>
    <n v="0.13181818181818181"/>
  </r>
  <r>
    <x v="122"/>
    <x v="3"/>
    <x v="2"/>
    <x v="0"/>
    <x v="0"/>
    <x v="318"/>
    <n v="997.99"/>
    <n v="0.26318301687763712"/>
  </r>
  <r>
    <x v="422"/>
    <x v="2"/>
    <x v="2"/>
    <x v="3"/>
    <x v="1"/>
    <x v="1899"/>
    <n v="117.9"/>
    <n v="0.21593406593406594"/>
  </r>
  <r>
    <x v="857"/>
    <x v="5"/>
    <x v="2"/>
    <x v="1"/>
    <x v="8"/>
    <x v="2242"/>
    <n v="217.06"/>
    <n v="0.14949035812672176"/>
  </r>
  <r>
    <x v="137"/>
    <x v="8"/>
    <x v="1"/>
    <x v="3"/>
    <x v="6"/>
    <x v="1820"/>
    <n v="1556.05"/>
    <n v="0.1673891996557659"/>
  </r>
  <r>
    <x v="5"/>
    <x v="1"/>
    <x v="1"/>
    <x v="0"/>
    <x v="4"/>
    <x v="1441"/>
    <n v="149.81"/>
    <n v="0.12914655172413794"/>
  </r>
  <r>
    <x v="1029"/>
    <x v="9"/>
    <x v="2"/>
    <x v="3"/>
    <x v="7"/>
    <x v="124"/>
    <n v="682.01"/>
    <n v="0.14424915397631133"/>
  </r>
  <r>
    <x v="1030"/>
    <x v="3"/>
    <x v="2"/>
    <x v="0"/>
    <x v="7"/>
    <x v="2105"/>
    <n v="508.81"/>
    <n v="0.27712962962962961"/>
  </r>
  <r>
    <x v="280"/>
    <x v="5"/>
    <x v="2"/>
    <x v="2"/>
    <x v="1"/>
    <x v="2243"/>
    <n v="1784.89"/>
    <n v="0.28617764951098285"/>
  </r>
  <r>
    <x v="207"/>
    <x v="9"/>
    <x v="2"/>
    <x v="3"/>
    <x v="2"/>
    <x v="1862"/>
    <n v="941.79"/>
    <n v="0.16112745936698031"/>
  </r>
  <r>
    <x v="18"/>
    <x v="6"/>
    <x v="1"/>
    <x v="2"/>
    <x v="5"/>
    <x v="25"/>
    <n v="851.14"/>
    <n v="0.13866731834473769"/>
  </r>
  <r>
    <x v="510"/>
    <x v="3"/>
    <x v="2"/>
    <x v="3"/>
    <x v="3"/>
    <x v="1371"/>
    <n v="136.75"/>
    <n v="9.6574858757062149E-2"/>
  </r>
  <r>
    <x v="874"/>
    <x v="8"/>
    <x v="1"/>
    <x v="3"/>
    <x v="8"/>
    <x v="2244"/>
    <n v="348.9"/>
    <n v="0.18849270664505671"/>
  </r>
  <r>
    <x v="771"/>
    <x v="0"/>
    <x v="0"/>
    <x v="2"/>
    <x v="5"/>
    <x v="160"/>
    <n v="1259.82"/>
    <n v="0.16905797101449274"/>
  </r>
  <r>
    <x v="639"/>
    <x v="2"/>
    <x v="2"/>
    <x v="0"/>
    <x v="2"/>
    <x v="2245"/>
    <n v="190.38"/>
    <n v="0.11679754601226994"/>
  </r>
  <r>
    <x v="1031"/>
    <x v="3"/>
    <x v="2"/>
    <x v="3"/>
    <x v="7"/>
    <x v="2157"/>
    <n v="930.44"/>
    <n v="0.19384166666666669"/>
  </r>
  <r>
    <x v="962"/>
    <x v="5"/>
    <x v="2"/>
    <x v="2"/>
    <x v="4"/>
    <x v="2246"/>
    <n v="16.11"/>
    <n v="0.26409836065573772"/>
  </r>
  <r>
    <x v="630"/>
    <x v="6"/>
    <x v="1"/>
    <x v="1"/>
    <x v="7"/>
    <x v="1628"/>
    <n v="80.27"/>
    <n v="8.5212314225053071E-2"/>
  </r>
  <r>
    <x v="924"/>
    <x v="7"/>
    <x v="2"/>
    <x v="2"/>
    <x v="6"/>
    <x v="2247"/>
    <n v="1663.63"/>
    <n v="0.21775261780104713"/>
  </r>
  <r>
    <x v="381"/>
    <x v="3"/>
    <x v="2"/>
    <x v="2"/>
    <x v="2"/>
    <x v="2248"/>
    <n v="939.71"/>
    <n v="0.20698458149779736"/>
  </r>
  <r>
    <x v="1"/>
    <x v="4"/>
    <x v="1"/>
    <x v="0"/>
    <x v="4"/>
    <x v="1066"/>
    <n v="190.47"/>
    <n v="0.18492233009708739"/>
  </r>
  <r>
    <x v="39"/>
    <x v="0"/>
    <x v="0"/>
    <x v="0"/>
    <x v="3"/>
    <x v="245"/>
    <n v="30.84"/>
    <n v="8.0312499999999995E-2"/>
  </r>
  <r>
    <x v="1016"/>
    <x v="5"/>
    <x v="2"/>
    <x v="3"/>
    <x v="6"/>
    <x v="2249"/>
    <n v="991.94"/>
    <n v="0.11588084112149534"/>
  </r>
  <r>
    <x v="1032"/>
    <x v="3"/>
    <x v="2"/>
    <x v="3"/>
    <x v="5"/>
    <x v="43"/>
    <n v="117.36"/>
    <n v="7.5375722543352605E-2"/>
  </r>
  <r>
    <x v="34"/>
    <x v="2"/>
    <x v="2"/>
    <x v="1"/>
    <x v="1"/>
    <x v="1874"/>
    <n v="124.59"/>
    <n v="0.17622347949080622"/>
  </r>
  <r>
    <x v="87"/>
    <x v="1"/>
    <x v="1"/>
    <x v="3"/>
    <x v="2"/>
    <x v="2250"/>
    <n v="476.39"/>
    <n v="0.13990895741556533"/>
  </r>
  <r>
    <x v="131"/>
    <x v="2"/>
    <x v="2"/>
    <x v="3"/>
    <x v="7"/>
    <x v="2251"/>
    <n v="522.16"/>
    <n v="0.11058026260059296"/>
  </r>
  <r>
    <x v="814"/>
    <x v="4"/>
    <x v="1"/>
    <x v="0"/>
    <x v="3"/>
    <x v="2252"/>
    <n v="625.92999999999995"/>
    <n v="0.29113023255813952"/>
  </r>
  <r>
    <x v="254"/>
    <x v="6"/>
    <x v="1"/>
    <x v="3"/>
    <x v="1"/>
    <x v="2253"/>
    <n v="827.39"/>
    <n v="0.22862392926222713"/>
  </r>
  <r>
    <x v="479"/>
    <x v="5"/>
    <x v="2"/>
    <x v="2"/>
    <x v="0"/>
    <x v="398"/>
    <n v="909.22"/>
    <n v="0.2336125385405961"/>
  </r>
  <r>
    <x v="382"/>
    <x v="3"/>
    <x v="2"/>
    <x v="2"/>
    <x v="4"/>
    <x v="2254"/>
    <n v="13.29"/>
    <n v="0.24611111111111109"/>
  </r>
  <r>
    <x v="10"/>
    <x v="8"/>
    <x v="1"/>
    <x v="2"/>
    <x v="4"/>
    <x v="114"/>
    <n v="136.25"/>
    <n v="0.22263071895424835"/>
  </r>
  <r>
    <x v="52"/>
    <x v="6"/>
    <x v="1"/>
    <x v="1"/>
    <x v="2"/>
    <x v="2255"/>
    <n v="419.55"/>
    <n v="0.10897402597402597"/>
  </r>
  <r>
    <x v="341"/>
    <x v="3"/>
    <x v="2"/>
    <x v="1"/>
    <x v="2"/>
    <x v="2256"/>
    <n v="389.93"/>
    <n v="0.12976039933444261"/>
  </r>
  <r>
    <x v="903"/>
    <x v="4"/>
    <x v="1"/>
    <x v="0"/>
    <x v="5"/>
    <x v="509"/>
    <n v="1296.6500000000001"/>
    <n v="0.24669901065449013"/>
  </r>
  <r>
    <x v="420"/>
    <x v="0"/>
    <x v="0"/>
    <x v="1"/>
    <x v="7"/>
    <x v="1871"/>
    <n v="1033.3"/>
    <n v="0.28895413870246084"/>
  </r>
  <r>
    <x v="1033"/>
    <x v="2"/>
    <x v="2"/>
    <x v="3"/>
    <x v="2"/>
    <x v="2257"/>
    <n v="496.48"/>
    <n v="0.14538213762811128"/>
  </r>
  <r>
    <x v="616"/>
    <x v="3"/>
    <x v="2"/>
    <x v="3"/>
    <x v="8"/>
    <x v="776"/>
    <n v="203.04"/>
    <n v="0.11790940766550523"/>
  </r>
  <r>
    <x v="406"/>
    <x v="1"/>
    <x v="1"/>
    <x v="1"/>
    <x v="6"/>
    <x v="505"/>
    <n v="853.36"/>
    <n v="0.20874755381604698"/>
  </r>
  <r>
    <x v="703"/>
    <x v="4"/>
    <x v="1"/>
    <x v="3"/>
    <x v="2"/>
    <x v="37"/>
    <n v="882.84"/>
    <n v="0.16594736842105265"/>
  </r>
  <r>
    <x v="1"/>
    <x v="1"/>
    <x v="1"/>
    <x v="3"/>
    <x v="7"/>
    <x v="2196"/>
    <n v="1079"/>
    <n v="0.29480874316939892"/>
  </r>
  <r>
    <x v="468"/>
    <x v="3"/>
    <x v="2"/>
    <x v="3"/>
    <x v="7"/>
    <x v="2258"/>
    <n v="1228.49"/>
    <n v="0.23399809523809523"/>
  </r>
  <r>
    <x v="118"/>
    <x v="9"/>
    <x v="2"/>
    <x v="0"/>
    <x v="0"/>
    <x v="74"/>
    <n v="90.89"/>
    <n v="0.27710365853658536"/>
  </r>
  <r>
    <x v="279"/>
    <x v="7"/>
    <x v="2"/>
    <x v="3"/>
    <x v="1"/>
    <x v="715"/>
    <n v="359.71"/>
    <n v="0.22538220551378446"/>
  </r>
  <r>
    <x v="17"/>
    <x v="0"/>
    <x v="0"/>
    <x v="2"/>
    <x v="1"/>
    <x v="2259"/>
    <n v="661.21"/>
    <n v="0.27065493246009009"/>
  </r>
  <r>
    <x v="476"/>
    <x v="5"/>
    <x v="2"/>
    <x v="1"/>
    <x v="1"/>
    <x v="308"/>
    <n v="870.08"/>
    <n v="0.16017673048600883"/>
  </r>
  <r>
    <x v="1034"/>
    <x v="0"/>
    <x v="0"/>
    <x v="0"/>
    <x v="8"/>
    <x v="258"/>
    <n v="221.19"/>
    <n v="0.17638755980861243"/>
  </r>
  <r>
    <x v="273"/>
    <x v="2"/>
    <x v="2"/>
    <x v="1"/>
    <x v="2"/>
    <x v="2260"/>
    <n v="1276.27"/>
    <n v="0.23226023657870792"/>
  </r>
  <r>
    <x v="863"/>
    <x v="4"/>
    <x v="1"/>
    <x v="0"/>
    <x v="0"/>
    <x v="1977"/>
    <n v="72.650000000000006"/>
    <n v="0.12189597315436243"/>
  </r>
  <r>
    <x v="941"/>
    <x v="0"/>
    <x v="0"/>
    <x v="2"/>
    <x v="7"/>
    <x v="2261"/>
    <n v="597.66"/>
    <n v="0.16170454545454543"/>
  </r>
  <r>
    <x v="1035"/>
    <x v="1"/>
    <x v="1"/>
    <x v="0"/>
    <x v="7"/>
    <x v="2262"/>
    <n v="939.05"/>
    <n v="0.20923573975044563"/>
  </r>
  <r>
    <x v="586"/>
    <x v="3"/>
    <x v="2"/>
    <x v="3"/>
    <x v="7"/>
    <x v="2263"/>
    <n v="932.21"/>
    <n v="0.1361685655857435"/>
  </r>
  <r>
    <x v="379"/>
    <x v="1"/>
    <x v="1"/>
    <x v="3"/>
    <x v="6"/>
    <x v="2102"/>
    <n v="607.64"/>
    <n v="0.20528378378378379"/>
  </r>
  <r>
    <x v="713"/>
    <x v="7"/>
    <x v="2"/>
    <x v="2"/>
    <x v="4"/>
    <x v="1712"/>
    <n v="99.5"/>
    <n v="0.23747016706443913"/>
  </r>
  <r>
    <x v="465"/>
    <x v="9"/>
    <x v="2"/>
    <x v="3"/>
    <x v="7"/>
    <x v="2264"/>
    <n v="327.14"/>
    <n v="5.2375920589177075E-2"/>
  </r>
  <r>
    <x v="854"/>
    <x v="2"/>
    <x v="2"/>
    <x v="2"/>
    <x v="0"/>
    <x v="2265"/>
    <n v="372.18"/>
    <n v="0.1958842105263158"/>
  </r>
  <r>
    <x v="682"/>
    <x v="6"/>
    <x v="1"/>
    <x v="0"/>
    <x v="1"/>
    <x v="863"/>
    <n v="397.29"/>
    <n v="0.11512315270935961"/>
  </r>
  <r>
    <x v="1016"/>
    <x v="7"/>
    <x v="2"/>
    <x v="3"/>
    <x v="3"/>
    <x v="2193"/>
    <n v="344.37"/>
    <n v="0.21362903225806451"/>
  </r>
  <r>
    <x v="581"/>
    <x v="9"/>
    <x v="2"/>
    <x v="2"/>
    <x v="2"/>
    <x v="887"/>
    <n v="642.83000000000004"/>
    <n v="0.14461867266591677"/>
  </r>
  <r>
    <x v="933"/>
    <x v="5"/>
    <x v="2"/>
    <x v="0"/>
    <x v="2"/>
    <x v="1525"/>
    <n v="63.84"/>
    <n v="8.8666666666666671E-2"/>
  </r>
  <r>
    <x v="397"/>
    <x v="1"/>
    <x v="1"/>
    <x v="1"/>
    <x v="3"/>
    <x v="1382"/>
    <n v="234.49"/>
    <n v="0.16420868347338935"/>
  </r>
  <r>
    <x v="874"/>
    <x v="2"/>
    <x v="2"/>
    <x v="1"/>
    <x v="0"/>
    <x v="2266"/>
    <n v="665.2"/>
    <n v="0.1883352208380521"/>
  </r>
  <r>
    <x v="303"/>
    <x v="3"/>
    <x v="2"/>
    <x v="0"/>
    <x v="7"/>
    <x v="2267"/>
    <n v="549.62"/>
    <n v="8.4194240196078435E-2"/>
  </r>
  <r>
    <x v="339"/>
    <x v="6"/>
    <x v="1"/>
    <x v="1"/>
    <x v="4"/>
    <x v="2268"/>
    <n v="216.5"/>
    <n v="0.29138627187079408"/>
  </r>
  <r>
    <x v="533"/>
    <x v="5"/>
    <x v="2"/>
    <x v="1"/>
    <x v="7"/>
    <x v="760"/>
    <n v="287.36"/>
    <n v="0.16345847554038681"/>
  </r>
  <r>
    <x v="639"/>
    <x v="4"/>
    <x v="1"/>
    <x v="2"/>
    <x v="6"/>
    <x v="503"/>
    <n v="100.61"/>
    <n v="9.9811507936507934E-2"/>
  </r>
  <r>
    <x v="257"/>
    <x v="7"/>
    <x v="2"/>
    <x v="1"/>
    <x v="4"/>
    <x v="2076"/>
    <n v="149.86000000000001"/>
    <n v="0.15061306532663318"/>
  </r>
  <r>
    <x v="220"/>
    <x v="8"/>
    <x v="1"/>
    <x v="3"/>
    <x v="5"/>
    <x v="1113"/>
    <n v="876.91"/>
    <n v="0.21748759920634919"/>
  </r>
  <r>
    <x v="952"/>
    <x v="7"/>
    <x v="2"/>
    <x v="1"/>
    <x v="7"/>
    <x v="154"/>
    <n v="131.08000000000001"/>
    <n v="0.27308333333333334"/>
  </r>
  <r>
    <x v="876"/>
    <x v="9"/>
    <x v="2"/>
    <x v="1"/>
    <x v="4"/>
    <x v="2269"/>
    <n v="149.99"/>
    <n v="0.1516582406471183"/>
  </r>
  <r>
    <x v="823"/>
    <x v="7"/>
    <x v="2"/>
    <x v="0"/>
    <x v="5"/>
    <x v="2270"/>
    <n v="759.55"/>
    <n v="0.11497880714501968"/>
  </r>
  <r>
    <x v="895"/>
    <x v="5"/>
    <x v="2"/>
    <x v="1"/>
    <x v="7"/>
    <x v="1062"/>
    <n v="256.58"/>
    <n v="0.28133771929824558"/>
  </r>
  <r>
    <x v="155"/>
    <x v="1"/>
    <x v="1"/>
    <x v="2"/>
    <x v="0"/>
    <x v="1714"/>
    <n v="331.11"/>
    <n v="0.11370535714285715"/>
  </r>
  <r>
    <x v="268"/>
    <x v="3"/>
    <x v="2"/>
    <x v="3"/>
    <x v="2"/>
    <x v="2271"/>
    <n v="69.349999999999994"/>
    <n v="8.2071005917159753E-2"/>
  </r>
  <r>
    <x v="966"/>
    <x v="6"/>
    <x v="1"/>
    <x v="2"/>
    <x v="0"/>
    <x v="755"/>
    <n v="382.82"/>
    <n v="0.13652639087018545"/>
  </r>
  <r>
    <x v="66"/>
    <x v="9"/>
    <x v="2"/>
    <x v="1"/>
    <x v="3"/>
    <x v="2272"/>
    <n v="11.53"/>
    <n v="5.5432692307692308E-2"/>
  </r>
  <r>
    <x v="511"/>
    <x v="5"/>
    <x v="2"/>
    <x v="1"/>
    <x v="4"/>
    <x v="193"/>
    <n v="42.24"/>
    <n v="0.11145118733509235"/>
  </r>
  <r>
    <x v="463"/>
    <x v="1"/>
    <x v="1"/>
    <x v="3"/>
    <x v="8"/>
    <x v="2139"/>
    <n v="113.38"/>
    <n v="9.2404237978810103E-2"/>
  </r>
  <r>
    <x v="871"/>
    <x v="4"/>
    <x v="1"/>
    <x v="1"/>
    <x v="1"/>
    <x v="2273"/>
    <n v="392.37"/>
    <n v="7.0684561340299046E-2"/>
  </r>
  <r>
    <x v="67"/>
    <x v="4"/>
    <x v="1"/>
    <x v="3"/>
    <x v="4"/>
    <x v="2274"/>
    <n v="115.44"/>
    <n v="0.27290780141843973"/>
  </r>
  <r>
    <x v="833"/>
    <x v="4"/>
    <x v="1"/>
    <x v="3"/>
    <x v="7"/>
    <x v="2275"/>
    <n v="944.81"/>
    <n v="0.15794215981277163"/>
  </r>
  <r>
    <x v="847"/>
    <x v="7"/>
    <x v="2"/>
    <x v="3"/>
    <x v="0"/>
    <x v="387"/>
    <n v="468.6"/>
    <n v="0.12556270096463024"/>
  </r>
  <r>
    <x v="885"/>
    <x v="0"/>
    <x v="0"/>
    <x v="0"/>
    <x v="5"/>
    <x v="642"/>
    <n v="1152.23"/>
    <n v="0.19516090785907858"/>
  </r>
  <r>
    <x v="69"/>
    <x v="4"/>
    <x v="1"/>
    <x v="1"/>
    <x v="2"/>
    <x v="2276"/>
    <n v="171.47"/>
    <n v="9.4734806629834259E-2"/>
  </r>
  <r>
    <x v="894"/>
    <x v="7"/>
    <x v="2"/>
    <x v="2"/>
    <x v="7"/>
    <x v="2277"/>
    <n v="615.07000000000005"/>
    <n v="0.10975553176302642"/>
  </r>
  <r>
    <x v="503"/>
    <x v="9"/>
    <x v="2"/>
    <x v="3"/>
    <x v="3"/>
    <x v="1356"/>
    <n v="81.31"/>
    <n v="0.1882175925925926"/>
  </r>
  <r>
    <x v="492"/>
    <x v="8"/>
    <x v="1"/>
    <x v="1"/>
    <x v="3"/>
    <x v="1445"/>
    <n v="68.58"/>
    <n v="0.16485576923076922"/>
  </r>
  <r>
    <x v="566"/>
    <x v="6"/>
    <x v="1"/>
    <x v="0"/>
    <x v="6"/>
    <x v="39"/>
    <n v="281.43"/>
    <n v="0.22992647058823529"/>
  </r>
  <r>
    <x v="655"/>
    <x v="0"/>
    <x v="0"/>
    <x v="3"/>
    <x v="6"/>
    <x v="2278"/>
    <n v="672.6"/>
    <n v="0.13014705882352942"/>
  </r>
  <r>
    <x v="771"/>
    <x v="6"/>
    <x v="1"/>
    <x v="1"/>
    <x v="7"/>
    <x v="2279"/>
    <n v="502.98"/>
    <n v="7.7120515179392821E-2"/>
  </r>
  <r>
    <x v="52"/>
    <x v="8"/>
    <x v="1"/>
    <x v="2"/>
    <x v="2"/>
    <x v="868"/>
    <n v="140.69999999999999"/>
    <n v="0.12908256880733943"/>
  </r>
  <r>
    <x v="58"/>
    <x v="9"/>
    <x v="2"/>
    <x v="2"/>
    <x v="8"/>
    <x v="1168"/>
    <n v="353.17"/>
    <n v="0.203321819228555"/>
  </r>
  <r>
    <x v="729"/>
    <x v="0"/>
    <x v="0"/>
    <x v="3"/>
    <x v="5"/>
    <x v="1767"/>
    <n v="1358.17"/>
    <n v="0.18653619008377972"/>
  </r>
  <r>
    <x v="740"/>
    <x v="5"/>
    <x v="2"/>
    <x v="2"/>
    <x v="5"/>
    <x v="798"/>
    <n v="1007.54"/>
    <n v="0.17276063100137173"/>
  </r>
  <r>
    <x v="1036"/>
    <x v="0"/>
    <x v="0"/>
    <x v="1"/>
    <x v="5"/>
    <x v="2172"/>
    <n v="623.97"/>
    <n v="8.8884615384615395E-2"/>
  </r>
  <r>
    <x v="606"/>
    <x v="1"/>
    <x v="1"/>
    <x v="2"/>
    <x v="8"/>
    <x v="2280"/>
    <n v="420.08"/>
    <n v="0.20993503248375811"/>
  </r>
  <r>
    <x v="884"/>
    <x v="6"/>
    <x v="1"/>
    <x v="3"/>
    <x v="3"/>
    <x v="2190"/>
    <n v="489.21"/>
    <n v="0.26703602620087336"/>
  </r>
  <r>
    <x v="387"/>
    <x v="5"/>
    <x v="2"/>
    <x v="1"/>
    <x v="7"/>
    <x v="2281"/>
    <n v="934.42"/>
    <n v="0.27711150652431787"/>
  </r>
  <r>
    <x v="888"/>
    <x v="2"/>
    <x v="2"/>
    <x v="3"/>
    <x v="7"/>
    <x v="781"/>
    <n v="503.86"/>
    <n v="0.14889479905437353"/>
  </r>
  <r>
    <x v="1037"/>
    <x v="6"/>
    <x v="1"/>
    <x v="1"/>
    <x v="4"/>
    <x v="1128"/>
    <n v="31.95"/>
    <n v="9.1025641025641021E-2"/>
  </r>
  <r>
    <x v="877"/>
    <x v="3"/>
    <x v="2"/>
    <x v="2"/>
    <x v="3"/>
    <x v="1012"/>
    <n v="549.41999999999996"/>
    <n v="0.26262906309751433"/>
  </r>
  <r>
    <x v="569"/>
    <x v="6"/>
    <x v="1"/>
    <x v="2"/>
    <x v="1"/>
    <x v="2282"/>
    <n v="138.46"/>
    <n v="0.10577540106951873"/>
  </r>
  <r>
    <x v="74"/>
    <x v="8"/>
    <x v="1"/>
    <x v="0"/>
    <x v="5"/>
    <x v="420"/>
    <n v="407.36"/>
    <n v="6.08363201911589E-2"/>
  </r>
  <r>
    <x v="464"/>
    <x v="8"/>
    <x v="1"/>
    <x v="1"/>
    <x v="2"/>
    <x v="2283"/>
    <n v="162.36000000000001"/>
    <n v="0.15917647058823531"/>
  </r>
  <r>
    <x v="56"/>
    <x v="8"/>
    <x v="1"/>
    <x v="1"/>
    <x v="6"/>
    <x v="2284"/>
    <n v="2006.72"/>
    <n v="0.24353398058252426"/>
  </r>
  <r>
    <x v="1038"/>
    <x v="4"/>
    <x v="1"/>
    <x v="2"/>
    <x v="5"/>
    <x v="940"/>
    <n v="1008.6"/>
    <n v="0.10281345565749235"/>
  </r>
  <r>
    <x v="616"/>
    <x v="2"/>
    <x v="2"/>
    <x v="3"/>
    <x v="4"/>
    <x v="2285"/>
    <n v="97.5"/>
    <n v="0.11430246189917936"/>
  </r>
  <r>
    <x v="519"/>
    <x v="3"/>
    <x v="2"/>
    <x v="1"/>
    <x v="0"/>
    <x v="2286"/>
    <n v="1081.53"/>
    <n v="0.24491168478260869"/>
  </r>
  <r>
    <x v="351"/>
    <x v="4"/>
    <x v="1"/>
    <x v="0"/>
    <x v="6"/>
    <x v="2287"/>
    <n v="741.44"/>
    <n v="0.1934864300626305"/>
  </r>
  <r>
    <x v="877"/>
    <x v="6"/>
    <x v="1"/>
    <x v="2"/>
    <x v="0"/>
    <x v="565"/>
    <n v="221.18"/>
    <n v="0.11789978678038381"/>
  </r>
  <r>
    <x v="685"/>
    <x v="9"/>
    <x v="2"/>
    <x v="2"/>
    <x v="8"/>
    <x v="2288"/>
    <n v="392.21"/>
    <n v="0.14890280941533787"/>
  </r>
  <r>
    <x v="1039"/>
    <x v="9"/>
    <x v="2"/>
    <x v="0"/>
    <x v="4"/>
    <x v="2289"/>
    <n v="259.92"/>
    <n v="0.25308666017526776"/>
  </r>
  <r>
    <x v="749"/>
    <x v="0"/>
    <x v="0"/>
    <x v="3"/>
    <x v="2"/>
    <x v="635"/>
    <n v="911.86"/>
    <n v="0.29414838709677421"/>
  </r>
  <r>
    <x v="1014"/>
    <x v="1"/>
    <x v="1"/>
    <x v="3"/>
    <x v="4"/>
    <x v="1251"/>
    <n v="29.67"/>
    <n v="0.28528846153846155"/>
  </r>
  <r>
    <x v="113"/>
    <x v="1"/>
    <x v="1"/>
    <x v="1"/>
    <x v="3"/>
    <x v="2290"/>
    <n v="147.19999999999999"/>
    <n v="9.2578616352201257E-2"/>
  </r>
  <r>
    <x v="671"/>
    <x v="3"/>
    <x v="2"/>
    <x v="2"/>
    <x v="0"/>
    <x v="390"/>
    <n v="63.57"/>
    <n v="5.7581521739130434E-2"/>
  </r>
  <r>
    <x v="314"/>
    <x v="7"/>
    <x v="2"/>
    <x v="2"/>
    <x v="8"/>
    <x v="2244"/>
    <n v="198.71"/>
    <n v="0.10735278227984874"/>
  </r>
  <r>
    <x v="177"/>
    <x v="7"/>
    <x v="2"/>
    <x v="2"/>
    <x v="3"/>
    <x v="2291"/>
    <n v="193.09"/>
    <n v="0.1371377840909091"/>
  </r>
  <r>
    <x v="82"/>
    <x v="9"/>
    <x v="2"/>
    <x v="2"/>
    <x v="1"/>
    <x v="2292"/>
    <n v="1341.98"/>
    <n v="0.28915750915750915"/>
  </r>
  <r>
    <x v="430"/>
    <x v="2"/>
    <x v="2"/>
    <x v="3"/>
    <x v="1"/>
    <x v="2293"/>
    <n v="539.37"/>
    <n v="0.20657602451168136"/>
  </r>
  <r>
    <x v="64"/>
    <x v="9"/>
    <x v="2"/>
    <x v="0"/>
    <x v="0"/>
    <x v="2294"/>
    <n v="711.92"/>
    <n v="0.18617154811715481"/>
  </r>
  <r>
    <x v="971"/>
    <x v="7"/>
    <x v="2"/>
    <x v="1"/>
    <x v="3"/>
    <x v="2295"/>
    <n v="501.34"/>
    <n v="0.24551420176297747"/>
  </r>
  <r>
    <x v="924"/>
    <x v="2"/>
    <x v="2"/>
    <x v="0"/>
    <x v="7"/>
    <x v="2296"/>
    <n v="1408.28"/>
    <n v="0.22080275948573219"/>
  </r>
  <r>
    <x v="107"/>
    <x v="3"/>
    <x v="2"/>
    <x v="1"/>
    <x v="0"/>
    <x v="1390"/>
    <n v="409.07"/>
    <n v="8.7184569479965904E-2"/>
  </r>
  <r>
    <x v="561"/>
    <x v="9"/>
    <x v="2"/>
    <x v="3"/>
    <x v="7"/>
    <x v="1401"/>
    <n v="1829.07"/>
    <n v="0.29340230991337823"/>
  </r>
  <r>
    <x v="407"/>
    <x v="7"/>
    <x v="2"/>
    <x v="3"/>
    <x v="0"/>
    <x v="100"/>
    <n v="535.07000000000005"/>
    <n v="0.288914686825054"/>
  </r>
  <r>
    <x v="272"/>
    <x v="6"/>
    <x v="1"/>
    <x v="2"/>
    <x v="8"/>
    <x v="2297"/>
    <n v="804.06"/>
    <n v="0.26148292682926827"/>
  </r>
  <r>
    <x v="126"/>
    <x v="0"/>
    <x v="0"/>
    <x v="0"/>
    <x v="2"/>
    <x v="1791"/>
    <n v="92.45"/>
    <n v="0.24986486486486487"/>
  </r>
  <r>
    <x v="731"/>
    <x v="8"/>
    <x v="1"/>
    <x v="0"/>
    <x v="7"/>
    <x v="298"/>
    <n v="66.989999999999995"/>
    <n v="0.10735576923076923"/>
  </r>
  <r>
    <x v="442"/>
    <x v="5"/>
    <x v="2"/>
    <x v="2"/>
    <x v="3"/>
    <x v="2298"/>
    <n v="310.76"/>
    <n v="0.17921568627450979"/>
  </r>
  <r>
    <x v="345"/>
    <x v="0"/>
    <x v="0"/>
    <x v="3"/>
    <x v="5"/>
    <x v="2299"/>
    <n v="361.62"/>
    <n v="0.15944444444444444"/>
  </r>
  <r>
    <x v="1040"/>
    <x v="3"/>
    <x v="2"/>
    <x v="1"/>
    <x v="2"/>
    <x v="713"/>
    <n v="924.95"/>
    <n v="0.25202997275204359"/>
  </r>
  <r>
    <x v="797"/>
    <x v="5"/>
    <x v="2"/>
    <x v="0"/>
    <x v="1"/>
    <x v="2300"/>
    <n v="1358.44"/>
    <n v="0.29314630988347001"/>
  </r>
  <r>
    <x v="44"/>
    <x v="4"/>
    <x v="1"/>
    <x v="0"/>
    <x v="5"/>
    <x v="313"/>
    <n v="94.41"/>
    <n v="6.5562499999999996E-2"/>
  </r>
  <r>
    <x v="832"/>
    <x v="9"/>
    <x v="2"/>
    <x v="3"/>
    <x v="7"/>
    <x v="2301"/>
    <n v="1225.4000000000001"/>
    <n v="0.23859034267912774"/>
  </r>
  <r>
    <x v="775"/>
    <x v="7"/>
    <x v="2"/>
    <x v="1"/>
    <x v="4"/>
    <x v="867"/>
    <n v="31.72"/>
    <n v="0.19108433734939759"/>
  </r>
  <r>
    <x v="106"/>
    <x v="8"/>
    <x v="1"/>
    <x v="1"/>
    <x v="8"/>
    <x v="2302"/>
    <n v="328.98"/>
    <n v="0.23135021097046415"/>
  </r>
  <r>
    <x v="513"/>
    <x v="4"/>
    <x v="1"/>
    <x v="1"/>
    <x v="6"/>
    <x v="2190"/>
    <n v="532.97"/>
    <n v="0.29092248908296947"/>
  </r>
  <r>
    <x v="952"/>
    <x v="0"/>
    <x v="0"/>
    <x v="2"/>
    <x v="4"/>
    <x v="519"/>
    <n v="94.08"/>
    <n v="0.14083832335329341"/>
  </r>
  <r>
    <x v="302"/>
    <x v="3"/>
    <x v="2"/>
    <x v="3"/>
    <x v="7"/>
    <x v="1606"/>
    <n v="336.3"/>
    <n v="0.2643867924528302"/>
  </r>
  <r>
    <x v="334"/>
    <x v="8"/>
    <x v="1"/>
    <x v="0"/>
    <x v="6"/>
    <x v="1253"/>
    <n v="72.540000000000006"/>
    <n v="7.3719512195121961E-2"/>
  </r>
  <r>
    <x v="619"/>
    <x v="0"/>
    <x v="0"/>
    <x v="2"/>
    <x v="1"/>
    <x v="2303"/>
    <n v="484.76"/>
    <n v="6.1393110435663624E-2"/>
  </r>
  <r>
    <x v="900"/>
    <x v="7"/>
    <x v="2"/>
    <x v="0"/>
    <x v="4"/>
    <x v="1138"/>
    <n v="42.4"/>
    <n v="6.6666666666666666E-2"/>
  </r>
  <r>
    <x v="613"/>
    <x v="9"/>
    <x v="2"/>
    <x v="0"/>
    <x v="8"/>
    <x v="1853"/>
    <n v="450.23"/>
    <n v="0.22167897587395372"/>
  </r>
  <r>
    <x v="484"/>
    <x v="1"/>
    <x v="1"/>
    <x v="3"/>
    <x v="5"/>
    <x v="454"/>
    <n v="483.22"/>
    <n v="0.15166980539861896"/>
  </r>
  <r>
    <x v="114"/>
    <x v="4"/>
    <x v="1"/>
    <x v="2"/>
    <x v="4"/>
    <x v="2304"/>
    <n v="33.119999999999997"/>
    <n v="0.2471641791044776"/>
  </r>
  <r>
    <x v="448"/>
    <x v="2"/>
    <x v="2"/>
    <x v="2"/>
    <x v="2"/>
    <x v="765"/>
    <n v="347.42"/>
    <n v="0.19683852691218132"/>
  </r>
  <r>
    <x v="846"/>
    <x v="8"/>
    <x v="1"/>
    <x v="1"/>
    <x v="0"/>
    <x v="2305"/>
    <n v="717.81"/>
    <n v="0.19785281146637265"/>
  </r>
  <r>
    <x v="486"/>
    <x v="6"/>
    <x v="1"/>
    <x v="3"/>
    <x v="0"/>
    <x v="1774"/>
    <n v="198.92"/>
    <n v="0.19891999999999999"/>
  </r>
  <r>
    <x v="971"/>
    <x v="3"/>
    <x v="2"/>
    <x v="0"/>
    <x v="3"/>
    <x v="1334"/>
    <n v="119.89"/>
    <n v="5.618088097469541E-2"/>
  </r>
  <r>
    <x v="40"/>
    <x v="5"/>
    <x v="2"/>
    <x v="0"/>
    <x v="1"/>
    <x v="2306"/>
    <n v="1687.22"/>
    <n v="0.25159856844616763"/>
  </r>
  <r>
    <x v="327"/>
    <x v="9"/>
    <x v="2"/>
    <x v="1"/>
    <x v="8"/>
    <x v="2307"/>
    <n v="72.13"/>
    <n v="0.22470404984423675"/>
  </r>
  <r>
    <x v="817"/>
    <x v="3"/>
    <x v="2"/>
    <x v="2"/>
    <x v="8"/>
    <x v="1467"/>
    <n v="710.14"/>
    <n v="0.22717210492642353"/>
  </r>
  <r>
    <x v="572"/>
    <x v="6"/>
    <x v="1"/>
    <x v="2"/>
    <x v="1"/>
    <x v="2308"/>
    <n v="697.21"/>
    <n v="0.12802240176276167"/>
  </r>
  <r>
    <x v="772"/>
    <x v="2"/>
    <x v="2"/>
    <x v="1"/>
    <x v="4"/>
    <x v="527"/>
    <n v="140.55000000000001"/>
    <n v="0.12427055702917773"/>
  </r>
  <r>
    <x v="684"/>
    <x v="0"/>
    <x v="0"/>
    <x v="1"/>
    <x v="3"/>
    <x v="2309"/>
    <n v="141.75"/>
    <n v="7.2841726618705041E-2"/>
  </r>
  <r>
    <x v="991"/>
    <x v="9"/>
    <x v="2"/>
    <x v="0"/>
    <x v="1"/>
    <x v="2310"/>
    <n v="1348.26"/>
    <n v="0.19775007333528893"/>
  </r>
  <r>
    <x v="46"/>
    <x v="7"/>
    <x v="2"/>
    <x v="1"/>
    <x v="1"/>
    <x v="2311"/>
    <n v="677.61"/>
    <n v="0.29245144583513166"/>
  </r>
  <r>
    <x v="760"/>
    <x v="5"/>
    <x v="2"/>
    <x v="1"/>
    <x v="7"/>
    <x v="347"/>
    <n v="89.51"/>
    <n v="0.22603535353535356"/>
  </r>
  <r>
    <x v="974"/>
    <x v="7"/>
    <x v="2"/>
    <x v="2"/>
    <x v="4"/>
    <x v="1187"/>
    <n v="49.81"/>
    <n v="8.9265232974910402E-2"/>
  </r>
  <r>
    <x v="88"/>
    <x v="7"/>
    <x v="2"/>
    <x v="1"/>
    <x v="5"/>
    <x v="2312"/>
    <n v="593.13"/>
    <n v="0.29160766961651918"/>
  </r>
  <r>
    <x v="1041"/>
    <x v="1"/>
    <x v="1"/>
    <x v="3"/>
    <x v="6"/>
    <x v="2313"/>
    <n v="1171.93"/>
    <n v="0.19275164473684211"/>
  </r>
  <r>
    <x v="968"/>
    <x v="5"/>
    <x v="2"/>
    <x v="1"/>
    <x v="3"/>
    <x v="2314"/>
    <n v="183.1"/>
    <n v="0.13287373004354136"/>
  </r>
  <r>
    <x v="117"/>
    <x v="6"/>
    <x v="1"/>
    <x v="1"/>
    <x v="8"/>
    <x v="1783"/>
    <n v="120.11"/>
    <n v="0.24867494824016564"/>
  </r>
  <r>
    <x v="834"/>
    <x v="8"/>
    <x v="1"/>
    <x v="2"/>
    <x v="6"/>
    <x v="2315"/>
    <n v="1615.58"/>
    <n v="0.20543997965412003"/>
  </r>
  <r>
    <x v="45"/>
    <x v="0"/>
    <x v="0"/>
    <x v="0"/>
    <x v="3"/>
    <x v="2316"/>
    <n v="141.76"/>
    <n v="0.1117981072555205"/>
  </r>
  <r>
    <x v="789"/>
    <x v="0"/>
    <x v="0"/>
    <x v="3"/>
    <x v="7"/>
    <x v="2317"/>
    <n v="606.94000000000005"/>
    <n v="0.16082140964493907"/>
  </r>
  <r>
    <x v="991"/>
    <x v="5"/>
    <x v="2"/>
    <x v="1"/>
    <x v="5"/>
    <x v="1881"/>
    <n v="727.64"/>
    <n v="8.0048404840484047E-2"/>
  </r>
  <r>
    <x v="433"/>
    <x v="3"/>
    <x v="2"/>
    <x v="0"/>
    <x v="2"/>
    <x v="36"/>
    <n v="1077.21"/>
    <n v="0.28957258064516128"/>
  </r>
  <r>
    <x v="1042"/>
    <x v="7"/>
    <x v="2"/>
    <x v="1"/>
    <x v="6"/>
    <x v="1392"/>
    <n v="1825.26"/>
    <n v="0.20517760791366907"/>
  </r>
  <r>
    <x v="244"/>
    <x v="1"/>
    <x v="1"/>
    <x v="2"/>
    <x v="0"/>
    <x v="1282"/>
    <n v="639.79999999999995"/>
    <n v="0.1960171568627451"/>
  </r>
  <r>
    <x v="956"/>
    <x v="0"/>
    <x v="0"/>
    <x v="3"/>
    <x v="3"/>
    <x v="2318"/>
    <n v="15.48"/>
    <n v="0.10602739726027398"/>
  </r>
  <r>
    <x v="603"/>
    <x v="4"/>
    <x v="1"/>
    <x v="1"/>
    <x v="8"/>
    <x v="2319"/>
    <n v="129.63999999999999"/>
    <n v="7.7029114676173488E-2"/>
  </r>
  <r>
    <x v="135"/>
    <x v="3"/>
    <x v="2"/>
    <x v="3"/>
    <x v="1"/>
    <x v="2320"/>
    <n v="788.14"/>
    <n v="0.12971362738643843"/>
  </r>
  <r>
    <x v="431"/>
    <x v="5"/>
    <x v="2"/>
    <x v="3"/>
    <x v="3"/>
    <x v="2321"/>
    <n v="492.54"/>
    <n v="0.2062562814070352"/>
  </r>
  <r>
    <x v="398"/>
    <x v="7"/>
    <x v="2"/>
    <x v="1"/>
    <x v="7"/>
    <x v="111"/>
    <n v="180.63"/>
    <n v="0.20479591836734692"/>
  </r>
  <r>
    <x v="918"/>
    <x v="9"/>
    <x v="2"/>
    <x v="3"/>
    <x v="8"/>
    <x v="852"/>
    <n v="206.87"/>
    <n v="5.8093232238135353E-2"/>
  </r>
  <r>
    <x v="836"/>
    <x v="2"/>
    <x v="2"/>
    <x v="1"/>
    <x v="1"/>
    <x v="901"/>
    <n v="350.26"/>
    <n v="0.10316936671575846"/>
  </r>
  <r>
    <x v="429"/>
    <x v="7"/>
    <x v="2"/>
    <x v="2"/>
    <x v="7"/>
    <x v="583"/>
    <n v="460.75"/>
    <n v="0.136883541295306"/>
  </r>
  <r>
    <x v="860"/>
    <x v="1"/>
    <x v="1"/>
    <x v="1"/>
    <x v="3"/>
    <x v="316"/>
    <n v="144.13999999999999"/>
    <n v="0.22879365079365077"/>
  </r>
  <r>
    <x v="63"/>
    <x v="3"/>
    <x v="2"/>
    <x v="2"/>
    <x v="4"/>
    <x v="2322"/>
    <n v="34.74"/>
    <n v="7.8954545454545458E-2"/>
  </r>
  <r>
    <x v="807"/>
    <x v="5"/>
    <x v="2"/>
    <x v="1"/>
    <x v="7"/>
    <x v="2323"/>
    <n v="1466.15"/>
    <n v="0.22688796038378212"/>
  </r>
  <r>
    <x v="343"/>
    <x v="6"/>
    <x v="1"/>
    <x v="2"/>
    <x v="7"/>
    <x v="511"/>
    <n v="1197.3599999999999"/>
    <n v="0.23928057553956833"/>
  </r>
  <r>
    <x v="93"/>
    <x v="9"/>
    <x v="2"/>
    <x v="2"/>
    <x v="6"/>
    <x v="1038"/>
    <n v="461.21"/>
    <n v="0.25065760869565218"/>
  </r>
  <r>
    <x v="785"/>
    <x v="2"/>
    <x v="2"/>
    <x v="2"/>
    <x v="1"/>
    <x v="2324"/>
    <n v="763.14"/>
    <n v="0.17087774294670846"/>
  </r>
  <r>
    <x v="289"/>
    <x v="2"/>
    <x v="2"/>
    <x v="2"/>
    <x v="7"/>
    <x v="849"/>
    <n v="823.36"/>
    <n v="0.27013123359580055"/>
  </r>
  <r>
    <x v="202"/>
    <x v="1"/>
    <x v="1"/>
    <x v="2"/>
    <x v="1"/>
    <x v="1655"/>
    <n v="516.70000000000005"/>
    <n v="0.10381756077958611"/>
  </r>
  <r>
    <x v="595"/>
    <x v="8"/>
    <x v="1"/>
    <x v="2"/>
    <x v="8"/>
    <x v="2325"/>
    <n v="387.31"/>
    <n v="0.19269154228855723"/>
  </r>
  <r>
    <x v="1043"/>
    <x v="3"/>
    <x v="2"/>
    <x v="2"/>
    <x v="6"/>
    <x v="2326"/>
    <n v="1133.57"/>
    <n v="0.21180306427503737"/>
  </r>
  <r>
    <x v="737"/>
    <x v="3"/>
    <x v="2"/>
    <x v="0"/>
    <x v="0"/>
    <x v="1311"/>
    <n v="294.20999999999998"/>
    <n v="7.113394584139264E-2"/>
  </r>
  <r>
    <x v="881"/>
    <x v="3"/>
    <x v="2"/>
    <x v="3"/>
    <x v="6"/>
    <x v="2327"/>
    <n v="439.42"/>
    <n v="6.9352904040404048E-2"/>
  </r>
  <r>
    <x v="687"/>
    <x v="9"/>
    <x v="2"/>
    <x v="1"/>
    <x v="5"/>
    <x v="2328"/>
    <n v="1540.75"/>
    <n v="0.28110746214194487"/>
  </r>
  <r>
    <x v="478"/>
    <x v="3"/>
    <x v="2"/>
    <x v="3"/>
    <x v="7"/>
    <x v="2329"/>
    <n v="318.97000000000003"/>
    <n v="5.0105246622683008E-2"/>
  </r>
  <r>
    <x v="39"/>
    <x v="0"/>
    <x v="0"/>
    <x v="3"/>
    <x v="4"/>
    <x v="2330"/>
    <n v="81.239999999999995"/>
    <n v="0.13040128410914928"/>
  </r>
  <r>
    <x v="888"/>
    <x v="1"/>
    <x v="1"/>
    <x v="2"/>
    <x v="8"/>
    <x v="2331"/>
    <n v="49.94"/>
    <n v="0.21071729957805907"/>
  </r>
  <r>
    <x v="1014"/>
    <x v="8"/>
    <x v="1"/>
    <x v="0"/>
    <x v="5"/>
    <x v="1751"/>
    <n v="1525.8"/>
    <n v="0.18229390681003585"/>
  </r>
  <r>
    <x v="832"/>
    <x v="4"/>
    <x v="1"/>
    <x v="2"/>
    <x v="2"/>
    <x v="2332"/>
    <n v="774.74"/>
    <n v="0.15604028197381672"/>
  </r>
  <r>
    <x v="218"/>
    <x v="3"/>
    <x v="2"/>
    <x v="2"/>
    <x v="1"/>
    <x v="1456"/>
    <n v="1844.69"/>
    <n v="0.23677191631369529"/>
  </r>
  <r>
    <x v="158"/>
    <x v="7"/>
    <x v="2"/>
    <x v="3"/>
    <x v="4"/>
    <x v="453"/>
    <n v="32.89"/>
    <n v="0.20816455696202532"/>
  </r>
  <r>
    <x v="604"/>
    <x v="8"/>
    <x v="1"/>
    <x v="3"/>
    <x v="1"/>
    <x v="2333"/>
    <n v="712.79"/>
    <n v="0.16397285484242005"/>
  </r>
  <r>
    <x v="922"/>
    <x v="7"/>
    <x v="2"/>
    <x v="1"/>
    <x v="0"/>
    <x v="2334"/>
    <n v="527.28"/>
    <n v="0.15674197384066588"/>
  </r>
  <r>
    <x v="587"/>
    <x v="3"/>
    <x v="2"/>
    <x v="2"/>
    <x v="8"/>
    <x v="557"/>
    <n v="77.81"/>
    <n v="7.0865209471766846E-2"/>
  </r>
  <r>
    <x v="92"/>
    <x v="4"/>
    <x v="1"/>
    <x v="3"/>
    <x v="8"/>
    <x v="1861"/>
    <n v="257.44"/>
    <n v="0.23771006463527239"/>
  </r>
  <r>
    <x v="693"/>
    <x v="9"/>
    <x v="2"/>
    <x v="1"/>
    <x v="0"/>
    <x v="2335"/>
    <n v="314.95999999999998"/>
    <n v="0.19346437346437345"/>
  </r>
  <r>
    <x v="422"/>
    <x v="8"/>
    <x v="1"/>
    <x v="2"/>
    <x v="0"/>
    <x v="2336"/>
    <n v="387.27"/>
    <n v="0.26309103260869565"/>
  </r>
  <r>
    <x v="49"/>
    <x v="0"/>
    <x v="0"/>
    <x v="3"/>
    <x v="5"/>
    <x v="2337"/>
    <n v="1114.8699999999999"/>
    <n v="0.29706101785238476"/>
  </r>
  <r>
    <x v="237"/>
    <x v="6"/>
    <x v="1"/>
    <x v="2"/>
    <x v="7"/>
    <x v="1384"/>
    <n v="1602.79"/>
    <n v="0.25035770071852548"/>
  </r>
  <r>
    <x v="57"/>
    <x v="6"/>
    <x v="1"/>
    <x v="3"/>
    <x v="8"/>
    <x v="2338"/>
    <n v="510.73"/>
    <n v="0.19911500974658869"/>
  </r>
  <r>
    <x v="941"/>
    <x v="1"/>
    <x v="1"/>
    <x v="2"/>
    <x v="8"/>
    <x v="924"/>
    <n v="127.34"/>
    <n v="5.7515808491418248E-2"/>
  </r>
  <r>
    <x v="821"/>
    <x v="6"/>
    <x v="1"/>
    <x v="3"/>
    <x v="8"/>
    <x v="1471"/>
    <n v="291.81"/>
    <n v="0.29929230769230769"/>
  </r>
  <r>
    <x v="662"/>
    <x v="0"/>
    <x v="0"/>
    <x v="1"/>
    <x v="6"/>
    <x v="224"/>
    <n v="854.12"/>
    <n v="0.25788647342995169"/>
  </r>
  <r>
    <x v="305"/>
    <x v="0"/>
    <x v="0"/>
    <x v="1"/>
    <x v="4"/>
    <x v="2339"/>
    <n v="41.85"/>
    <n v="0.15674157303370786"/>
  </r>
  <r>
    <x v="721"/>
    <x v="7"/>
    <x v="2"/>
    <x v="1"/>
    <x v="5"/>
    <x v="2340"/>
    <n v="2384.42"/>
    <n v="0.29274647022713324"/>
  </r>
  <r>
    <x v="1044"/>
    <x v="0"/>
    <x v="0"/>
    <x v="0"/>
    <x v="4"/>
    <x v="2341"/>
    <n v="34.26"/>
    <n v="0.14767241379310345"/>
  </r>
  <r>
    <x v="258"/>
    <x v="7"/>
    <x v="2"/>
    <x v="0"/>
    <x v="8"/>
    <x v="919"/>
    <n v="38.44"/>
    <n v="0.12813333333333332"/>
  </r>
  <r>
    <x v="1045"/>
    <x v="6"/>
    <x v="1"/>
    <x v="1"/>
    <x v="3"/>
    <x v="1025"/>
    <n v="473.21"/>
    <n v="0.21050266903914591"/>
  </r>
  <r>
    <x v="14"/>
    <x v="6"/>
    <x v="1"/>
    <x v="0"/>
    <x v="7"/>
    <x v="1885"/>
    <n v="166.62"/>
    <n v="0.10323420074349443"/>
  </r>
  <r>
    <x v="806"/>
    <x v="6"/>
    <x v="1"/>
    <x v="3"/>
    <x v="3"/>
    <x v="467"/>
    <n v="195.74"/>
    <n v="0.13261517615176152"/>
  </r>
  <r>
    <x v="1046"/>
    <x v="0"/>
    <x v="0"/>
    <x v="2"/>
    <x v="2"/>
    <x v="989"/>
    <n v="347.43"/>
    <n v="7.941257142857143E-2"/>
  </r>
  <r>
    <x v="465"/>
    <x v="5"/>
    <x v="2"/>
    <x v="0"/>
    <x v="0"/>
    <x v="1561"/>
    <n v="263.48"/>
    <n v="0.24763157894736842"/>
  </r>
  <r>
    <x v="394"/>
    <x v="4"/>
    <x v="1"/>
    <x v="0"/>
    <x v="7"/>
    <x v="439"/>
    <n v="190.77"/>
    <n v="0.17862359550561799"/>
  </r>
  <r>
    <x v="232"/>
    <x v="8"/>
    <x v="1"/>
    <x v="1"/>
    <x v="4"/>
    <x v="2342"/>
    <n v="27.43"/>
    <n v="0.14436842105263159"/>
  </r>
  <r>
    <x v="777"/>
    <x v="0"/>
    <x v="0"/>
    <x v="2"/>
    <x v="1"/>
    <x v="2343"/>
    <n v="862.38"/>
    <n v="0.10960599898322318"/>
  </r>
  <r>
    <x v="353"/>
    <x v="8"/>
    <x v="1"/>
    <x v="0"/>
    <x v="8"/>
    <x v="49"/>
    <n v="143.35"/>
    <n v="0.11569814366424536"/>
  </r>
  <r>
    <x v="593"/>
    <x v="6"/>
    <x v="1"/>
    <x v="1"/>
    <x v="3"/>
    <x v="2344"/>
    <n v="408.32"/>
    <n v="0.29291248206599713"/>
  </r>
  <r>
    <x v="725"/>
    <x v="7"/>
    <x v="2"/>
    <x v="0"/>
    <x v="2"/>
    <x v="894"/>
    <n v="403.19"/>
    <n v="0.19572330097087379"/>
  </r>
  <r>
    <x v="636"/>
    <x v="9"/>
    <x v="2"/>
    <x v="1"/>
    <x v="4"/>
    <x v="153"/>
    <n v="57.26"/>
    <n v="5.4018867924528299E-2"/>
  </r>
  <r>
    <x v="1047"/>
    <x v="6"/>
    <x v="1"/>
    <x v="0"/>
    <x v="1"/>
    <x v="2345"/>
    <n v="1478.43"/>
    <n v="0.18925115207373272"/>
  </r>
  <r>
    <x v="373"/>
    <x v="3"/>
    <x v="2"/>
    <x v="0"/>
    <x v="1"/>
    <x v="701"/>
    <n v="804.15"/>
    <n v="0.11362865621025858"/>
  </r>
  <r>
    <x v="174"/>
    <x v="7"/>
    <x v="2"/>
    <x v="3"/>
    <x v="1"/>
    <x v="20"/>
    <n v="929.42"/>
    <n v="0.16271358543417366"/>
  </r>
  <r>
    <x v="357"/>
    <x v="0"/>
    <x v="0"/>
    <x v="0"/>
    <x v="7"/>
    <x v="2069"/>
    <n v="966.79"/>
    <n v="0.23318620356970574"/>
  </r>
  <r>
    <x v="113"/>
    <x v="2"/>
    <x v="2"/>
    <x v="3"/>
    <x v="3"/>
    <x v="2346"/>
    <n v="238.18"/>
    <n v="0.24010080645161291"/>
  </r>
  <r>
    <x v="110"/>
    <x v="5"/>
    <x v="2"/>
    <x v="0"/>
    <x v="3"/>
    <x v="2347"/>
    <n v="165.6"/>
    <n v="9.4305239179954439E-2"/>
  </r>
  <r>
    <x v="32"/>
    <x v="6"/>
    <x v="1"/>
    <x v="3"/>
    <x v="0"/>
    <x v="2348"/>
    <n v="566.80999999999995"/>
    <n v="0.15606002202643171"/>
  </r>
  <r>
    <x v="515"/>
    <x v="4"/>
    <x v="1"/>
    <x v="1"/>
    <x v="0"/>
    <x v="1380"/>
    <n v="550.09"/>
    <n v="0.14061605316973416"/>
  </r>
  <r>
    <x v="130"/>
    <x v="0"/>
    <x v="0"/>
    <x v="0"/>
    <x v="5"/>
    <x v="2349"/>
    <n v="741.23"/>
    <n v="0.23734550112071726"/>
  </r>
  <r>
    <x v="1048"/>
    <x v="0"/>
    <x v="0"/>
    <x v="3"/>
    <x v="0"/>
    <x v="2350"/>
    <n v="120.19"/>
    <n v="0.17169999999999999"/>
  </r>
  <r>
    <x v="592"/>
    <x v="2"/>
    <x v="2"/>
    <x v="2"/>
    <x v="6"/>
    <x v="1084"/>
    <n v="83.16"/>
    <n v="0.20382352941176471"/>
  </r>
  <r>
    <x v="675"/>
    <x v="7"/>
    <x v="2"/>
    <x v="2"/>
    <x v="0"/>
    <x v="1028"/>
    <n v="768.81"/>
    <n v="0.18954881656804731"/>
  </r>
  <r>
    <x v="517"/>
    <x v="9"/>
    <x v="2"/>
    <x v="3"/>
    <x v="4"/>
    <x v="1182"/>
    <n v="121.75"/>
    <n v="0.15811688311688313"/>
  </r>
  <r>
    <x v="736"/>
    <x v="5"/>
    <x v="2"/>
    <x v="0"/>
    <x v="8"/>
    <x v="561"/>
    <n v="73.349999999999994"/>
    <n v="0.13813559322033897"/>
  </r>
  <r>
    <x v="937"/>
    <x v="6"/>
    <x v="1"/>
    <x v="2"/>
    <x v="2"/>
    <x v="447"/>
    <n v="79.77"/>
    <n v="0.28489285714285711"/>
  </r>
  <r>
    <x v="330"/>
    <x v="9"/>
    <x v="2"/>
    <x v="1"/>
    <x v="1"/>
    <x v="1039"/>
    <n v="892.73"/>
    <n v="0.19620439560439562"/>
  </r>
  <r>
    <x v="529"/>
    <x v="5"/>
    <x v="2"/>
    <x v="3"/>
    <x v="2"/>
    <x v="2351"/>
    <n v="601.66"/>
    <n v="0.24260483870967742"/>
  </r>
  <r>
    <x v="531"/>
    <x v="0"/>
    <x v="0"/>
    <x v="3"/>
    <x v="7"/>
    <x v="1165"/>
    <n v="305.73"/>
    <n v="0.1174078341013825"/>
  </r>
  <r>
    <x v="543"/>
    <x v="8"/>
    <x v="1"/>
    <x v="3"/>
    <x v="1"/>
    <x v="2352"/>
    <n v="310.02999999999997"/>
    <n v="0.22948186528497408"/>
  </r>
  <r>
    <x v="647"/>
    <x v="6"/>
    <x v="1"/>
    <x v="2"/>
    <x v="2"/>
    <x v="2353"/>
    <n v="251"/>
    <n v="5.4387865655471289E-2"/>
  </r>
  <r>
    <x v="122"/>
    <x v="1"/>
    <x v="1"/>
    <x v="3"/>
    <x v="4"/>
    <x v="2354"/>
    <n v="165.05"/>
    <n v="0.19909529553679134"/>
  </r>
  <r>
    <x v="878"/>
    <x v="3"/>
    <x v="2"/>
    <x v="3"/>
    <x v="8"/>
    <x v="2355"/>
    <n v="43.41"/>
    <n v="0.24525423728813558"/>
  </r>
  <r>
    <x v="717"/>
    <x v="4"/>
    <x v="1"/>
    <x v="3"/>
    <x v="4"/>
    <x v="1333"/>
    <n v="161.05000000000001"/>
    <n v="0.14829650092081031"/>
  </r>
  <r>
    <x v="621"/>
    <x v="9"/>
    <x v="2"/>
    <x v="2"/>
    <x v="2"/>
    <x v="2356"/>
    <n v="64.900000000000006"/>
    <n v="0.23600000000000002"/>
  </r>
  <r>
    <x v="787"/>
    <x v="1"/>
    <x v="1"/>
    <x v="0"/>
    <x v="4"/>
    <x v="669"/>
    <n v="164.5"/>
    <n v="0.29166666666666669"/>
  </r>
  <r>
    <x v="884"/>
    <x v="8"/>
    <x v="1"/>
    <x v="2"/>
    <x v="3"/>
    <x v="641"/>
    <n v="71.39"/>
    <n v="0.10437134502923977"/>
  </r>
  <r>
    <x v="85"/>
    <x v="9"/>
    <x v="2"/>
    <x v="2"/>
    <x v="0"/>
    <x v="2357"/>
    <n v="687.63"/>
    <n v="0.25889683734939761"/>
  </r>
  <r>
    <x v="681"/>
    <x v="9"/>
    <x v="2"/>
    <x v="3"/>
    <x v="2"/>
    <x v="2032"/>
    <n v="346.79"/>
    <n v="0.29142016806722693"/>
  </r>
  <r>
    <x v="84"/>
    <x v="0"/>
    <x v="0"/>
    <x v="2"/>
    <x v="7"/>
    <x v="2358"/>
    <n v="510.88"/>
    <n v="0.10524927894519984"/>
  </r>
  <r>
    <x v="921"/>
    <x v="0"/>
    <x v="0"/>
    <x v="3"/>
    <x v="2"/>
    <x v="153"/>
    <n v="217.96"/>
    <n v="0.20562264150943396"/>
  </r>
  <r>
    <x v="557"/>
    <x v="9"/>
    <x v="2"/>
    <x v="2"/>
    <x v="8"/>
    <x v="2359"/>
    <n v="364.05"/>
    <n v="0.23840864440078585"/>
  </r>
  <r>
    <x v="668"/>
    <x v="1"/>
    <x v="1"/>
    <x v="1"/>
    <x v="0"/>
    <x v="1416"/>
    <n v="177.54"/>
    <n v="0.15200342465753425"/>
  </r>
  <r>
    <x v="498"/>
    <x v="2"/>
    <x v="2"/>
    <x v="2"/>
    <x v="6"/>
    <x v="1448"/>
    <n v="1257.81"/>
    <n v="0.1987689633375474"/>
  </r>
  <r>
    <x v="373"/>
    <x v="7"/>
    <x v="2"/>
    <x v="0"/>
    <x v="8"/>
    <x v="1017"/>
    <n v="477.95"/>
    <n v="0.21794345645234839"/>
  </r>
  <r>
    <x v="869"/>
    <x v="5"/>
    <x v="2"/>
    <x v="1"/>
    <x v="6"/>
    <x v="330"/>
    <n v="1099.8800000000001"/>
    <n v="0.14472105263157897"/>
  </r>
  <r>
    <x v="745"/>
    <x v="0"/>
    <x v="0"/>
    <x v="3"/>
    <x v="5"/>
    <x v="548"/>
    <n v="322.11"/>
    <n v="0.18260204081632653"/>
  </r>
  <r>
    <x v="696"/>
    <x v="8"/>
    <x v="1"/>
    <x v="1"/>
    <x v="3"/>
    <x v="954"/>
    <n v="84.29"/>
    <n v="6.637007874015749E-2"/>
  </r>
  <r>
    <x v="304"/>
    <x v="2"/>
    <x v="2"/>
    <x v="0"/>
    <x v="4"/>
    <x v="1181"/>
    <n v="33.770000000000003"/>
    <n v="5.5634266886326202E-2"/>
  </r>
  <r>
    <x v="580"/>
    <x v="1"/>
    <x v="1"/>
    <x v="2"/>
    <x v="3"/>
    <x v="971"/>
    <n v="469.64"/>
    <n v="0.28088516746411485"/>
  </r>
  <r>
    <x v="360"/>
    <x v="8"/>
    <x v="1"/>
    <x v="2"/>
    <x v="7"/>
    <x v="2360"/>
    <n v="1358.26"/>
    <n v="0.23754109828611403"/>
  </r>
  <r>
    <x v="881"/>
    <x v="4"/>
    <x v="1"/>
    <x v="2"/>
    <x v="6"/>
    <x v="853"/>
    <n v="107.27"/>
    <n v="0.18368150684931506"/>
  </r>
  <r>
    <x v="650"/>
    <x v="3"/>
    <x v="2"/>
    <x v="3"/>
    <x v="1"/>
    <x v="2212"/>
    <n v="966.64"/>
    <n v="0.12966331321260899"/>
  </r>
  <r>
    <x v="219"/>
    <x v="8"/>
    <x v="1"/>
    <x v="0"/>
    <x v="1"/>
    <x v="2361"/>
    <n v="2270.08"/>
    <n v="0.29562182575856233"/>
  </r>
  <r>
    <x v="928"/>
    <x v="2"/>
    <x v="2"/>
    <x v="3"/>
    <x v="1"/>
    <x v="1146"/>
    <n v="154.05000000000001"/>
    <n v="0.18187721369539553"/>
  </r>
  <r>
    <x v="462"/>
    <x v="1"/>
    <x v="1"/>
    <x v="3"/>
    <x v="8"/>
    <x v="2362"/>
    <n v="178.78"/>
    <n v="0.1398904538341158"/>
  </r>
  <r>
    <x v="184"/>
    <x v="8"/>
    <x v="1"/>
    <x v="1"/>
    <x v="6"/>
    <x v="2363"/>
    <n v="1024.82"/>
    <n v="0.1554641990291262"/>
  </r>
  <r>
    <x v="280"/>
    <x v="6"/>
    <x v="1"/>
    <x v="1"/>
    <x v="6"/>
    <x v="2364"/>
    <n v="454.14"/>
    <n v="0.12814334085778781"/>
  </r>
  <r>
    <x v="453"/>
    <x v="3"/>
    <x v="2"/>
    <x v="3"/>
    <x v="8"/>
    <x v="2365"/>
    <n v="274.27"/>
    <n v="0.14000510464522714"/>
  </r>
  <r>
    <x v="382"/>
    <x v="1"/>
    <x v="1"/>
    <x v="2"/>
    <x v="7"/>
    <x v="781"/>
    <n v="924.03"/>
    <n v="0.27305851063829789"/>
  </r>
  <r>
    <x v="574"/>
    <x v="7"/>
    <x v="2"/>
    <x v="0"/>
    <x v="4"/>
    <x v="1609"/>
    <n v="50.2"/>
    <n v="0.16351791530944626"/>
  </r>
  <r>
    <x v="559"/>
    <x v="3"/>
    <x v="2"/>
    <x v="3"/>
    <x v="5"/>
    <x v="2366"/>
    <n v="1468.72"/>
    <n v="0.14662274133972247"/>
  </r>
  <r>
    <x v="143"/>
    <x v="2"/>
    <x v="2"/>
    <x v="2"/>
    <x v="1"/>
    <x v="2367"/>
    <n v="504.39"/>
    <n v="6.3597276509897868E-2"/>
  </r>
  <r>
    <x v="836"/>
    <x v="9"/>
    <x v="2"/>
    <x v="0"/>
    <x v="3"/>
    <x v="1416"/>
    <n v="198.4"/>
    <n v="0.16986301369863013"/>
  </r>
  <r>
    <x v="740"/>
    <x v="7"/>
    <x v="2"/>
    <x v="2"/>
    <x v="5"/>
    <x v="2368"/>
    <n v="909.99"/>
    <n v="9.3188940092165898E-2"/>
  </r>
  <r>
    <x v="630"/>
    <x v="2"/>
    <x v="2"/>
    <x v="2"/>
    <x v="6"/>
    <x v="129"/>
    <n v="271.26"/>
    <n v="0.18630494505494505"/>
  </r>
  <r>
    <x v="815"/>
    <x v="7"/>
    <x v="2"/>
    <x v="2"/>
    <x v="2"/>
    <x v="2369"/>
    <n v="61.9"/>
    <n v="6.5157894736842109E-2"/>
  </r>
  <r>
    <x v="839"/>
    <x v="5"/>
    <x v="2"/>
    <x v="3"/>
    <x v="3"/>
    <x v="248"/>
    <n v="600.76"/>
    <n v="0.25961970613656005"/>
  </r>
  <r>
    <x v="1049"/>
    <x v="5"/>
    <x v="2"/>
    <x v="0"/>
    <x v="4"/>
    <x v="1799"/>
    <n v="264.3"/>
    <n v="0.28885245901639345"/>
  </r>
  <r>
    <x v="521"/>
    <x v="9"/>
    <x v="2"/>
    <x v="0"/>
    <x v="4"/>
    <x v="1098"/>
    <n v="61.14"/>
    <n v="0.21082758620689657"/>
  </r>
  <r>
    <x v="147"/>
    <x v="2"/>
    <x v="2"/>
    <x v="0"/>
    <x v="1"/>
    <x v="2370"/>
    <n v="940.88"/>
    <n v="0.2625223214285714"/>
  </r>
  <r>
    <x v="117"/>
    <x v="1"/>
    <x v="1"/>
    <x v="3"/>
    <x v="7"/>
    <x v="258"/>
    <n v="205.57"/>
    <n v="0.16393141945773523"/>
  </r>
  <r>
    <x v="955"/>
    <x v="9"/>
    <x v="2"/>
    <x v="0"/>
    <x v="2"/>
    <x v="2371"/>
    <n v="636.83000000000004"/>
    <n v="0.26424481327800831"/>
  </r>
  <r>
    <x v="487"/>
    <x v="0"/>
    <x v="0"/>
    <x v="0"/>
    <x v="3"/>
    <x v="2372"/>
    <n v="118.68"/>
    <n v="0.14835000000000001"/>
  </r>
  <r>
    <x v="620"/>
    <x v="5"/>
    <x v="2"/>
    <x v="3"/>
    <x v="2"/>
    <x v="1771"/>
    <n v="87.61"/>
    <n v="8.8494949494949487E-2"/>
  </r>
  <r>
    <x v="654"/>
    <x v="9"/>
    <x v="2"/>
    <x v="3"/>
    <x v="5"/>
    <x v="2373"/>
    <n v="2771.49"/>
    <n v="0.28566171923314776"/>
  </r>
  <r>
    <x v="339"/>
    <x v="8"/>
    <x v="1"/>
    <x v="1"/>
    <x v="6"/>
    <x v="2374"/>
    <n v="354.27"/>
    <n v="6.0168138586956521E-2"/>
  </r>
  <r>
    <x v="39"/>
    <x v="2"/>
    <x v="2"/>
    <x v="1"/>
    <x v="0"/>
    <x v="1839"/>
    <n v="345.33"/>
    <n v="0.19532239819004524"/>
  </r>
  <r>
    <x v="1041"/>
    <x v="4"/>
    <x v="1"/>
    <x v="0"/>
    <x v="3"/>
    <x v="2375"/>
    <n v="76.040000000000006"/>
    <n v="7.4403131115459889E-2"/>
  </r>
  <r>
    <x v="963"/>
    <x v="2"/>
    <x v="2"/>
    <x v="0"/>
    <x v="8"/>
    <x v="993"/>
    <n v="671.91"/>
    <n v="0.2330593132154006"/>
  </r>
  <r>
    <x v="831"/>
    <x v="6"/>
    <x v="1"/>
    <x v="0"/>
    <x v="0"/>
    <x v="1363"/>
    <n v="771.16"/>
    <n v="0.18975393700787402"/>
  </r>
  <r>
    <x v="1026"/>
    <x v="6"/>
    <x v="1"/>
    <x v="1"/>
    <x v="4"/>
    <x v="2376"/>
    <n v="119.89"/>
    <n v="0.10733213965980304"/>
  </r>
  <r>
    <x v="1050"/>
    <x v="9"/>
    <x v="2"/>
    <x v="2"/>
    <x v="0"/>
    <x v="363"/>
    <n v="66.02"/>
    <n v="0.25392307692307692"/>
  </r>
  <r>
    <x v="842"/>
    <x v="0"/>
    <x v="0"/>
    <x v="2"/>
    <x v="8"/>
    <x v="1687"/>
    <n v="50.28"/>
    <n v="0.2264864864864865"/>
  </r>
  <r>
    <x v="252"/>
    <x v="5"/>
    <x v="2"/>
    <x v="1"/>
    <x v="5"/>
    <x v="151"/>
    <n v="1777.32"/>
    <n v="0.168786324786324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5B16F-D287-4F10-8366-8EA5C80D668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8:Q19" firstHeaderRow="0" firstDataRow="1" firstDataCol="1"/>
  <pivotFields count="11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axis="axisRow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showAll="0"/>
    <pivotField showAll="0"/>
    <pivotField showAll="0"/>
    <pivotField dataField="1" numFmtId="164" showAll="0">
      <items count="2378">
        <item x="243"/>
        <item x="2254"/>
        <item x="757"/>
        <item x="1563"/>
        <item x="1558"/>
        <item x="2246"/>
        <item x="1193"/>
        <item x="436"/>
        <item x="975"/>
        <item x="694"/>
        <item x="1635"/>
        <item x="1310"/>
        <item x="1177"/>
        <item x="1817"/>
        <item x="1109"/>
        <item x="2041"/>
        <item x="1251"/>
        <item x="1085"/>
        <item x="2185"/>
        <item x="1409"/>
        <item x="79"/>
        <item x="178"/>
        <item x="2096"/>
        <item x="1005"/>
        <item x="601"/>
        <item x="738"/>
        <item x="1907"/>
        <item x="139"/>
        <item x="2089"/>
        <item x="1593"/>
        <item x="1520"/>
        <item x="2304"/>
        <item x="1232"/>
        <item x="1804"/>
        <item x="2318"/>
        <item x="1422"/>
        <item x="453"/>
        <item x="850"/>
        <item x="1680"/>
        <item x="311"/>
        <item x="867"/>
        <item x="268"/>
        <item x="2127"/>
        <item x="1985"/>
        <item x="1729"/>
        <item x="1218"/>
        <item x="2355"/>
        <item x="395"/>
        <item x="2195"/>
        <item x="1615"/>
        <item x="1325"/>
        <item x="1669"/>
        <item x="1620"/>
        <item x="2091"/>
        <item x="1948"/>
        <item x="136"/>
        <item x="2342"/>
        <item x="2021"/>
        <item x="2240"/>
        <item x="101"/>
        <item x="1595"/>
        <item x="707"/>
        <item x="1666"/>
        <item x="804"/>
        <item x="469"/>
        <item x="266"/>
        <item x="2272"/>
        <item x="1614"/>
        <item x="897"/>
        <item x="317"/>
        <item x="1011"/>
        <item x="2038"/>
        <item x="85"/>
        <item x="1687"/>
        <item x="424"/>
        <item x="166"/>
        <item x="121"/>
        <item x="2224"/>
        <item x="2341"/>
        <item x="2176"/>
        <item x="188"/>
        <item x="2331"/>
        <item x="2219"/>
        <item x="191"/>
        <item x="1805"/>
        <item x="489"/>
        <item x="471"/>
        <item x="1769"/>
        <item x="1584"/>
        <item x="832"/>
        <item x="1533"/>
        <item x="363"/>
        <item x="1703"/>
        <item x="732"/>
        <item x="1055"/>
        <item x="2339"/>
        <item x="2071"/>
        <item x="144"/>
        <item x="444"/>
        <item x="1961"/>
        <item x="2356"/>
        <item x="671"/>
        <item x="447"/>
        <item x="1053"/>
        <item x="1421"/>
        <item x="1958"/>
        <item x="1225"/>
        <item x="1098"/>
        <item x="2064"/>
        <item x="499"/>
        <item x="126"/>
        <item x="919"/>
        <item x="1399"/>
        <item x="1609"/>
        <item x="1912"/>
        <item x="1295"/>
        <item x="889"/>
        <item x="2214"/>
        <item x="1307"/>
        <item x="2188"/>
        <item x="861"/>
        <item x="710"/>
        <item x="2197"/>
        <item x="2307"/>
        <item x="2177"/>
        <item x="661"/>
        <item x="74"/>
        <item x="305"/>
        <item x="45"/>
        <item x="1258"/>
        <item x="585"/>
        <item x="2019"/>
        <item x="976"/>
        <item x="855"/>
        <item x="1383"/>
        <item x="1128"/>
        <item x="793"/>
        <item x="280"/>
        <item x="1743"/>
        <item x="1361"/>
        <item x="1079"/>
        <item x="862"/>
        <item x="1519"/>
        <item x="183"/>
        <item x="1692"/>
        <item x="1136"/>
        <item x="315"/>
        <item x="1332"/>
        <item x="1791"/>
        <item x="562"/>
        <item x="1536"/>
        <item x="1195"/>
        <item x="688"/>
        <item x="708"/>
        <item x="1865"/>
        <item x="667"/>
        <item x="193"/>
        <item x="516"/>
        <item x="440"/>
        <item x="245"/>
        <item x="704"/>
        <item x="1093"/>
        <item x="872"/>
        <item x="712"/>
        <item x="86"/>
        <item x="800"/>
        <item x="1737"/>
        <item x="347"/>
        <item x="1724"/>
        <item x="282"/>
        <item x="2120"/>
        <item x="962"/>
        <item x="1084"/>
        <item x="2037"/>
        <item x="350"/>
        <item x="1370"/>
        <item x="1445"/>
        <item x="1284"/>
        <item x="1712"/>
        <item x="1552"/>
        <item x="2274"/>
        <item x="718"/>
        <item x="1276"/>
        <item x="2152"/>
        <item x="1568"/>
        <item x="1356"/>
        <item x="176"/>
        <item x="859"/>
        <item x="1330"/>
        <item x="2322"/>
        <item x="15"/>
        <item x="772"/>
        <item x="80"/>
        <item x="1857"/>
        <item x="1823"/>
        <item x="1045"/>
        <item x="1973"/>
        <item x="192"/>
        <item x="1080"/>
        <item x="1528"/>
        <item x="1050"/>
        <item x="1153"/>
        <item x="2079"/>
        <item x="1419"/>
        <item x="696"/>
        <item x="1413"/>
        <item x="2086"/>
        <item x="999"/>
        <item x="1019"/>
        <item x="1734"/>
        <item x="942"/>
        <item x="591"/>
        <item x="1230"/>
        <item x="1627"/>
        <item x="154"/>
        <item x="1783"/>
        <item x="731"/>
        <item x="445"/>
        <item x="1640"/>
        <item x="2239"/>
        <item x="1021"/>
        <item x="389"/>
        <item x="1087"/>
        <item x="1323"/>
        <item x="426"/>
        <item x="11"/>
        <item x="1806"/>
        <item x="1246"/>
        <item x="299"/>
        <item x="4"/>
        <item x="742"/>
        <item x="810"/>
        <item x="698"/>
        <item x="564"/>
        <item x="1134"/>
        <item x="977"/>
        <item x="907"/>
        <item x="575"/>
        <item x="5"/>
        <item x="1166"/>
        <item x="1440"/>
        <item x="571"/>
        <item x="561"/>
        <item x="1673"/>
        <item x="1851"/>
        <item x="2013"/>
        <item x="2151"/>
        <item x="1785"/>
        <item x="681"/>
        <item x="1465"/>
        <item x="1899"/>
        <item x="208"/>
        <item x="1634"/>
        <item x="1381"/>
        <item x="96"/>
        <item x="1187"/>
        <item x="2116"/>
        <item x="334"/>
        <item x="619"/>
        <item x="669"/>
        <item x="1222"/>
        <item x="1574"/>
        <item x="237"/>
        <item x="14"/>
        <item x="181"/>
        <item x="430"/>
        <item x="882"/>
        <item x="1877"/>
        <item x="934"/>
        <item x="839"/>
        <item x="1241"/>
        <item x="853"/>
        <item x="1922"/>
        <item x="1192"/>
        <item x="1869"/>
        <item x="1848"/>
        <item x="2033"/>
        <item x="2009"/>
        <item x="323"/>
        <item x="53"/>
        <item x="1977"/>
        <item x="679"/>
        <item x="1414"/>
        <item x="752"/>
        <item x="1181"/>
        <item x="1668"/>
        <item x="875"/>
        <item x="114"/>
        <item x="1155"/>
        <item x="1733"/>
        <item x="1203"/>
        <item x="1822"/>
        <item x="219"/>
        <item x="428"/>
        <item x="2330"/>
        <item x="298"/>
        <item x="449"/>
        <item x="1473"/>
        <item x="212"/>
        <item x="2221"/>
        <item x="316"/>
        <item x="1849"/>
        <item x="461"/>
        <item x="1320"/>
        <item x="108"/>
        <item x="1860"/>
        <item x="1138"/>
        <item x="1139"/>
        <item x="127"/>
        <item x="569"/>
        <item x="2023"/>
        <item x="1056"/>
        <item x="1988"/>
        <item x="437"/>
        <item x="1506"/>
        <item x="159"/>
        <item x="222"/>
        <item x="1385"/>
        <item x="1185"/>
        <item x="19"/>
        <item x="1947"/>
        <item x="1580"/>
        <item x="519"/>
        <item x="9"/>
        <item x="109"/>
        <item x="683"/>
        <item x="592"/>
        <item x="641"/>
        <item x="648"/>
        <item x="595"/>
        <item x="1147"/>
        <item x="326"/>
        <item x="1236"/>
        <item x="1856"/>
        <item x="2174"/>
        <item x="2350"/>
        <item x="431"/>
        <item x="272"/>
        <item x="94"/>
        <item x="1809"/>
        <item x="1874"/>
        <item x="1183"/>
        <item x="796"/>
        <item x="1189"/>
        <item x="147"/>
        <item x="1756"/>
        <item x="824"/>
        <item x="1141"/>
        <item x="1525"/>
        <item x="1921"/>
        <item x="551"/>
        <item x="797"/>
        <item x="1736"/>
        <item x="750"/>
        <item x="173"/>
        <item x="1994"/>
        <item x="1217"/>
        <item x="1780"/>
        <item x="1495"/>
        <item x="770"/>
        <item x="827"/>
        <item x="18"/>
        <item x="2268"/>
        <item x="786"/>
        <item x="351"/>
        <item x="206"/>
        <item x="1151"/>
        <item x="1201"/>
        <item x="789"/>
        <item x="2114"/>
        <item x="626"/>
        <item x="2238"/>
        <item x="586"/>
        <item x="2235"/>
        <item x="148"/>
        <item x="267"/>
        <item x="1735"/>
        <item x="1182"/>
        <item x="2022"/>
        <item x="406"/>
        <item x="945"/>
        <item x="1811"/>
        <item x="1069"/>
        <item x="1718"/>
        <item x="933"/>
        <item x="3"/>
        <item x="1300"/>
        <item x="2007"/>
        <item x="745"/>
        <item x="1368"/>
        <item x="2028"/>
        <item x="2229"/>
        <item x="128"/>
        <item x="884"/>
        <item x="2372"/>
        <item x="1511"/>
        <item x="1020"/>
        <item x="38"/>
        <item x="1037"/>
        <item x="693"/>
        <item x="547"/>
        <item x="1569"/>
        <item x="2030"/>
        <item x="1661"/>
        <item x="828"/>
        <item x="584"/>
        <item x="211"/>
        <item x="1035"/>
        <item x="494"/>
        <item x="2354"/>
        <item x="61"/>
        <item x="1782"/>
        <item x="113"/>
        <item x="1863"/>
        <item x="550"/>
        <item x="1900"/>
        <item x="1451"/>
        <item x="967"/>
        <item x="2271"/>
        <item x="242"/>
        <item x="1146"/>
        <item x="260"/>
        <item x="1207"/>
        <item x="2062"/>
        <item x="62"/>
        <item x="2285"/>
        <item x="346"/>
        <item x="177"/>
        <item x="2126"/>
        <item x="2012"/>
        <item x="1013"/>
        <item x="1373"/>
        <item x="2003"/>
        <item x="950"/>
        <item x="2216"/>
        <item x="1797"/>
        <item x="740"/>
        <item x="92"/>
        <item x="791"/>
        <item x="1522"/>
        <item x="1283"/>
        <item x="1179"/>
        <item x="2025"/>
        <item x="111"/>
        <item x="1708"/>
        <item x="47"/>
        <item x="1243"/>
        <item x="277"/>
        <item x="878"/>
        <item x="2039"/>
        <item x="1758"/>
        <item x="2103"/>
        <item x="673"/>
        <item x="2109"/>
        <item x="1932"/>
        <item x="1033"/>
        <item x="292"/>
        <item x="2184"/>
        <item x="2080"/>
        <item x="2200"/>
        <item x="1062"/>
        <item x="1704"/>
        <item x="2153"/>
        <item x="1799"/>
        <item x="259"/>
        <item x="1118"/>
        <item x="818"/>
        <item x="1586"/>
        <item x="686"/>
        <item x="1914"/>
        <item x="303"/>
        <item x="106"/>
        <item x="35"/>
        <item x="137"/>
        <item x="1628"/>
        <item x="1659"/>
        <item x="125"/>
        <item x="1792"/>
        <item x="1966"/>
        <item x="2369"/>
        <item x="138"/>
        <item x="255"/>
        <item x="613"/>
        <item x="1705"/>
        <item x="2044"/>
        <item x="1158"/>
        <item x="662"/>
        <item x="1176"/>
        <item x="801"/>
        <item x="1936"/>
        <item x="873"/>
        <item x="143"/>
        <item x="668"/>
        <item x="2142"/>
        <item x="1601"/>
        <item x="1471"/>
        <item x="812"/>
        <item x="1810"/>
        <item x="1266"/>
        <item x="89"/>
        <item x="1253"/>
        <item x="344"/>
        <item x="1548"/>
        <item x="31"/>
        <item x="2269"/>
        <item x="1771"/>
        <item x="2346"/>
        <item x="2076"/>
        <item x="1235"/>
        <item x="2169"/>
        <item x="1774"/>
        <item x="1490"/>
        <item x="133"/>
        <item x="1590"/>
        <item x="503"/>
        <item x="1036"/>
        <item x="549"/>
        <item x="1761"/>
        <item x="1111"/>
        <item x="407"/>
        <item x="1830"/>
        <item x="2283"/>
        <item x="2375"/>
        <item x="857"/>
        <item x="403"/>
        <item x="969"/>
        <item x="2289"/>
        <item x="249"/>
        <item x="307"/>
        <item x="1066"/>
        <item x="1281"/>
        <item x="1999"/>
        <item x="1429"/>
        <item x="1194"/>
        <item x="1197"/>
        <item x="1855"/>
        <item x="630"/>
        <item x="923"/>
        <item x="2083"/>
        <item x="1433"/>
        <item x="1675"/>
        <item x="1211"/>
        <item x="2082"/>
        <item x="419"/>
        <item x="1969"/>
        <item x="2006"/>
        <item x="2122"/>
        <item x="269"/>
        <item x="153"/>
        <item x="310"/>
        <item x="1561"/>
        <item x="69"/>
        <item x="439"/>
        <item x="1931"/>
        <item x="1773"/>
        <item x="959"/>
        <item x="610"/>
        <item x="1507"/>
        <item x="236"/>
        <item x="1861"/>
        <item x="1826"/>
        <item x="652"/>
        <item x="1333"/>
        <item x="1076"/>
        <item x="868"/>
        <item x="1613"/>
        <item x="972"/>
        <item x="1362"/>
        <item x="557"/>
        <item x="1097"/>
        <item x="171"/>
        <item x="390"/>
        <item x="1054"/>
        <item x="521"/>
        <item x="764"/>
        <item x="1231"/>
        <item x="2376"/>
        <item x="1631"/>
        <item x="286"/>
        <item x="1431"/>
        <item x="1951"/>
        <item x="2223"/>
        <item x="1925"/>
        <item x="29"/>
        <item x="958"/>
        <item x="965"/>
        <item x="527"/>
        <item x="1540"/>
        <item x="365"/>
        <item x="599"/>
        <item x="1405"/>
        <item x="577"/>
        <item x="1004"/>
        <item x="1041"/>
        <item x="1872"/>
        <item x="1046"/>
        <item x="1610"/>
        <item x="1833"/>
        <item x="1755"/>
        <item x="842"/>
        <item x="2168"/>
        <item x="560"/>
        <item x="2130"/>
        <item x="1741"/>
        <item x="1441"/>
        <item x="1518"/>
        <item x="1940"/>
        <item x="510"/>
        <item x="1882"/>
        <item x="1416"/>
        <item x="706"/>
        <item x="534"/>
        <item x="1002"/>
        <item x="2143"/>
        <item x="602"/>
        <item x="674"/>
        <item x="1699"/>
        <item x="349"/>
        <item x="566"/>
        <item x="2095"/>
        <item x="472"/>
        <item x="217"/>
        <item x="414"/>
        <item x="2032"/>
        <item x="112"/>
        <item x="333"/>
        <item x="1459"/>
        <item x="614"/>
        <item x="1"/>
        <item x="1895"/>
        <item x="1129"/>
        <item x="1997"/>
        <item x="650"/>
        <item x="1488"/>
        <item x="792"/>
        <item x="2050"/>
        <item x="957"/>
        <item x="2155"/>
        <item x="1123"/>
        <item x="468"/>
        <item x="1616"/>
        <item x="39"/>
        <item x="1544"/>
        <item x="2139"/>
        <item x="1400"/>
        <item x="1938"/>
        <item x="429"/>
        <item x="1214"/>
        <item x="1698"/>
        <item x="49"/>
        <item x="287"/>
        <item x="628"/>
        <item x="695"/>
        <item x="2061"/>
        <item x="2074"/>
        <item x="981"/>
        <item x="835"/>
        <item x="258"/>
        <item x="360"/>
        <item x="1939"/>
        <item x="2055"/>
        <item x="2215"/>
        <item x="1341"/>
        <item x="1813"/>
        <item x="1106"/>
        <item x="1803"/>
        <item x="2316"/>
        <item x="954"/>
        <item x="1606"/>
        <item x="2121"/>
        <item x="1094"/>
        <item x="2362"/>
        <item x="477"/>
        <item x="820"/>
        <item x="809"/>
        <item x="649"/>
        <item x="2075"/>
        <item x="782"/>
        <item x="1132"/>
        <item x="1023"/>
        <item x="1140"/>
        <item x="1249"/>
        <item x="1209"/>
        <item x="501"/>
        <item x="2282"/>
        <item x="1190"/>
        <item x="1449"/>
        <item x="1903"/>
        <item x="1745"/>
        <item x="2045"/>
        <item x="2043"/>
        <item x="1344"/>
        <item x="1993"/>
        <item x="1688"/>
        <item x="1489"/>
        <item x="915"/>
        <item x="82"/>
        <item x="722"/>
        <item x="994"/>
        <item x="1605"/>
        <item x="568"/>
        <item x="900"/>
        <item x="279"/>
        <item x="1802"/>
        <item x="1305"/>
        <item x="864"/>
        <item x="2352"/>
        <item x="531"/>
        <item x="380"/>
        <item x="2057"/>
        <item x="747"/>
        <item x="1720"/>
        <item x="803"/>
        <item x="834"/>
        <item x="1468"/>
        <item x="984"/>
        <item x="337"/>
        <item x="684"/>
        <item x="30"/>
        <item x="2226"/>
        <item x="2314"/>
        <item x="28"/>
        <item x="1229"/>
        <item x="1048"/>
        <item x="401"/>
        <item x="627"/>
        <item x="2344"/>
        <item x="1686"/>
        <item x="672"/>
        <item x="22"/>
        <item x="737"/>
        <item x="338"/>
        <item x="2291"/>
        <item x="533"/>
        <item x="2063"/>
        <item x="784"/>
        <item x="1924"/>
        <item x="1371"/>
        <item x="421"/>
        <item x="107"/>
        <item x="2302"/>
        <item x="1382"/>
        <item x="1711"/>
        <item x="313"/>
        <item x="741"/>
        <item x="2242"/>
        <item x="270"/>
        <item x="129"/>
        <item x="1238"/>
        <item x="2128"/>
        <item x="1608"/>
        <item x="314"/>
        <item x="1793"/>
        <item x="1466"/>
        <item x="2336"/>
        <item x="467"/>
        <item x="476"/>
        <item x="655"/>
        <item x="735"/>
        <item x="1354"/>
        <item x="2107"/>
        <item x="353"/>
        <item x="1996"/>
        <item x="2035"/>
        <item x="473"/>
        <item x="1547"/>
        <item x="1965"/>
        <item x="93"/>
        <item x="2131"/>
        <item x="1212"/>
        <item x="956"/>
        <item x="1515"/>
        <item x="767"/>
        <item x="374"/>
        <item x="914"/>
        <item x="2359"/>
        <item x="611"/>
        <item x="1408"/>
        <item x="1989"/>
        <item x="251"/>
        <item x="783"/>
        <item x="1553"/>
        <item x="826"/>
        <item x="1555"/>
        <item x="262"/>
        <item x="1460"/>
        <item x="43"/>
        <item x="724"/>
        <item x="895"/>
        <item x="1498"/>
        <item x="620"/>
        <item x="1726"/>
        <item x="2203"/>
        <item x="1061"/>
        <item x="495"/>
        <item x="762"/>
        <item x="1156"/>
        <item x="2290"/>
        <item x="1130"/>
        <item x="715"/>
        <item x="1313"/>
        <item x="856"/>
        <item x="1007"/>
        <item x="960"/>
        <item x="1649"/>
        <item x="2193"/>
        <item x="1885"/>
        <item x="734"/>
        <item x="399"/>
        <item x="435"/>
        <item x="1077"/>
        <item x="2335"/>
        <item x="2245"/>
        <item x="542"/>
        <item x="1030"/>
        <item x="1500"/>
        <item x="264"/>
        <item x="78"/>
        <item x="339"/>
        <item x="1549"/>
        <item x="656"/>
        <item x="359"/>
        <item x="1538"/>
        <item x="553"/>
        <item x="425"/>
        <item x="573"/>
        <item x="51"/>
        <item x="1836"/>
        <item x="971"/>
        <item x="343"/>
        <item x="458"/>
        <item x="1762"/>
        <item x="1446"/>
        <item x="2319"/>
        <item x="513"/>
        <item x="362"/>
        <item x="631"/>
        <item x="1889"/>
        <item x="966"/>
        <item x="1171"/>
        <item x="327"/>
        <item x="830"/>
        <item x="182"/>
        <item x="1352"/>
        <item x="825"/>
        <item x="953"/>
        <item x="2133"/>
        <item x="1269"/>
        <item x="776"/>
        <item x="1359"/>
        <item x="120"/>
        <item x="2298"/>
        <item x="1750"/>
        <item x="1168"/>
        <item x="963"/>
        <item x="394"/>
        <item x="456"/>
        <item x="1798"/>
        <item x="210"/>
        <item x="843"/>
        <item x="197"/>
        <item x="354"/>
        <item x="2347"/>
        <item x="760"/>
        <item x="234"/>
        <item x="548"/>
        <item x="765"/>
        <item x="992"/>
        <item x="1839"/>
        <item x="603"/>
        <item x="1886"/>
        <item x="787"/>
        <item x="1204"/>
        <item x="539"/>
        <item x="1135"/>
        <item x="404"/>
        <item x="1260"/>
        <item x="1143"/>
        <item x="1764"/>
        <item x="1224"/>
        <item x="306"/>
        <item x="689"/>
        <item x="1766"/>
        <item x="1125"/>
        <item x="2138"/>
        <item x="2276"/>
        <item x="378"/>
        <item x="2005"/>
        <item x="1233"/>
        <item x="813"/>
        <item x="1521"/>
        <item x="570"/>
        <item x="386"/>
        <item x="2190"/>
        <item x="2029"/>
        <item x="2105"/>
        <item x="1038"/>
        <item x="795"/>
        <item x="1695"/>
        <item x="1505"/>
        <item x="479"/>
        <item x="2244"/>
        <item x="100"/>
        <item x="1514"/>
        <item x="774"/>
        <item x="1717"/>
        <item x="1838"/>
        <item x="490"/>
        <item x="55"/>
        <item x="411"/>
        <item x="2134"/>
        <item x="565"/>
        <item x="1353"/>
        <item x="1665"/>
        <item x="1524"/>
        <item x="2018"/>
        <item x="1956"/>
        <item x="370"/>
        <item x="726"/>
        <item x="563"/>
        <item x="1623"/>
        <item x="680"/>
        <item x="2265"/>
        <item x="1319"/>
        <item x="247"/>
        <item x="1280"/>
        <item x="2137"/>
        <item x="2194"/>
        <item x="492"/>
        <item x="1581"/>
        <item x="664"/>
        <item x="361"/>
        <item x="1508"/>
        <item x="922"/>
        <item x="319"/>
        <item x="723"/>
        <item x="331"/>
        <item x="2108"/>
        <item x="1360"/>
        <item x="2000"/>
        <item x="1591"/>
        <item x="2309"/>
        <item x="1308"/>
        <item x="1453"/>
        <item x="507"/>
        <item x="754"/>
        <item x="2227"/>
        <item x="2365"/>
        <item x="371"/>
        <item x="1944"/>
        <item x="408"/>
        <item x="1945"/>
        <item x="1759"/>
        <item x="2070"/>
        <item x="1051"/>
        <item x="1029"/>
        <item x="491"/>
        <item x="1404"/>
        <item x="1027"/>
        <item x="1469"/>
        <item x="703"/>
        <item x="2010"/>
        <item x="2175"/>
        <item x="1206"/>
        <item x="2280"/>
        <item x="998"/>
        <item x="1008"/>
        <item x="199"/>
        <item x="66"/>
        <item x="1815"/>
        <item x="2325"/>
        <item x="1980"/>
        <item x="441"/>
        <item x="1427"/>
        <item x="1482"/>
        <item x="1437"/>
        <item x="1198"/>
        <item x="220"/>
        <item x="1853"/>
        <item x="1103"/>
        <item x="2312"/>
        <item x="721"/>
        <item x="2295"/>
        <item x="1428"/>
        <item x="369"/>
        <item x="1554"/>
        <item x="1819"/>
        <item x="274"/>
        <item x="1694"/>
        <item x="894"/>
        <item x="1254"/>
        <item x="831"/>
        <item x="1378"/>
        <item x="1014"/>
        <item x="228"/>
        <item x="1715"/>
        <item x="1016"/>
        <item x="1604"/>
        <item x="1629"/>
        <item x="1012"/>
        <item x="1487"/>
        <item x="1901"/>
        <item x="1024"/>
        <item x="1372"/>
        <item x="893"/>
        <item x="150"/>
        <item x="1816"/>
        <item x="1919"/>
        <item x="1873"/>
        <item x="60"/>
        <item x="56"/>
        <item x="142"/>
        <item x="952"/>
        <item x="194"/>
        <item x="904"/>
        <item x="1334"/>
        <item x="615"/>
        <item x="187"/>
        <item x="165"/>
        <item x="1369"/>
        <item x="70"/>
        <item x="2252"/>
        <item x="1418"/>
        <item x="658"/>
        <item x="1121"/>
        <item x="1226"/>
        <item x="1617"/>
        <item x="890"/>
        <item x="2145"/>
        <item x="1643"/>
        <item x="1611"/>
        <item x="1117"/>
        <item x="442"/>
        <item x="621"/>
        <item x="1350"/>
        <item x="134"/>
        <item x="2178"/>
        <item x="555"/>
        <item x="506"/>
        <item x="1017"/>
        <item x="1888"/>
        <item x="1575"/>
        <item x="1277"/>
        <item x="943"/>
        <item x="822"/>
        <item x="17"/>
        <item x="924"/>
        <item x="1415"/>
        <item x="846"/>
        <item x="1618"/>
        <item x="203"/>
        <item x="1867"/>
        <item x="860"/>
        <item x="2150"/>
        <item x="223"/>
        <item x="261"/>
        <item x="167"/>
        <item x="179"/>
        <item x="1025"/>
        <item x="400"/>
        <item x="790"/>
        <item x="322"/>
        <item x="1897"/>
        <item x="2146"/>
        <item x="90"/>
        <item x="990"/>
        <item x="2299"/>
        <item x="530"/>
        <item x="1984"/>
        <item x="391"/>
        <item x="1700"/>
        <item x="699"/>
        <item x="2059"/>
        <item x="588"/>
        <item x="1492"/>
        <item x="483"/>
        <item x="968"/>
        <item x="644"/>
        <item x="554"/>
        <item x="348"/>
        <item x="979"/>
        <item x="119"/>
        <item x="1807"/>
        <item x="2047"/>
        <item x="248"/>
        <item x="1722"/>
        <item x="2311"/>
        <item x="1728"/>
        <item x="1191"/>
        <item x="559"/>
        <item x="1928"/>
        <item x="2207"/>
        <item x="2036"/>
        <item x="1778"/>
        <item x="1393"/>
        <item x="1402"/>
        <item x="263"/>
        <item x="1102"/>
        <item x="502"/>
        <item x="1625"/>
        <item x="1291"/>
        <item x="670"/>
        <item x="1374"/>
        <item x="1677"/>
        <item x="2100"/>
        <item x="27"/>
        <item x="1651"/>
        <item x="1908"/>
        <item x="1410"/>
        <item x="46"/>
        <item x="302"/>
        <item x="1412"/>
        <item x="1941"/>
        <item x="2321"/>
        <item x="1271"/>
        <item x="1398"/>
        <item x="1348"/>
        <item x="1920"/>
        <item x="73"/>
        <item x="2371"/>
        <item x="1854"/>
        <item x="2167"/>
        <item x="1483"/>
        <item x="1781"/>
        <item x="1657"/>
        <item x="881"/>
        <item x="805"/>
        <item x="870"/>
        <item x="1786"/>
        <item x="1375"/>
        <item x="2115"/>
        <item x="2020"/>
        <item x="2259"/>
        <item x="1794"/>
        <item x="2054"/>
        <item x="1671"/>
        <item x="1223"/>
        <item x="1376"/>
        <item x="1294"/>
        <item x="2053"/>
        <item x="1075"/>
        <item x="1074"/>
        <item x="1510"/>
        <item x="1582"/>
        <item x="451"/>
        <item x="1679"/>
        <item x="773"/>
        <item x="2351"/>
        <item x="778"/>
        <item x="2060"/>
        <item x="2206"/>
        <item x="1859"/>
        <item x="840"/>
        <item x="1974"/>
        <item x="2027"/>
        <item x="1987"/>
        <item x="1868"/>
        <item x="252"/>
        <item x="1210"/>
        <item x="514"/>
        <item x="1971"/>
        <item x="186"/>
        <item x="1594"/>
        <item x="2011"/>
        <item x="155"/>
        <item x="76"/>
        <item x="646"/>
        <item x="675"/>
        <item x="1208"/>
        <item x="1754"/>
        <item x="1464"/>
        <item x="172"/>
        <item x="854"/>
        <item x="744"/>
        <item x="2338"/>
        <item x="1475"/>
        <item x="955"/>
        <item x="2110"/>
        <item x="2156"/>
        <item x="493"/>
        <item x="1131"/>
        <item x="240"/>
        <item x="1234"/>
        <item x="1828"/>
        <item x="1417"/>
        <item x="1870"/>
        <item x="665"/>
        <item x="1461"/>
        <item x="1165"/>
        <item x="164"/>
        <item x="2293"/>
        <item x="836"/>
        <item x="660"/>
        <item x="1499"/>
        <item x="1245"/>
        <item x="751"/>
        <item x="625"/>
        <item x="1063"/>
        <item x="2288"/>
        <item x="2015"/>
        <item x="663"/>
        <item x="116"/>
        <item x="488"/>
        <item x="1765"/>
        <item x="2112"/>
        <item x="1278"/>
        <item x="342"/>
        <item x="2357"/>
        <item x="941"/>
        <item x="1894"/>
        <item x="2090"/>
        <item x="1562"/>
        <item x="806"/>
        <item x="1397"/>
        <item x="2189"/>
        <item x="1642"/>
        <item x="1086"/>
        <item x="196"/>
        <item x="1770"/>
        <item x="227"/>
        <item x="1105"/>
        <item x="898"/>
        <item x="379"/>
        <item x="640"/>
        <item x="34"/>
        <item x="1317"/>
        <item x="1285"/>
        <item x="1010"/>
        <item x="205"/>
        <item x="1430"/>
        <item x="911"/>
        <item x="574"/>
        <item x="189"/>
        <item x="1702"/>
        <item x="1560"/>
        <item x="21"/>
        <item x="1391"/>
        <item x="1366"/>
        <item x="1335"/>
        <item x="1112"/>
        <item x="1597"/>
        <item x="1213"/>
        <item x="807"/>
        <item x="2008"/>
        <item x="978"/>
        <item x="1641"/>
        <item x="1389"/>
        <item x="1175"/>
        <item x="666"/>
        <item x="1485"/>
        <item x="755"/>
        <item x="1219"/>
        <item x="1607"/>
        <item x="1829"/>
        <item x="2040"/>
        <item x="821"/>
        <item x="891"/>
        <item x="367"/>
        <item x="743"/>
        <item x="67"/>
        <item x="301"/>
        <item x="443"/>
        <item x="1905"/>
        <item x="2213"/>
        <item x="885"/>
        <item x="1256"/>
        <item x="833"/>
        <item x="1725"/>
        <item x="993"/>
        <item x="1837"/>
        <item x="2234"/>
        <item x="448"/>
        <item x="1388"/>
        <item x="1844"/>
        <item x="1318"/>
        <item x="465"/>
        <item x="214"/>
        <item x="1714"/>
        <item x="1749"/>
        <item x="1883"/>
        <item x="246"/>
        <item x="1172"/>
        <item x="2179"/>
        <item x="1891"/>
        <item x="1493"/>
        <item x="596"/>
        <item x="498"/>
        <item x="1202"/>
        <item x="2024"/>
        <item x="405"/>
        <item x="376"/>
        <item x="1626"/>
        <item x="2102"/>
        <item x="1496"/>
        <item x="523"/>
        <item x="1338"/>
        <item x="1589"/>
        <item x="1107"/>
        <item x="1396"/>
        <item x="817"/>
        <item x="1526"/>
        <item x="605"/>
        <item x="1542"/>
        <item x="229"/>
        <item x="409"/>
        <item x="415"/>
        <item x="2256"/>
        <item x="1480"/>
        <item x="1841"/>
        <item x="41"/>
        <item x="190"/>
        <item x="925"/>
        <item x="2147"/>
        <item x="2048"/>
        <item x="221"/>
        <item x="1263"/>
        <item x="2217"/>
        <item x="606"/>
        <item x="910"/>
        <item x="1858"/>
        <item x="849"/>
        <item x="281"/>
        <item x="7"/>
        <item x="1494"/>
        <item x="464"/>
        <item x="1349"/>
        <item x="2297"/>
        <item x="2052"/>
        <item x="913"/>
        <item x="1570"/>
        <item x="1503"/>
        <item x="83"/>
        <item x="848"/>
        <item x="1768"/>
        <item x="580"/>
        <item x="635"/>
        <item x="1148"/>
        <item x="1670"/>
        <item x="1315"/>
        <item x="985"/>
        <item x="515"/>
        <item x="2171"/>
        <item x="2349"/>
        <item x="1467"/>
        <item x="1031"/>
        <item x="110"/>
        <item x="423"/>
        <item x="175"/>
        <item x="168"/>
        <item x="1674"/>
        <item x="1906"/>
        <item x="1744"/>
        <item x="1161"/>
        <item x="427"/>
        <item x="207"/>
        <item x="1537"/>
        <item x="629"/>
        <item x="1556"/>
        <item x="2104"/>
        <item x="454"/>
        <item x="814"/>
        <item x="1504"/>
        <item x="1157"/>
        <item x="1784"/>
        <item x="1842"/>
        <item x="300"/>
        <item x="1044"/>
        <item x="1934"/>
        <item x="1152"/>
        <item x="899"/>
        <item x="1583"/>
        <item x="117"/>
        <item x="328"/>
        <item x="1772"/>
        <item x="1015"/>
        <item x="1327"/>
        <item x="1458"/>
        <item x="33"/>
        <item x="1288"/>
        <item x="95"/>
        <item x="1763"/>
        <item x="1282"/>
        <item x="341"/>
        <item x="1546"/>
        <item x="48"/>
        <item x="1550"/>
        <item x="209"/>
        <item x="1072"/>
        <item x="1293"/>
        <item x="1602"/>
        <item x="2113"/>
        <item x="87"/>
        <item x="598"/>
        <item x="1091"/>
        <item x="239"/>
        <item x="1423"/>
        <item x="1933"/>
        <item x="224"/>
        <item x="865"/>
        <item x="1406"/>
        <item x="543"/>
        <item x="2084"/>
        <item x="1603"/>
        <item x="218"/>
        <item x="1242"/>
        <item x="72"/>
        <item x="1463"/>
        <item x="1163"/>
        <item x="1336"/>
        <item x="1539"/>
        <item x="2334"/>
        <item x="583"/>
        <item x="1070"/>
        <item x="2281"/>
        <item x="1787"/>
        <item x="480"/>
        <item x="719"/>
        <item x="781"/>
        <item x="1557"/>
        <item x="169"/>
        <item x="2049"/>
        <item x="901"/>
        <item x="152"/>
        <item x="1926"/>
        <item x="2119"/>
        <item x="608"/>
        <item x="68"/>
        <item x="2250"/>
        <item x="587"/>
        <item x="1170"/>
        <item x="340"/>
        <item x="2257"/>
        <item x="238"/>
        <item x="1879"/>
        <item x="1543"/>
        <item x="700"/>
        <item x="1775"/>
        <item x="1065"/>
        <item x="1432"/>
        <item x="174"/>
        <item x="1478"/>
        <item x="122"/>
        <item x="863"/>
        <item x="1676"/>
        <item x="1884"/>
        <item x="2162"/>
        <item x="1818"/>
        <item x="105"/>
        <item x="24"/>
        <item x="23"/>
        <item x="452"/>
        <item x="638"/>
        <item x="578"/>
        <item x="581"/>
        <item x="609"/>
        <item x="556"/>
        <item x="1342"/>
        <item x="1576"/>
        <item x="1713"/>
        <item x="1043"/>
        <item x="358"/>
        <item x="1681"/>
        <item x="1068"/>
        <item x="460"/>
        <item x="2266"/>
        <item x="2078"/>
        <item x="295"/>
        <item x="2364"/>
        <item x="529"/>
        <item x="1516"/>
        <item x="852"/>
        <item x="612"/>
        <item x="283"/>
        <item x="1379"/>
        <item x="1871"/>
        <item x="1081"/>
        <item x="2370"/>
        <item x="475"/>
        <item x="288"/>
        <item x="1122"/>
        <item x="1658"/>
        <item x="81"/>
        <item x="1173"/>
        <item x="1990"/>
        <item x="321"/>
        <item x="1462"/>
        <item x="2253"/>
        <item x="256"/>
        <item x="417"/>
        <item x="528"/>
        <item x="2305"/>
        <item x="1757"/>
        <item x="2348"/>
        <item x="0"/>
        <item x="537"/>
        <item x="290"/>
        <item x="517"/>
        <item x="2196"/>
        <item x="26"/>
        <item x="928"/>
        <item x="713"/>
        <item x="44"/>
        <item x="462"/>
        <item x="1340"/>
        <item x="961"/>
        <item x="1740"/>
        <item x="2261"/>
        <item x="1497"/>
        <item x="1599"/>
        <item x="2182"/>
        <item x="36"/>
        <item x="845"/>
        <item x="1517"/>
        <item x="387"/>
        <item x="1678"/>
        <item x="1653"/>
        <item x="1683"/>
        <item x="1228"/>
        <item x="2337"/>
        <item x="1082"/>
        <item x="433"/>
        <item x="2093"/>
        <item x="2317"/>
        <item x="1060"/>
        <item x="1752"/>
        <item x="318"/>
        <item x="1160"/>
        <item x="622"/>
        <item x="1739"/>
        <item x="1303"/>
        <item x="184"/>
        <item x="2294"/>
        <item x="779"/>
        <item x="284"/>
        <item x="2287"/>
        <item x="1923"/>
        <item x="1876"/>
        <item x="1721"/>
        <item x="2255"/>
        <item x="1672"/>
        <item x="1457"/>
        <item x="1796"/>
        <item x="1918"/>
        <item x="1304"/>
        <item x="291"/>
        <item x="132"/>
        <item x="676"/>
        <item x="398"/>
        <item x="1137"/>
        <item x="84"/>
        <item x="1380"/>
        <item x="1426"/>
        <item x="1512"/>
        <item x="1812"/>
        <item x="450"/>
        <item x="687"/>
        <item x="1481"/>
        <item x="1880"/>
        <item x="1943"/>
        <item x="892"/>
        <item x="2232"/>
        <item x="1006"/>
        <item x="289"/>
        <item x="383"/>
        <item x="508"/>
        <item x="749"/>
        <item x="466"/>
        <item x="1272"/>
        <item x="902"/>
        <item x="937"/>
        <item x="1425"/>
        <item x="520"/>
        <item x="204"/>
        <item x="1240"/>
        <item x="1946"/>
        <item x="2166"/>
        <item x="2236"/>
        <item x="1632"/>
        <item x="594"/>
        <item x="2088"/>
        <item x="1621"/>
        <item x="1113"/>
        <item x="130"/>
        <item x="1779"/>
        <item x="1730"/>
        <item x="1747"/>
        <item x="1089"/>
        <item x="1028"/>
        <item x="871"/>
        <item x="388"/>
        <item x="1363"/>
        <item x="912"/>
        <item x="771"/>
        <item x="505"/>
        <item x="1824"/>
        <item x="1090"/>
        <item x="1257"/>
        <item x="1110"/>
        <item x="77"/>
        <item x="52"/>
        <item x="974"/>
        <item x="195"/>
        <item x="633"/>
        <item x="161"/>
        <item x="1311"/>
        <item x="470"/>
        <item x="1196"/>
        <item x="1866"/>
        <item x="2069"/>
        <item x="1742"/>
        <item x="589"/>
        <item x="320"/>
        <item x="397"/>
        <item x="1309"/>
        <item x="819"/>
        <item x="294"/>
        <item x="746"/>
        <item x="730"/>
        <item x="1394"/>
        <item x="799"/>
        <item x="716"/>
        <item x="1387"/>
        <item x="1100"/>
        <item x="13"/>
        <item x="1596"/>
        <item x="149"/>
        <item x="2097"/>
        <item x="158"/>
        <item x="522"/>
        <item x="1297"/>
        <item x="572"/>
        <item x="1071"/>
        <item x="382"/>
        <item x="1435"/>
        <item x="482"/>
        <item x="567"/>
        <item x="457"/>
        <item x="541"/>
        <item x="2187"/>
        <item x="794"/>
        <item x="1316"/>
        <item x="2201"/>
        <item x="1716"/>
        <item x="876"/>
        <item x="929"/>
        <item x="1845"/>
        <item x="525"/>
        <item x="973"/>
        <item x="604"/>
        <item x="1709"/>
        <item x="1843"/>
        <item x="705"/>
        <item x="639"/>
        <item x="42"/>
        <item x="1312"/>
        <item x="1447"/>
        <item x="964"/>
        <item x="2333"/>
        <item x="1916"/>
        <item x="1573"/>
        <item x="103"/>
        <item x="1535"/>
        <item x="582"/>
        <item x="989"/>
        <item x="233"/>
        <item x="1950"/>
        <item x="1719"/>
        <item x="2098"/>
        <item x="729"/>
        <item x="997"/>
        <item x="600"/>
        <item x="372"/>
        <item x="2286"/>
        <item x="844"/>
        <item x="1541"/>
        <item x="2148"/>
        <item x="1846"/>
        <item x="118"/>
        <item x="2004"/>
        <item x="931"/>
        <item x="887"/>
        <item x="725"/>
        <item x="1619"/>
        <item x="392"/>
        <item x="935"/>
        <item x="1825"/>
        <item x="1343"/>
        <item x="2324"/>
        <item x="908"/>
        <item x="678"/>
        <item x="2233"/>
        <item x="1407"/>
        <item x="632"/>
        <item x="858"/>
        <item x="2101"/>
        <item x="2262"/>
        <item x="727"/>
        <item x="1188"/>
        <item x="2136"/>
        <item x="1646"/>
        <item x="1814"/>
        <item x="2192"/>
        <item x="1656"/>
        <item x="293"/>
        <item x="996"/>
        <item x="2248"/>
        <item x="1265"/>
        <item x="1827"/>
        <item x="1534"/>
        <item x="1039"/>
        <item x="1270"/>
        <item x="903"/>
        <item x="1049"/>
        <item x="2160"/>
        <item x="1968"/>
        <item x="2220"/>
        <item x="659"/>
        <item x="88"/>
        <item x="920"/>
        <item x="2204"/>
        <item x="657"/>
        <item x="1930"/>
        <item x="1630"/>
        <item x="1133"/>
        <item x="544"/>
        <item x="1174"/>
        <item x="1650"/>
        <item x="1572"/>
        <item x="1633"/>
        <item x="2353"/>
        <item x="2094"/>
        <item x="1345"/>
        <item x="1902"/>
        <item x="2300"/>
        <item x="1531"/>
        <item x="2292"/>
        <item x="1180"/>
        <item x="1116"/>
        <item x="304"/>
        <item x="645"/>
        <item x="1995"/>
        <item x="916"/>
        <item x="285"/>
        <item x="185"/>
        <item x="524"/>
        <item x="1390"/>
        <item x="2031"/>
        <item x="1937"/>
        <item x="1221"/>
        <item x="276"/>
        <item x="1184"/>
        <item x="1470"/>
        <item x="2251"/>
        <item x="124"/>
        <item x="63"/>
        <item x="1622"/>
        <item x="2208"/>
        <item x="535"/>
        <item x="823"/>
        <item x="329"/>
        <item x="1915"/>
        <item x="1001"/>
        <item x="2191"/>
        <item x="156"/>
        <item x="1577"/>
        <item x="1738"/>
        <item x="2157"/>
        <item x="1455"/>
        <item x="1346"/>
        <item x="216"/>
        <item x="1088"/>
        <item x="332"/>
        <item x="432"/>
        <item x="1264"/>
        <item x="2358"/>
        <item x="1120"/>
        <item x="2144"/>
        <item x="1073"/>
        <item x="364"/>
        <item x="949"/>
        <item x="1244"/>
        <item x="1913"/>
        <item x="1691"/>
        <item x="540"/>
        <item x="1551"/>
        <item x="180"/>
        <item x="104"/>
        <item x="677"/>
        <item x="393"/>
        <item x="163"/>
        <item x="617"/>
        <item x="1022"/>
        <item x="355"/>
        <item x="1648"/>
        <item x="1978"/>
        <item x="982"/>
        <item x="2225"/>
        <item x="2332"/>
        <item x="775"/>
        <item x="643"/>
        <item x="1655"/>
        <item x="1108"/>
        <item x="511"/>
        <item x="1200"/>
        <item x="1101"/>
        <item x="1710"/>
        <item x="1664"/>
        <item x="1529"/>
        <item x="1981"/>
        <item x="1592"/>
        <item x="1018"/>
        <item x="1314"/>
        <item x="1689"/>
        <item x="162"/>
        <item x="654"/>
        <item x="1850"/>
        <item x="1358"/>
        <item x="1142"/>
        <item x="1411"/>
        <item x="296"/>
        <item x="2202"/>
        <item x="1964"/>
        <item x="938"/>
        <item x="2301"/>
        <item x="1159"/>
        <item x="1697"/>
        <item x="402"/>
        <item x="1096"/>
        <item x="375"/>
        <item x="1892"/>
        <item x="2278"/>
        <item x="2085"/>
        <item x="697"/>
        <item x="769"/>
        <item x="1052"/>
        <item x="1746"/>
        <item x="951"/>
        <item x="634"/>
        <item x="1329"/>
        <item x="57"/>
        <item x="1274"/>
        <item x="1167"/>
        <item x="1328"/>
        <item x="1530"/>
        <item x="2211"/>
        <item x="1395"/>
        <item x="2123"/>
        <item x="2258"/>
        <item x="509"/>
        <item x="717"/>
        <item x="1821"/>
        <item x="2132"/>
        <item x="1986"/>
        <item x="1476"/>
        <item x="838"/>
        <item x="636"/>
        <item x="927"/>
        <item x="396"/>
        <item x="1638"/>
        <item x="1654"/>
        <item x="917"/>
        <item x="1434"/>
        <item x="748"/>
        <item x="37"/>
        <item x="1386"/>
        <item x="896"/>
        <item x="1875"/>
        <item x="2046"/>
        <item x="2326"/>
        <item x="1600"/>
        <item x="538"/>
        <item x="690"/>
        <item x="1992"/>
        <item x="1927"/>
        <item x="1479"/>
        <item x="1800"/>
        <item x="2077"/>
        <item x="336"/>
        <item x="816"/>
        <item x="886"/>
        <item x="2125"/>
        <item x="2117"/>
        <item x="1967"/>
        <item x="1442"/>
        <item x="308"/>
        <item x="1279"/>
        <item x="1058"/>
        <item x="2308"/>
        <item x="1959"/>
        <item x="1364"/>
        <item x="1587"/>
        <item x="2092"/>
        <item x="64"/>
        <item x="357"/>
        <item x="815"/>
        <item x="2328"/>
        <item x="2181"/>
        <item x="2260"/>
        <item x="1239"/>
        <item x="1287"/>
        <item x="909"/>
        <item x="1532"/>
        <item x="231"/>
        <item x="932"/>
        <item x="202"/>
        <item x="8"/>
        <item x="1127"/>
        <item x="2273"/>
        <item x="1690"/>
        <item x="1644"/>
        <item x="230"/>
        <item x="235"/>
        <item x="980"/>
        <item x="2183"/>
        <item x="99"/>
        <item x="2277"/>
        <item x="2228"/>
        <item x="518"/>
        <item x="1502"/>
        <item x="2099"/>
        <item x="1935"/>
        <item x="558"/>
        <item x="2016"/>
        <item x="552"/>
        <item x="1474"/>
        <item x="487"/>
        <item x="504"/>
        <item x="1347"/>
        <item x="1289"/>
        <item x="597"/>
        <item x="131"/>
        <item x="1887"/>
        <item x="1299"/>
        <item x="213"/>
        <item x="1731"/>
        <item x="1954"/>
        <item x="829"/>
        <item x="2068"/>
        <item x="802"/>
        <item x="20"/>
        <item x="2360"/>
        <item x="1057"/>
        <item x="1154"/>
        <item x="1663"/>
        <item x="1237"/>
        <item x="2001"/>
        <item x="297"/>
        <item x="1707"/>
        <item x="1963"/>
        <item x="58"/>
        <item x="2170"/>
        <item x="2222"/>
        <item x="484"/>
        <item x="253"/>
        <item x="2051"/>
        <item x="309"/>
        <item x="930"/>
        <item x="226"/>
        <item x="65"/>
        <item x="2081"/>
        <item x="2241"/>
        <item x="1789"/>
        <item x="1273"/>
        <item x="798"/>
        <item x="325"/>
        <item x="1862"/>
        <item x="756"/>
        <item x="368"/>
        <item x="2"/>
        <item x="2026"/>
        <item x="500"/>
        <item x="50"/>
        <item x="1982"/>
        <item x="2374"/>
        <item x="1326"/>
        <item x="711"/>
        <item x="642"/>
        <item x="71"/>
        <item x="1662"/>
        <item x="579"/>
        <item x="232"/>
        <item x="1454"/>
        <item x="1585"/>
        <item x="1162"/>
        <item x="1893"/>
        <item x="1095"/>
        <item x="637"/>
        <item x="1403"/>
        <item x="1092"/>
        <item x="2173"/>
        <item x="691"/>
        <item x="1114"/>
        <item x="2275"/>
        <item x="1145"/>
        <item x="2124"/>
        <item x="412"/>
        <item x="1957"/>
        <item x="1255"/>
        <item x="2072"/>
        <item x="1178"/>
        <item x="2017"/>
        <item x="2087"/>
        <item x="788"/>
        <item x="1864"/>
        <item x="926"/>
        <item x="2320"/>
        <item x="2313"/>
        <item x="1000"/>
        <item x="1564"/>
        <item x="1832"/>
        <item x="906"/>
        <item x="25"/>
        <item x="1979"/>
        <item x="1484"/>
        <item x="6"/>
        <item x="2218"/>
        <item x="1682"/>
        <item x="1701"/>
        <item x="1296"/>
        <item x="335"/>
        <item x="1321"/>
        <item x="1949"/>
        <item x="75"/>
        <item x="728"/>
        <item x="1917"/>
        <item x="1401"/>
        <item x="2243"/>
        <item x="2264"/>
        <item x="1144"/>
        <item x="1972"/>
        <item x="1302"/>
        <item x="1527"/>
        <item x="590"/>
        <item x="1290"/>
        <item x="438"/>
        <item x="2118"/>
        <item x="2140"/>
        <item x="1448"/>
        <item x="1847"/>
        <item x="2327"/>
        <item x="2209"/>
        <item x="761"/>
        <item x="880"/>
        <item x="607"/>
        <item x="2329"/>
        <item x="1301"/>
        <item x="1801"/>
        <item x="2296"/>
        <item x="381"/>
        <item x="1384"/>
        <item x="1962"/>
        <item x="2165"/>
        <item x="463"/>
        <item x="2002"/>
        <item x="546"/>
        <item x="841"/>
        <item x="2323"/>
        <item x="2056"/>
        <item x="682"/>
        <item x="1078"/>
        <item x="459"/>
        <item x="1723"/>
        <item x="356"/>
        <item x="905"/>
        <item x="1452"/>
        <item x="2279"/>
        <item x="2267"/>
        <item x="2161"/>
        <item x="624"/>
        <item x="623"/>
        <item x="2205"/>
        <item x="777"/>
        <item x="1636"/>
        <item x="1064"/>
        <item x="1559"/>
        <item x="946"/>
        <item x="1652"/>
        <item x="2363"/>
        <item x="1624"/>
        <item x="2270"/>
        <item x="1199"/>
        <item x="1776"/>
        <item x="653"/>
        <item x="1083"/>
        <item x="420"/>
        <item x="1275"/>
        <item x="2306"/>
        <item x="2067"/>
        <item x="2073"/>
        <item x="1639"/>
        <item x="2199"/>
        <item x="883"/>
        <item x="1545"/>
        <item x="2186"/>
        <item x="2230"/>
        <item x="2198"/>
        <item x="936"/>
        <item x="146"/>
        <item x="1186"/>
        <item x="1660"/>
        <item x="532"/>
        <item x="1890"/>
        <item x="2310"/>
        <item x="837"/>
        <item x="766"/>
        <item x="2263"/>
        <item x="2106"/>
        <item x="948"/>
        <item x="1443"/>
        <item x="1732"/>
        <item x="1292"/>
        <item x="474"/>
        <item x="59"/>
        <item x="1331"/>
        <item x="1119"/>
        <item x="1909"/>
        <item x="434"/>
        <item x="486"/>
        <item x="1840"/>
        <item x="201"/>
        <item x="944"/>
        <item x="418"/>
        <item x="1788"/>
        <item x="278"/>
        <item x="455"/>
        <item x="1420"/>
        <item x="970"/>
        <item x="2159"/>
        <item x="1169"/>
        <item x="1898"/>
        <item x="2172"/>
        <item x="1970"/>
        <item x="1579"/>
        <item x="1339"/>
        <item x="1220"/>
        <item x="244"/>
        <item x="1032"/>
        <item x="1991"/>
        <item x="10"/>
        <item x="701"/>
        <item x="1067"/>
        <item x="1026"/>
        <item x="97"/>
        <item x="1365"/>
        <item x="384"/>
        <item x="1998"/>
        <item x="1298"/>
        <item x="1760"/>
        <item x="1099"/>
        <item x="135"/>
        <item x="736"/>
        <item x="1790"/>
        <item x="478"/>
        <item x="265"/>
        <item x="1126"/>
        <item x="1124"/>
        <item x="526"/>
        <item x="991"/>
        <item x="200"/>
        <item x="851"/>
        <item x="413"/>
        <item x="808"/>
        <item x="1216"/>
        <item x="753"/>
        <item x="1047"/>
        <item x="947"/>
        <item x="1306"/>
        <item x="616"/>
        <item x="1767"/>
        <item x="1693"/>
        <item x="1706"/>
        <item x="198"/>
        <item x="2149"/>
        <item x="1491"/>
        <item x="1953"/>
        <item x="1777"/>
        <item x="1322"/>
        <item x="497"/>
        <item x="160"/>
        <item x="2212"/>
        <item x="123"/>
        <item x="12"/>
        <item x="16"/>
        <item x="2135"/>
        <item x="1952"/>
        <item x="140"/>
        <item x="91"/>
        <item x="1324"/>
        <item x="416"/>
        <item x="2129"/>
        <item x="739"/>
        <item x="888"/>
        <item x="685"/>
        <item x="879"/>
        <item x="345"/>
        <item x="1439"/>
        <item x="271"/>
        <item x="2042"/>
        <item x="1227"/>
        <item x="2210"/>
        <item x="1003"/>
        <item x="1215"/>
        <item x="330"/>
        <item x="1612"/>
        <item x="780"/>
        <item x="2247"/>
        <item x="241"/>
        <item x="1351"/>
        <item x="481"/>
        <item x="2361"/>
        <item x="1513"/>
        <item x="1486"/>
        <item x="2058"/>
        <item x="714"/>
        <item x="877"/>
        <item x="763"/>
        <item x="1637"/>
        <item x="273"/>
        <item x="1262"/>
        <item x="1976"/>
        <item x="1456"/>
        <item x="1942"/>
        <item x="986"/>
        <item x="2345"/>
        <item x="1748"/>
        <item x="593"/>
        <item x="874"/>
        <item x="2315"/>
        <item x="536"/>
        <item x="2343"/>
        <item x="1566"/>
        <item x="102"/>
        <item x="2303"/>
        <item x="2367"/>
        <item x="1034"/>
        <item x="377"/>
        <item x="1904"/>
        <item x="651"/>
        <item x="257"/>
        <item x="1647"/>
        <item x="2014"/>
        <item x="1059"/>
        <item x="1571"/>
        <item x="709"/>
        <item x="1598"/>
        <item x="410"/>
        <item x="1115"/>
        <item x="1450"/>
        <item x="157"/>
        <item x="1436"/>
        <item x="324"/>
        <item x="115"/>
        <item x="1424"/>
        <item x="2034"/>
        <item x="385"/>
        <item x="2164"/>
        <item x="1477"/>
        <item x="768"/>
        <item x="2340"/>
        <item x="54"/>
        <item x="983"/>
        <item x="2163"/>
        <item x="2237"/>
        <item x="141"/>
        <item x="1247"/>
        <item x="1501"/>
        <item x="1983"/>
        <item x="2284"/>
        <item x="373"/>
        <item x="576"/>
        <item x="1753"/>
        <item x="250"/>
        <item x="785"/>
        <item x="1852"/>
        <item x="939"/>
        <item x="1164"/>
        <item x="1751"/>
        <item x="720"/>
        <item x="1667"/>
        <item x="866"/>
        <item x="1250"/>
        <item x="545"/>
        <item x="692"/>
        <item x="1261"/>
        <item x="1509"/>
        <item x="2249"/>
        <item x="1205"/>
        <item x="1975"/>
        <item x="1795"/>
        <item x="1955"/>
        <item x="40"/>
        <item x="1149"/>
        <item x="2111"/>
        <item x="2154"/>
        <item x="170"/>
        <item x="1248"/>
        <item x="2141"/>
        <item x="1684"/>
        <item x="1040"/>
        <item x="98"/>
        <item x="1834"/>
        <item x="1727"/>
        <item x="1392"/>
        <item x="1444"/>
        <item x="759"/>
        <item x="1367"/>
        <item x="1377"/>
        <item x="496"/>
        <item x="215"/>
        <item x="1910"/>
        <item x="618"/>
        <item x="1881"/>
        <item x="847"/>
        <item x="1960"/>
        <item x="512"/>
        <item x="312"/>
        <item x="1523"/>
        <item x="446"/>
        <item x="1645"/>
        <item x="2180"/>
        <item x="702"/>
        <item x="1685"/>
        <item x="2065"/>
        <item x="1259"/>
        <item x="1820"/>
        <item x="921"/>
        <item x="1878"/>
        <item x="1150"/>
        <item x="647"/>
        <item x="485"/>
        <item x="1267"/>
        <item x="225"/>
        <item x="918"/>
        <item x="1565"/>
        <item x="1438"/>
        <item x="1009"/>
        <item x="1042"/>
        <item x="733"/>
        <item x="995"/>
        <item x="1268"/>
        <item x="2066"/>
        <item x="1588"/>
        <item x="1104"/>
        <item x="366"/>
        <item x="1896"/>
        <item x="2373"/>
        <item x="811"/>
        <item x="2368"/>
        <item x="869"/>
        <item x="940"/>
        <item x="1357"/>
        <item x="1472"/>
        <item x="1567"/>
        <item x="1355"/>
        <item x="1911"/>
        <item x="422"/>
        <item x="2366"/>
        <item x="145"/>
        <item x="2231"/>
        <item x="1286"/>
        <item x="758"/>
        <item x="254"/>
        <item x="1337"/>
        <item x="2158"/>
        <item x="987"/>
        <item x="1578"/>
        <item x="1831"/>
        <item x="275"/>
        <item x="151"/>
        <item x="1696"/>
        <item x="1835"/>
        <item x="1808"/>
        <item x="352"/>
        <item x="1252"/>
        <item x="1929"/>
        <item x="32"/>
        <item x="988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4"/>
    <dataField name="Sum of Profit %" fld="7" baseField="0" baseItem="0" numFmtId="164"/>
  </dataFields>
  <chartFormats count="2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AF753-331D-483E-81BB-C0FE502436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7:I12" firstHeaderRow="1" firstDataRow="1" firstDataCol="1"/>
  <pivotFields count="11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</pivotField>
    <pivotField showAll="0"/>
    <pivotField numFmtId="164" showAll="0"/>
    <pivotField dataField="1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7668F-47D8-4C0A-8125-09801621B2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:E14" firstHeaderRow="1" firstDataRow="5" firstDataCol="1"/>
  <pivotFields count="11">
    <pivotField axis="axisCol"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numFmtId="164" showAll="0"/>
    <pivotField showAll="0"/>
    <pivotField numFmtId="164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h="1" sd="0" x="0"/>
        <item sd="0" x="1"/>
        <item sd="0" x="2"/>
        <item sd="0" x="3"/>
        <item h="1" sd="0" x="4"/>
        <item sd="0" x="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4">
    <field x="10"/>
    <field x="9"/>
    <field x="8"/>
    <field x="0"/>
  </colFields>
  <colItems count="4">
    <i>
      <x v="1"/>
    </i>
    <i>
      <x v="2"/>
    </i>
    <i>
      <x v="3"/>
    </i>
    <i t="grand">
      <x/>
    </i>
  </colItems>
  <dataFields count="1">
    <dataField name="Sum of Sales" fld="5" baseField="0" baseItem="0" numFmtId="16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3BF6D-490B-454B-A28C-534C94C33597}" name="Table1" displayName="Table1" ref="A1:I3501" totalsRowShown="0">
  <autoFilter ref="A1:I3501" xr:uid="{4603BF6D-490B-454B-A28C-534C94C33597}"/>
  <tableColumns count="9">
    <tableColumn id="1" xr3:uid="{6178967E-83FC-46B0-A839-CE04C1FE439D}" name="Order Date" dataDxfId="6"/>
    <tableColumn id="2" xr3:uid="{B85AB6A6-6700-4B81-9801-67DDE076E223}" name="Product Name"/>
    <tableColumn id="3" xr3:uid="{58387784-76B1-480A-8396-347E6B0C8910}" name="Category"/>
    <tableColumn id="4" xr3:uid="{74537FED-0D61-42FA-9AD4-95AC23C75052}" name="Region"/>
    <tableColumn id="5" xr3:uid="{A032042F-C21C-42EC-8642-83FF2A8555DF}" name="Quantity"/>
    <tableColumn id="6" xr3:uid="{DF6737AB-EE4E-40DE-8545-167FD309283D}" name="Sales" dataDxfId="5"/>
    <tableColumn id="7" xr3:uid="{6DCD16D3-BD26-4947-8F73-E61BA70EA1A9}" name="Profit" dataDxfId="4"/>
    <tableColumn id="8" xr3:uid="{0B8A0A6F-856E-40F4-83A1-D2D41EB10BEE}" name="Profit %" dataDxfId="3">
      <calculatedColumnFormula>Table1[[#This Row],[Profit]]/Table1[[#This Row],[Sales]]*100</calculatedColumnFormula>
    </tableColumn>
    <tableColumn id="9" xr3:uid="{0464881A-2E3F-407A-9504-C7B7497A5886}" name="Profit Status" dataDxfId="2">
      <calculatedColumnFormula>IF(Table1[[#This Row],[Profit %]]&gt;20,"Excellent",IF(H2&gt;10.1,"Good","Low"))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2A73-BC3F-492B-A694-762744FBA2C4}">
  <dimension ref="A2:Q19"/>
  <sheetViews>
    <sheetView tabSelected="1" workbookViewId="0">
      <selection activeCell="H2" sqref="H2:K2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13.109375" bestFit="1" customWidth="1"/>
    <col min="5" max="5" width="14.6640625" bestFit="1" customWidth="1"/>
    <col min="6" max="6" width="15.5546875" bestFit="1" customWidth="1"/>
    <col min="7" max="8" width="12.44140625" bestFit="1" customWidth="1"/>
    <col min="9" max="9" width="11.5546875" bestFit="1" customWidth="1"/>
    <col min="10" max="11" width="13.109375" bestFit="1" customWidth="1"/>
    <col min="12" max="12" width="14.6640625" bestFit="1" customWidth="1"/>
    <col min="13" max="13" width="14.21875" bestFit="1" customWidth="1"/>
    <col min="14" max="14" width="13.109375" bestFit="1" customWidth="1"/>
    <col min="15" max="15" width="12.44140625" bestFit="1" customWidth="1"/>
    <col min="16" max="16" width="14.6640625" bestFit="1" customWidth="1"/>
    <col min="17" max="17" width="13.5546875" bestFit="1" customWidth="1"/>
    <col min="18" max="31" width="6.88671875" bestFit="1" customWidth="1"/>
    <col min="32" max="525" width="7.88671875" bestFit="1" customWidth="1"/>
    <col min="526" max="2371" width="9.44140625" bestFit="1" customWidth="1"/>
    <col min="2372" max="2392" width="10.44140625" bestFit="1" customWidth="1"/>
    <col min="2393" max="2393" width="10.5546875" bestFit="1" customWidth="1"/>
  </cols>
  <sheetData>
    <row r="2" spans="1:17" x14ac:dyDescent="0.3">
      <c r="H2" s="13"/>
      <c r="I2" s="13"/>
      <c r="J2" s="13"/>
      <c r="K2" s="13"/>
    </row>
    <row r="4" spans="1:17" ht="18" x14ac:dyDescent="0.35">
      <c r="A4" s="12" t="s">
        <v>41</v>
      </c>
      <c r="B4" s="12"/>
      <c r="C4" s="12"/>
      <c r="D4" s="12"/>
      <c r="E4" s="12"/>
    </row>
    <row r="5" spans="1:17" ht="18" x14ac:dyDescent="0.35">
      <c r="H5" s="12" t="s">
        <v>40</v>
      </c>
      <c r="I5" s="12"/>
      <c r="J5" s="12"/>
      <c r="K5" s="12"/>
      <c r="O5" s="12" t="s">
        <v>43</v>
      </c>
      <c r="P5" s="12"/>
      <c r="Q5" s="12"/>
    </row>
    <row r="6" spans="1:17" x14ac:dyDescent="0.3">
      <c r="A6" s="9" t="s">
        <v>36</v>
      </c>
      <c r="B6" s="9" t="s">
        <v>31</v>
      </c>
      <c r="F6" s="11"/>
    </row>
    <row r="7" spans="1:17" x14ac:dyDescent="0.3">
      <c r="B7" t="s">
        <v>33</v>
      </c>
      <c r="C7" t="s">
        <v>34</v>
      </c>
      <c r="D7" t="s">
        <v>35</v>
      </c>
      <c r="E7" t="s">
        <v>32</v>
      </c>
      <c r="H7" s="9" t="s">
        <v>37</v>
      </c>
      <c r="I7" t="s">
        <v>38</v>
      </c>
    </row>
    <row r="8" spans="1:17" x14ac:dyDescent="0.3">
      <c r="H8" s="10" t="s">
        <v>16</v>
      </c>
      <c r="I8">
        <v>495358.72999999917</v>
      </c>
      <c r="O8" s="9" t="s">
        <v>37</v>
      </c>
      <c r="P8" t="s">
        <v>36</v>
      </c>
      <c r="Q8" t="s">
        <v>42</v>
      </c>
    </row>
    <row r="9" spans="1:17" x14ac:dyDescent="0.3">
      <c r="H9" s="10" t="s">
        <v>15</v>
      </c>
      <c r="I9">
        <v>458103.27000000008</v>
      </c>
      <c r="O9" s="10" t="s">
        <v>17</v>
      </c>
      <c r="P9" s="2">
        <v>1177381</v>
      </c>
      <c r="Q9" s="2">
        <v>64.678408420871122</v>
      </c>
    </row>
    <row r="10" spans="1:17" x14ac:dyDescent="0.3">
      <c r="A10" s="9" t="s">
        <v>37</v>
      </c>
      <c r="H10" s="10" t="s">
        <v>9</v>
      </c>
      <c r="I10">
        <v>426314.74999999924</v>
      </c>
      <c r="O10" s="10" t="s">
        <v>18</v>
      </c>
      <c r="P10" s="2">
        <v>988638</v>
      </c>
      <c r="Q10" s="2">
        <v>59.214721326984218</v>
      </c>
    </row>
    <row r="11" spans="1:17" x14ac:dyDescent="0.3">
      <c r="A11" s="10" t="s">
        <v>11</v>
      </c>
      <c r="B11" s="2">
        <v>1329731</v>
      </c>
      <c r="C11" s="2">
        <v>1495723</v>
      </c>
      <c r="D11" s="2">
        <v>1422137</v>
      </c>
      <c r="E11" s="2">
        <v>4247591</v>
      </c>
      <c r="H11" s="10" t="s">
        <v>12</v>
      </c>
      <c r="I11">
        <v>464888.46</v>
      </c>
      <c r="O11" s="10" t="s">
        <v>22</v>
      </c>
      <c r="P11" s="2">
        <v>1024507</v>
      </c>
      <c r="Q11" s="2">
        <v>60.415149453242172</v>
      </c>
    </row>
    <row r="12" spans="1:17" x14ac:dyDescent="0.3">
      <c r="A12" s="10" t="s">
        <v>14</v>
      </c>
      <c r="B12" s="2">
        <v>1616149</v>
      </c>
      <c r="C12" s="2">
        <v>1881367</v>
      </c>
      <c r="D12" s="2">
        <v>1828558</v>
      </c>
      <c r="E12" s="2">
        <v>5326074</v>
      </c>
      <c r="H12" s="10" t="s">
        <v>32</v>
      </c>
      <c r="I12">
        <v>1844665.2099999986</v>
      </c>
      <c r="O12" s="10" t="s">
        <v>23</v>
      </c>
      <c r="P12" s="2">
        <v>1005873</v>
      </c>
      <c r="Q12" s="2">
        <v>59.5766284078816</v>
      </c>
    </row>
    <row r="13" spans="1:17" x14ac:dyDescent="0.3">
      <c r="A13" s="10" t="s">
        <v>8</v>
      </c>
      <c r="B13" s="2">
        <v>310090</v>
      </c>
      <c r="C13" s="2">
        <v>409502</v>
      </c>
      <c r="D13" s="2">
        <v>374624</v>
      </c>
      <c r="E13" s="2">
        <v>1094216</v>
      </c>
      <c r="O13" s="10" t="s">
        <v>20</v>
      </c>
      <c r="P13" s="2">
        <v>1160048</v>
      </c>
      <c r="Q13" s="2">
        <v>63.074310940722079</v>
      </c>
    </row>
    <row r="14" spans="1:17" x14ac:dyDescent="0.3">
      <c r="A14" s="10" t="s">
        <v>32</v>
      </c>
      <c r="B14" s="2">
        <v>3255970</v>
      </c>
      <c r="C14" s="2">
        <v>3786592</v>
      </c>
      <c r="D14" s="2">
        <v>3625319</v>
      </c>
      <c r="E14" s="2">
        <v>10667881</v>
      </c>
      <c r="O14" s="10" t="s">
        <v>10</v>
      </c>
      <c r="P14" s="2">
        <v>1074398</v>
      </c>
      <c r="Q14" s="2">
        <v>60.134980528530818</v>
      </c>
    </row>
    <row r="15" spans="1:17" x14ac:dyDescent="0.3">
      <c r="O15" s="10" t="s">
        <v>7</v>
      </c>
      <c r="P15" s="2">
        <v>1094216</v>
      </c>
      <c r="Q15" s="2">
        <v>61.703418890471475</v>
      </c>
    </row>
    <row r="16" spans="1:17" x14ac:dyDescent="0.3">
      <c r="O16" s="10" t="s">
        <v>21</v>
      </c>
      <c r="P16" s="2">
        <v>1069681</v>
      </c>
      <c r="Q16" s="2">
        <v>56.726750422128738</v>
      </c>
    </row>
    <row r="17" spans="15:17" x14ac:dyDescent="0.3">
      <c r="O17" s="10" t="s">
        <v>19</v>
      </c>
      <c r="P17" s="2">
        <v>1049211</v>
      </c>
      <c r="Q17" s="2">
        <v>62.990468902903764</v>
      </c>
    </row>
    <row r="18" spans="15:17" x14ac:dyDescent="0.3">
      <c r="O18" s="10" t="s">
        <v>13</v>
      </c>
      <c r="P18" s="2">
        <v>1023928</v>
      </c>
      <c r="Q18" s="2">
        <v>59.432332853343603</v>
      </c>
    </row>
    <row r="19" spans="15:17" x14ac:dyDescent="0.3">
      <c r="O19" s="10" t="s">
        <v>32</v>
      </c>
      <c r="P19" s="2">
        <v>10667881</v>
      </c>
      <c r="Q19" s="2">
        <v>607.94717014707965</v>
      </c>
    </row>
  </sheetData>
  <mergeCells count="4">
    <mergeCell ref="H5:K5"/>
    <mergeCell ref="A4:E4"/>
    <mergeCell ref="O5:Q5"/>
    <mergeCell ref="H2:K2"/>
  </mergeCell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208C-C749-4A0C-B5A9-C1B105E81171}">
  <dimension ref="A1:Z3501"/>
  <sheetViews>
    <sheetView topLeftCell="H7" workbookViewId="0">
      <selection activeCell="Q21" sqref="Q21:V21"/>
    </sheetView>
  </sheetViews>
  <sheetFormatPr defaultRowHeight="14.4" x14ac:dyDescent="0.3"/>
  <cols>
    <col min="1" max="1" width="16.33203125" customWidth="1"/>
    <col min="2" max="2" width="22.88671875" customWidth="1"/>
    <col min="3" max="3" width="20.77734375" customWidth="1"/>
    <col min="4" max="4" width="14.88671875" customWidth="1"/>
    <col min="5" max="5" width="13" customWidth="1"/>
    <col min="6" max="6" width="14.5546875" customWidth="1"/>
    <col min="7" max="7" width="18.109375" customWidth="1"/>
    <col min="8" max="8" width="16.109375" customWidth="1"/>
    <col min="9" max="9" width="14.5546875" customWidth="1"/>
    <col min="11" max="11" width="22.109375" customWidth="1"/>
    <col min="12" max="12" width="29.6640625" customWidth="1"/>
    <col min="13" max="13" width="13.5546875" bestFit="1" customWidth="1"/>
    <col min="22" max="22" width="14.44140625" customWidth="1"/>
    <col min="26" max="26" width="13.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39</v>
      </c>
    </row>
    <row r="2" spans="1:26" ht="18" x14ac:dyDescent="0.35">
      <c r="A2" s="1">
        <v>45657</v>
      </c>
      <c r="B2" t="s">
        <v>7</v>
      </c>
      <c r="C2" t="s">
        <v>8</v>
      </c>
      <c r="D2" t="s">
        <v>9</v>
      </c>
      <c r="E2">
        <v>4</v>
      </c>
      <c r="F2" s="2">
        <v>3640</v>
      </c>
      <c r="G2">
        <v>348.93</v>
      </c>
      <c r="H2" s="2">
        <f>Table1[[#This Row],[Profit]]/Table1[[#This Row],[Sales]]*100</f>
        <v>9.585989010989012</v>
      </c>
      <c r="I2" t="str">
        <f>IF(Table1[[#This Row],[Profit %]]&gt;20,"Excellent",IF(H2&gt;10.1,"Good","Low"))</f>
        <v>Low</v>
      </c>
      <c r="K2" s="17" t="s">
        <v>47</v>
      </c>
      <c r="L2" s="17"/>
    </row>
    <row r="3" spans="1:26" ht="18" x14ac:dyDescent="0.35">
      <c r="A3" s="1">
        <v>44892</v>
      </c>
      <c r="B3" t="s">
        <v>10</v>
      </c>
      <c r="C3" t="s">
        <v>11</v>
      </c>
      <c r="D3" t="s">
        <v>12</v>
      </c>
      <c r="E3">
        <v>7</v>
      </c>
      <c r="F3" s="2">
        <v>1197</v>
      </c>
      <c r="G3">
        <v>106.53</v>
      </c>
      <c r="H3" s="2">
        <f>Table1[[#This Row],[Profit]]/Table1[[#This Row],[Sales]]*100</f>
        <v>8.8997493734335844</v>
      </c>
      <c r="I3" t="str">
        <f>IF(Table1[[#This Row],[Profit %]]&gt;20,"Excellent",IF(H3&gt;10.1,"Good","Low"))</f>
        <v>Low</v>
      </c>
      <c r="P3" s="14" t="s">
        <v>48</v>
      </c>
      <c r="Q3" s="14"/>
      <c r="R3" s="14"/>
      <c r="S3" s="14"/>
      <c r="T3" s="14"/>
      <c r="U3" s="14"/>
      <c r="V3" s="14"/>
      <c r="W3" s="14"/>
      <c r="X3" s="14"/>
      <c r="Y3" s="14"/>
    </row>
    <row r="4" spans="1:26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 s="2">
        <v>5865</v>
      </c>
      <c r="G4">
        <v>502.73</v>
      </c>
      <c r="H4" s="2">
        <f>Table1[[#This Row],[Profit]]/Table1[[#This Row],[Sales]]*100</f>
        <v>8.5716965046888323</v>
      </c>
      <c r="I4" t="str">
        <f>IF(Table1[[#This Row],[Profit %]]&gt;20,"Excellent",IF(H4&gt;10.1,"Good","Low"))</f>
        <v>Low</v>
      </c>
    </row>
    <row r="5" spans="1:26" ht="18" x14ac:dyDescent="0.35">
      <c r="A5" s="1">
        <v>45367</v>
      </c>
      <c r="B5" t="s">
        <v>10</v>
      </c>
      <c r="C5" t="s">
        <v>11</v>
      </c>
      <c r="D5" t="s">
        <v>15</v>
      </c>
      <c r="E5">
        <v>2</v>
      </c>
      <c r="F5" s="2">
        <v>786</v>
      </c>
      <c r="G5">
        <v>202.87</v>
      </c>
      <c r="H5" s="2">
        <f>Table1[[#This Row],[Profit]]/Table1[[#This Row],[Sales]]*100</f>
        <v>25.810432569974555</v>
      </c>
      <c r="I5" t="str">
        <f>IF(Table1[[#This Row],[Profit %]]&gt;20,"Excellent",IF(H5&gt;10.1,"Good","Low"))</f>
        <v>Excellent</v>
      </c>
      <c r="L5" s="5" t="s">
        <v>24</v>
      </c>
      <c r="M5" s="6">
        <v>44562</v>
      </c>
      <c r="Q5" s="14" t="s">
        <v>44</v>
      </c>
      <c r="R5" s="14"/>
      <c r="S5" s="14"/>
      <c r="T5" s="14"/>
      <c r="U5" s="14"/>
      <c r="V5" s="14"/>
    </row>
    <row r="6" spans="1:26" ht="18" x14ac:dyDescent="0.35">
      <c r="A6" s="1">
        <v>44814</v>
      </c>
      <c r="B6" t="s">
        <v>10</v>
      </c>
      <c r="C6" t="s">
        <v>11</v>
      </c>
      <c r="D6" t="s">
        <v>16</v>
      </c>
      <c r="E6">
        <v>1</v>
      </c>
      <c r="F6" s="2">
        <v>509</v>
      </c>
      <c r="G6">
        <v>103.28</v>
      </c>
      <c r="H6" s="2">
        <f>Table1[[#This Row],[Profit]]/Table1[[#This Row],[Sales]]*100</f>
        <v>20.290766208251473</v>
      </c>
      <c r="I6" t="str">
        <f>IF(Table1[[#This Row],[Profit %]]&gt;20,"Excellent",IF(H6&gt;10.1,"Good","Low"))</f>
        <v>Excellent</v>
      </c>
      <c r="L6" s="5" t="s">
        <v>25</v>
      </c>
      <c r="M6" s="6">
        <v>45657</v>
      </c>
    </row>
    <row r="7" spans="1:26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 s="2">
        <v>524</v>
      </c>
      <c r="G7">
        <v>106.35</v>
      </c>
      <c r="H7" s="2">
        <f>Table1[[#This Row],[Profit]]/Table1[[#This Row],[Sales]]*100</f>
        <v>20.295801526717554</v>
      </c>
      <c r="I7" t="str">
        <f>IF(Table1[[#This Row],[Profit %]]&gt;20,"Excellent",IF(H7&gt;10.1,"Good","Low"))</f>
        <v>Excellent</v>
      </c>
    </row>
    <row r="8" spans="1:26" ht="15.6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 s="2">
        <v>6167</v>
      </c>
      <c r="G8">
        <v>1027.98</v>
      </c>
      <c r="H8" s="2">
        <f>Table1[[#This Row],[Profit]]/Table1[[#This Row],[Sales]]*100</f>
        <v>16.669044916491004</v>
      </c>
      <c r="I8" t="str">
        <f>IF(Table1[[#This Row],[Profit %]]&gt;20,"Excellent",IF(H8&gt;10.1,"Good","Low"))</f>
        <v>Good</v>
      </c>
      <c r="P8" s="16" t="s">
        <v>49</v>
      </c>
      <c r="Q8" s="16"/>
      <c r="R8" s="16"/>
      <c r="S8" s="16"/>
      <c r="T8" s="16"/>
      <c r="U8" s="16"/>
      <c r="V8" s="16"/>
    </row>
    <row r="9" spans="1:26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 s="2">
        <v>3059</v>
      </c>
      <c r="G9">
        <v>873.5</v>
      </c>
      <c r="H9" s="2">
        <f>Table1[[#This Row],[Profit]]/Table1[[#This Row],[Sales]]*100</f>
        <v>28.555083360575352</v>
      </c>
      <c r="I9" t="str">
        <f>IF(Table1[[#This Row],[Profit %]]&gt;20,"Excellent",IF(H9&gt;10.1,"Good","Low"))</f>
        <v>Excellent</v>
      </c>
    </row>
    <row r="10" spans="1:26" ht="18" x14ac:dyDescent="0.35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 s="2">
        <v>5526</v>
      </c>
      <c r="G10">
        <v>595.28</v>
      </c>
      <c r="H10" s="2">
        <f>Table1[[#This Row],[Profit]]/Table1[[#This Row],[Sales]]*100</f>
        <v>10.772348896127397</v>
      </c>
      <c r="I10" t="str">
        <f>IF(Table1[[#This Row],[Profit %]]&gt;20,"Excellent",IF(H10&gt;10.1,"Good","Low"))</f>
        <v>Good</v>
      </c>
      <c r="L10" s="18" t="s">
        <v>26</v>
      </c>
      <c r="M10" s="18"/>
      <c r="N10" s="18"/>
      <c r="Q10" s="15" t="s">
        <v>45</v>
      </c>
      <c r="R10" s="15"/>
      <c r="S10" s="15"/>
      <c r="T10" s="15"/>
      <c r="U10" s="15"/>
      <c r="V10" s="15"/>
    </row>
    <row r="11" spans="1:26" ht="18" x14ac:dyDescent="0.35">
      <c r="A11" s="1">
        <v>45587</v>
      </c>
      <c r="B11" t="s">
        <v>7</v>
      </c>
      <c r="C11" t="s">
        <v>8</v>
      </c>
      <c r="D11" t="s">
        <v>15</v>
      </c>
      <c r="E11">
        <v>8</v>
      </c>
      <c r="F11" s="2">
        <v>672</v>
      </c>
      <c r="G11">
        <v>186.37</v>
      </c>
      <c r="H11" s="2">
        <f>Table1[[#This Row],[Profit]]/Table1[[#This Row],[Sales]]*100</f>
        <v>27.733630952380956</v>
      </c>
      <c r="I11" t="str">
        <f>IF(Table1[[#This Row],[Profit %]]&gt;20,"Excellent",IF(H11&gt;10.1,"Good","Low"))</f>
        <v>Excellent</v>
      </c>
      <c r="L11" s="8">
        <f>SUMIFS(F2:F3501,A2:A3501,"&gt;="&amp;M5,A2:A3501,"&lt;="&amp;M6)</f>
        <v>10667881</v>
      </c>
    </row>
    <row r="12" spans="1:26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 s="2">
        <v>7074</v>
      </c>
      <c r="G12">
        <v>1357.68</v>
      </c>
      <c r="H12" s="2">
        <f>Table1[[#This Row],[Profit]]/Table1[[#This Row],[Sales]]*100</f>
        <v>19.192536047497878</v>
      </c>
      <c r="I12" t="str">
        <f>IF(Table1[[#This Row],[Profit %]]&gt;20,"Excellent",IF(H12&gt;10.1,"Good","Low"))</f>
        <v>Good</v>
      </c>
    </row>
    <row r="13" spans="1:26" ht="15.6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 s="2">
        <v>502</v>
      </c>
      <c r="G13">
        <v>137.4</v>
      </c>
      <c r="H13" s="2">
        <f>Table1[[#This Row],[Profit]]/Table1[[#This Row],[Sales]]*100</f>
        <v>27.370517928286851</v>
      </c>
      <c r="I13" t="str">
        <f>IF(Table1[[#This Row],[Profit %]]&gt;20,"Excellent",IF(H13&gt;10.1,"Good","Low"))</f>
        <v>Excellent</v>
      </c>
      <c r="P13" s="16" t="s">
        <v>50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 s="2">
        <v>7462</v>
      </c>
      <c r="G14">
        <v>2166.17</v>
      </c>
      <c r="H14" s="2">
        <f>Table1[[#This Row],[Profit]]/Table1[[#This Row],[Sales]]*100</f>
        <v>29.029348700080408</v>
      </c>
      <c r="I14" t="str">
        <f>IF(Table1[[#This Row],[Profit %]]&gt;20,"Excellent",IF(H14&gt;10.1,"Good","Low"))</f>
        <v>Excellent</v>
      </c>
    </row>
    <row r="15" spans="1:26" ht="15.6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 s="2">
        <v>4205</v>
      </c>
      <c r="G15">
        <v>585.29</v>
      </c>
      <c r="H15" s="2">
        <f>Table1[[#This Row],[Profit]]/Table1[[#This Row],[Sales]]*100</f>
        <v>13.918906064209274</v>
      </c>
      <c r="I15" t="str">
        <f>IF(Table1[[#This Row],[Profit %]]&gt;20,"Excellent",IF(H15&gt;10.1,"Good","Low"))</f>
        <v>Good</v>
      </c>
      <c r="Q15" s="15" t="s">
        <v>46</v>
      </c>
      <c r="R15" s="15"/>
      <c r="S15" s="15"/>
      <c r="T15" s="15"/>
      <c r="U15" s="15"/>
      <c r="V15" s="15"/>
      <c r="W15" s="15"/>
      <c r="X15" s="15"/>
      <c r="Y15" s="15"/>
    </row>
    <row r="16" spans="1:26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 s="2">
        <v>570</v>
      </c>
      <c r="G16">
        <v>138.54</v>
      </c>
      <c r="H16" s="2">
        <f>Table1[[#This Row],[Profit]]/Table1[[#This Row],[Sales]]*100</f>
        <v>24.305263157894736</v>
      </c>
      <c r="I16" t="str">
        <f>IF(Table1[[#This Row],[Profit %]]&gt;20,"Excellent",IF(H16&gt;10.1,"Good","Low"))</f>
        <v>Excellent</v>
      </c>
    </row>
    <row r="17" spans="1:24" ht="18" x14ac:dyDescent="0.35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 s="2">
        <v>441</v>
      </c>
      <c r="G17">
        <v>102.42</v>
      </c>
      <c r="H17" s="2">
        <f>Table1[[#This Row],[Profit]]/Table1[[#This Row],[Sales]]*100</f>
        <v>23.22448979591837</v>
      </c>
      <c r="I17" t="str">
        <f>IF(Table1[[#This Row],[Profit %]]&gt;20,"Excellent",IF(H17&gt;10.1,"Good","Low"))</f>
        <v>Excellent</v>
      </c>
      <c r="L17" s="3" t="s">
        <v>28</v>
      </c>
      <c r="M17" s="4">
        <f>AVERAGE(F2:F3501)</f>
        <v>3047.9659999999999</v>
      </c>
    </row>
    <row r="18" spans="1:24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 s="2">
        <v>7469</v>
      </c>
      <c r="G18">
        <v>589.80999999999995</v>
      </c>
      <c r="H18" s="2">
        <f>Table1[[#This Row],[Profit]]/Table1[[#This Row],[Sales]]*100</f>
        <v>7.89677332976302</v>
      </c>
      <c r="I18" t="str">
        <f>IF(Table1[[#This Row],[Profit %]]&gt;20,"Excellent",IF(H18&gt;10.1,"Good","Low"))</f>
        <v>Low</v>
      </c>
    </row>
    <row r="19" spans="1:24" ht="18" x14ac:dyDescent="0.35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 s="2">
        <v>2212</v>
      </c>
      <c r="G19">
        <v>145.75</v>
      </c>
      <c r="H19" s="2">
        <f>Table1[[#This Row],[Profit]]/Table1[[#This Row],[Sales]]*100</f>
        <v>6.5890596745027121</v>
      </c>
      <c r="I19" t="str">
        <f>IF(Table1[[#This Row],[Profit %]]&gt;20,"Excellent",IF(H19&gt;10.1,"Good","Low"))</f>
        <v>Low</v>
      </c>
      <c r="L19" s="7" t="s">
        <v>29</v>
      </c>
      <c r="M19" s="4">
        <f>MIN(F2:F3501)</f>
        <v>51</v>
      </c>
      <c r="P19" s="14" t="s">
        <v>51</v>
      </c>
      <c r="Q19" s="14"/>
      <c r="R19" s="14"/>
      <c r="S19" s="14"/>
      <c r="T19" s="14"/>
      <c r="U19" s="14"/>
      <c r="V19" s="14"/>
      <c r="W19" s="14"/>
      <c r="X19" s="14"/>
    </row>
    <row r="20" spans="1:24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 s="2">
        <v>740</v>
      </c>
      <c r="G20">
        <v>146.38999999999999</v>
      </c>
      <c r="H20" s="2">
        <f>Table1[[#This Row],[Profit]]/Table1[[#This Row],[Sales]]*100</f>
        <v>19.782432432432433</v>
      </c>
      <c r="I20" t="str">
        <f>IF(Table1[[#This Row],[Profit %]]&gt;20,"Excellent",IF(H20&gt;10.1,"Good","Low"))</f>
        <v>Good</v>
      </c>
    </row>
    <row r="21" spans="1:24" ht="18" x14ac:dyDescent="0.35">
      <c r="A21" s="1">
        <v>45204</v>
      </c>
      <c r="B21" t="s">
        <v>18</v>
      </c>
      <c r="C21" t="s">
        <v>11</v>
      </c>
      <c r="D21" t="s">
        <v>9</v>
      </c>
      <c r="E21">
        <v>1</v>
      </c>
      <c r="F21" s="2">
        <v>662</v>
      </c>
      <c r="G21">
        <v>193.92</v>
      </c>
      <c r="H21" s="2">
        <f>Table1[[#This Row],[Profit]]/Table1[[#This Row],[Sales]]*100</f>
        <v>29.293051359516614</v>
      </c>
      <c r="I21" t="str">
        <f>IF(Table1[[#This Row],[Profit %]]&gt;20,"Excellent",IF(H21&gt;10.1,"Good","Low"))</f>
        <v>Excellent</v>
      </c>
      <c r="L21" s="7" t="s">
        <v>30</v>
      </c>
      <c r="M21" s="4">
        <f>MAX(F2:F3501)</f>
        <v>10782</v>
      </c>
      <c r="Q21" s="15" t="s">
        <v>52</v>
      </c>
      <c r="R21" s="15"/>
      <c r="S21" s="15"/>
      <c r="T21" s="15"/>
      <c r="U21" s="15"/>
      <c r="V21" s="15"/>
    </row>
    <row r="22" spans="1:24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 s="2">
        <v>5712</v>
      </c>
      <c r="G22">
        <v>651.27</v>
      </c>
      <c r="H22" s="2">
        <f>Table1[[#This Row],[Profit]]/Table1[[#This Row],[Sales]]*100</f>
        <v>11.401785714285714</v>
      </c>
      <c r="I22" t="str">
        <f>IF(Table1[[#This Row],[Profit %]]&gt;20,"Excellent",IF(H22&gt;10.1,"Good","Low"))</f>
        <v>Good</v>
      </c>
    </row>
    <row r="23" spans="1:24" ht="18" x14ac:dyDescent="0.35">
      <c r="A23" s="1">
        <v>45125</v>
      </c>
      <c r="B23" t="s">
        <v>19</v>
      </c>
      <c r="C23" t="s">
        <v>14</v>
      </c>
      <c r="D23" t="s">
        <v>9</v>
      </c>
      <c r="E23">
        <v>3</v>
      </c>
      <c r="F23" s="2">
        <v>2739</v>
      </c>
      <c r="G23">
        <v>572.73</v>
      </c>
      <c r="H23" s="2">
        <f>Table1[[#This Row],[Profit]]/Table1[[#This Row],[Sales]]*100</f>
        <v>20.910186199342824</v>
      </c>
      <c r="I23" t="str">
        <f>IF(Table1[[#This Row],[Profit %]]&gt;20,"Excellent",IF(H23&gt;10.1,"Good","Low"))</f>
        <v>Excellent</v>
      </c>
      <c r="L23" s="7"/>
    </row>
    <row r="24" spans="1:24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 s="2">
        <v>1400</v>
      </c>
      <c r="G24">
        <v>213.63</v>
      </c>
      <c r="H24" s="2">
        <f>Table1[[#This Row],[Profit]]/Table1[[#This Row],[Sales]]*100</f>
        <v>15.259285714285713</v>
      </c>
      <c r="I24" t="str">
        <f>IF(Table1[[#This Row],[Profit %]]&gt;20,"Excellent",IF(H24&gt;10.1,"Good","Low"))</f>
        <v>Good</v>
      </c>
    </row>
    <row r="25" spans="1:24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 s="2">
        <v>3477</v>
      </c>
      <c r="G25">
        <v>939.2</v>
      </c>
      <c r="H25" s="2">
        <f>Table1[[#This Row],[Profit]]/Table1[[#This Row],[Sales]]*100</f>
        <v>27.011791774518262</v>
      </c>
      <c r="I25" t="str">
        <f>IF(Table1[[#This Row],[Profit %]]&gt;20,"Excellent",IF(H25&gt;10.1,"Good","Low"))</f>
        <v>Excellent</v>
      </c>
    </row>
    <row r="26" spans="1:24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 s="2">
        <v>3475</v>
      </c>
      <c r="G26">
        <v>570.36</v>
      </c>
      <c r="H26" s="2">
        <f>Table1[[#This Row],[Profit]]/Table1[[#This Row],[Sales]]*100</f>
        <v>16.413237410071943</v>
      </c>
      <c r="I26" t="str">
        <f>IF(Table1[[#This Row],[Profit %]]&gt;20,"Excellent",IF(H26&gt;10.1,"Good","Low"))</f>
        <v>Good</v>
      </c>
    </row>
    <row r="27" spans="1:24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 s="2">
        <v>6138</v>
      </c>
      <c r="G27">
        <v>1562.14</v>
      </c>
      <c r="H27" s="2">
        <f>Table1[[#This Row],[Profit]]/Table1[[#This Row],[Sales]]*100</f>
        <v>25.450309547083744</v>
      </c>
      <c r="I27" t="str">
        <f>IF(Table1[[#This Row],[Profit %]]&gt;20,"Excellent",IF(H27&gt;10.1,"Good","Low"))</f>
        <v>Excellent</v>
      </c>
    </row>
    <row r="28" spans="1:24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 s="2">
        <v>3665</v>
      </c>
      <c r="G28">
        <v>406.93</v>
      </c>
      <c r="H28" s="2">
        <f>Table1[[#This Row],[Profit]]/Table1[[#This Row],[Sales]]*100</f>
        <v>11.103137789904501</v>
      </c>
      <c r="I28" t="str">
        <f>IF(Table1[[#This Row],[Profit %]]&gt;20,"Excellent",IF(H28&gt;10.1,"Good","Low"))</f>
        <v>Good</v>
      </c>
    </row>
    <row r="29" spans="1:24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 s="2">
        <v>2372</v>
      </c>
      <c r="G29">
        <v>206.42</v>
      </c>
      <c r="H29" s="2">
        <f>Table1[[#This Row],[Profit]]/Table1[[#This Row],[Sales]]*100</f>
        <v>8.7023608768971332</v>
      </c>
      <c r="I29" t="str">
        <f>IF(Table1[[#This Row],[Profit %]]&gt;20,"Excellent",IF(H29&gt;10.1,"Good","Low"))</f>
        <v>Low</v>
      </c>
    </row>
    <row r="30" spans="1:24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 s="2">
        <v>1382</v>
      </c>
      <c r="G30">
        <v>211.11</v>
      </c>
      <c r="H30" s="2">
        <f>Table1[[#This Row],[Profit]]/Table1[[#This Row],[Sales]]*100</f>
        <v>15.275687409551375</v>
      </c>
      <c r="I30" t="str">
        <f>IF(Table1[[#This Row],[Profit %]]&gt;20,"Excellent",IF(H30&gt;10.1,"Good","Low"))</f>
        <v>Good</v>
      </c>
    </row>
    <row r="31" spans="1:24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 s="2">
        <v>1126</v>
      </c>
      <c r="G31">
        <v>194.08</v>
      </c>
      <c r="H31" s="2">
        <f>Table1[[#This Row],[Profit]]/Table1[[#This Row],[Sales]]*100</f>
        <v>17.236234458259325</v>
      </c>
      <c r="I31" t="str">
        <f>IF(Table1[[#This Row],[Profit %]]&gt;20,"Excellent",IF(H31&gt;10.1,"Good","Low"))</f>
        <v>Good</v>
      </c>
    </row>
    <row r="32" spans="1:24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 s="2">
        <v>1376</v>
      </c>
      <c r="G32">
        <v>152.1</v>
      </c>
      <c r="H32" s="2">
        <f>Table1[[#This Row],[Profit]]/Table1[[#This Row],[Sales]]*100</f>
        <v>11.053779069767442</v>
      </c>
      <c r="I32" t="str">
        <f>IF(Table1[[#This Row],[Profit %]]&gt;20,"Excellent",IF(H32&gt;10.1,"Good","Low"))</f>
        <v>Good</v>
      </c>
    </row>
    <row r="33" spans="1:9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 s="2">
        <v>988</v>
      </c>
      <c r="G33">
        <v>147.91</v>
      </c>
      <c r="H33" s="2">
        <f>Table1[[#This Row],[Profit]]/Table1[[#This Row],[Sales]]*100</f>
        <v>14.970647773279353</v>
      </c>
      <c r="I33" t="str">
        <f>IF(Table1[[#This Row],[Profit %]]&gt;20,"Excellent",IF(H33&gt;10.1,"Good","Low"))</f>
        <v>Good</v>
      </c>
    </row>
    <row r="34" spans="1:9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 s="2">
        <v>10773</v>
      </c>
      <c r="G34">
        <v>1907.36</v>
      </c>
      <c r="H34" s="2">
        <f>Table1[[#This Row],[Profit]]/Table1[[#This Row],[Sales]]*100</f>
        <v>17.705003248862898</v>
      </c>
      <c r="I34" t="str">
        <f>IF(Table1[[#This Row],[Profit %]]&gt;20,"Excellent",IF(H34&gt;10.1,"Good","Low"))</f>
        <v>Good</v>
      </c>
    </row>
    <row r="35" spans="1:9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 s="2">
        <v>3252</v>
      </c>
      <c r="G35">
        <v>713.46</v>
      </c>
      <c r="H35" s="2">
        <f>Table1[[#This Row],[Profit]]/Table1[[#This Row],[Sales]]*100</f>
        <v>21.939114391143914</v>
      </c>
      <c r="I35" t="str">
        <f>IF(Table1[[#This Row],[Profit %]]&gt;20,"Excellent",IF(H35&gt;10.1,"Good","Low"))</f>
        <v>Excellent</v>
      </c>
    </row>
    <row r="36" spans="1:9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 s="2">
        <v>2739</v>
      </c>
      <c r="G36">
        <v>202.81</v>
      </c>
      <c r="H36" s="2">
        <f>Table1[[#This Row],[Profit]]/Table1[[#This Row],[Sales]]*100</f>
        <v>7.4045271997079221</v>
      </c>
      <c r="I36" t="str">
        <f>IF(Table1[[#This Row],[Profit %]]&gt;20,"Excellent",IF(H36&gt;10.1,"Good","Low"))</f>
        <v>Low</v>
      </c>
    </row>
    <row r="37" spans="1:9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 s="2">
        <v>2709</v>
      </c>
      <c r="G37">
        <v>702.79</v>
      </c>
      <c r="H37" s="2">
        <f>Table1[[#This Row],[Profit]]/Table1[[#This Row],[Sales]]*100</f>
        <v>25.942783314876337</v>
      </c>
      <c r="I37" t="str">
        <f>IF(Table1[[#This Row],[Profit %]]&gt;20,"Excellent",IF(H37&gt;10.1,"Good","Low"))</f>
        <v>Excellent</v>
      </c>
    </row>
    <row r="38" spans="1:9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 s="2">
        <v>936</v>
      </c>
      <c r="G38">
        <v>201.24</v>
      </c>
      <c r="H38" s="2">
        <f>Table1[[#This Row],[Profit]]/Table1[[#This Row],[Sales]]*100</f>
        <v>21.5</v>
      </c>
      <c r="I38" t="str">
        <f>IF(Table1[[#This Row],[Profit %]]&gt;20,"Excellent",IF(H38&gt;10.1,"Good","Low"))</f>
        <v>Excellent</v>
      </c>
    </row>
    <row r="39" spans="1:9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 s="2">
        <v>3720</v>
      </c>
      <c r="G39">
        <v>410.92</v>
      </c>
      <c r="H39" s="2">
        <f>Table1[[#This Row],[Profit]]/Table1[[#This Row],[Sales]]*100</f>
        <v>11.046236559139786</v>
      </c>
      <c r="I39" t="str">
        <f>IF(Table1[[#This Row],[Profit %]]&gt;20,"Excellent",IF(H39&gt;10.1,"Good","Low"))</f>
        <v>Good</v>
      </c>
    </row>
    <row r="40" spans="1:9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 s="2">
        <v>5320</v>
      </c>
      <c r="G40">
        <v>716.91</v>
      </c>
      <c r="H40" s="2">
        <f>Table1[[#This Row],[Profit]]/Table1[[#This Row],[Sales]]*100</f>
        <v>13.475751879699246</v>
      </c>
      <c r="I40" t="str">
        <f>IF(Table1[[#This Row],[Profit %]]&gt;20,"Excellent",IF(H40&gt;10.1,"Good","Low"))</f>
        <v>Good</v>
      </c>
    </row>
    <row r="41" spans="1:9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 s="2">
        <v>804</v>
      </c>
      <c r="G41">
        <v>121.51</v>
      </c>
      <c r="H41" s="2">
        <f>Table1[[#This Row],[Profit]]/Table1[[#This Row],[Sales]]*100</f>
        <v>15.113184079601991</v>
      </c>
      <c r="I41" t="str">
        <f>IF(Table1[[#This Row],[Profit %]]&gt;20,"Excellent",IF(H41&gt;10.1,"Good","Low"))</f>
        <v>Good</v>
      </c>
    </row>
    <row r="42" spans="1:9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 s="2">
        <v>1224</v>
      </c>
      <c r="G42">
        <v>246.77</v>
      </c>
      <c r="H42" s="2">
        <f>Table1[[#This Row],[Profit]]/Table1[[#This Row],[Sales]]*100</f>
        <v>20.160947712418302</v>
      </c>
      <c r="I42" t="str">
        <f>IF(Table1[[#This Row],[Profit %]]&gt;20,"Excellent",IF(H42&gt;10.1,"Good","Low"))</f>
        <v>Excellent</v>
      </c>
    </row>
    <row r="43" spans="1:9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 s="2">
        <v>8667</v>
      </c>
      <c r="G43">
        <v>781.78</v>
      </c>
      <c r="H43" s="2">
        <f>Table1[[#This Row],[Profit]]/Table1[[#This Row],[Sales]]*100</f>
        <v>9.0201915310949587</v>
      </c>
      <c r="I43" t="str">
        <f>IF(Table1[[#This Row],[Profit %]]&gt;20,"Excellent",IF(H43&gt;10.1,"Good","Low"))</f>
        <v>Low</v>
      </c>
    </row>
    <row r="44" spans="1:9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 s="2">
        <v>3018</v>
      </c>
      <c r="G44">
        <v>320.11</v>
      </c>
      <c r="H44" s="2">
        <f>Table1[[#This Row],[Profit]]/Table1[[#This Row],[Sales]]*100</f>
        <v>10.606693174287608</v>
      </c>
      <c r="I44" t="str">
        <f>IF(Table1[[#This Row],[Profit %]]&gt;20,"Excellent",IF(H44&gt;10.1,"Good","Low"))</f>
        <v>Good</v>
      </c>
    </row>
    <row r="45" spans="1:9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 s="2">
        <v>4325</v>
      </c>
      <c r="G45">
        <v>1023.39</v>
      </c>
      <c r="H45" s="2">
        <f>Table1[[#This Row],[Profit]]/Table1[[#This Row],[Sales]]*100</f>
        <v>23.662196531791906</v>
      </c>
      <c r="I45" t="str">
        <f>IF(Table1[[#This Row],[Profit %]]&gt;20,"Excellent",IF(H45&gt;10.1,"Good","Low"))</f>
        <v>Excellent</v>
      </c>
    </row>
    <row r="46" spans="1:9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 s="2">
        <v>1557</v>
      </c>
      <c r="G46">
        <v>181.08</v>
      </c>
      <c r="H46" s="2">
        <f>Table1[[#This Row],[Profit]]/Table1[[#This Row],[Sales]]*100</f>
        <v>11.63005780346821</v>
      </c>
      <c r="I46" t="str">
        <f>IF(Table1[[#This Row],[Profit %]]&gt;20,"Excellent",IF(H46&gt;10.1,"Good","Low"))</f>
        <v>Good</v>
      </c>
    </row>
    <row r="47" spans="1:9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 s="2">
        <v>3672</v>
      </c>
      <c r="G47">
        <v>1002.5</v>
      </c>
      <c r="H47" s="2">
        <f>Table1[[#This Row],[Profit]]/Table1[[#This Row],[Sales]]*100</f>
        <v>27.30119825708061</v>
      </c>
      <c r="I47" t="str">
        <f>IF(Table1[[#This Row],[Profit %]]&gt;20,"Excellent",IF(H47&gt;10.1,"Good","Low"))</f>
        <v>Excellent</v>
      </c>
    </row>
    <row r="48" spans="1:9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 s="2">
        <v>333</v>
      </c>
      <c r="G48">
        <v>72.34</v>
      </c>
      <c r="H48" s="2">
        <f>Table1[[#This Row],[Profit]]/Table1[[#This Row],[Sales]]*100</f>
        <v>21.723723723723726</v>
      </c>
      <c r="I48" t="str">
        <f>IF(Table1[[#This Row],[Profit %]]&gt;20,"Excellent",IF(H48&gt;10.1,"Good","Low"))</f>
        <v>Excellent</v>
      </c>
    </row>
    <row r="49" spans="1:9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 s="2">
        <v>2384</v>
      </c>
      <c r="G49">
        <v>577.26</v>
      </c>
      <c r="H49" s="2">
        <f>Table1[[#This Row],[Profit]]/Table1[[#This Row],[Sales]]*100</f>
        <v>24.213926174496645</v>
      </c>
      <c r="I49" t="str">
        <f>IF(Table1[[#This Row],[Profit %]]&gt;20,"Excellent",IF(H49&gt;10.1,"Good","Low"))</f>
        <v>Excellent</v>
      </c>
    </row>
    <row r="50" spans="1:9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 s="2">
        <v>888</v>
      </c>
      <c r="G50">
        <v>210.39</v>
      </c>
      <c r="H50" s="2">
        <f>Table1[[#This Row],[Profit]]/Table1[[#This Row],[Sales]]*100</f>
        <v>23.692567567567565</v>
      </c>
      <c r="I50" t="str">
        <f>IF(Table1[[#This Row],[Profit %]]&gt;20,"Excellent",IF(H50&gt;10.1,"Good","Low"))</f>
        <v>Excellent</v>
      </c>
    </row>
    <row r="51" spans="1:9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 s="2">
        <v>3280</v>
      </c>
      <c r="G51">
        <v>954.17</v>
      </c>
      <c r="H51" s="2">
        <f>Table1[[#This Row],[Profit]]/Table1[[#This Row],[Sales]]*100</f>
        <v>29.090548780487801</v>
      </c>
      <c r="I51" t="str">
        <f>IF(Table1[[#This Row],[Profit %]]&gt;20,"Excellent",IF(H51&gt;10.1,"Good","Low"))</f>
        <v>Excellent</v>
      </c>
    </row>
    <row r="52" spans="1:9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 s="2">
        <v>1239</v>
      </c>
      <c r="G52">
        <v>177.39</v>
      </c>
      <c r="H52" s="2">
        <f>Table1[[#This Row],[Profit]]/Table1[[#This Row],[Sales]]*100</f>
        <v>14.317191283292976</v>
      </c>
      <c r="I52" t="str">
        <f>IF(Table1[[#This Row],[Profit %]]&gt;20,"Excellent",IF(H52&gt;10.1,"Good","Low"))</f>
        <v>Good</v>
      </c>
    </row>
    <row r="53" spans="1:9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 s="2">
        <v>5880</v>
      </c>
      <c r="G53">
        <v>436.85</v>
      </c>
      <c r="H53" s="2">
        <f>Table1[[#This Row],[Profit]]/Table1[[#This Row],[Sales]]*100</f>
        <v>7.4294217687074839</v>
      </c>
      <c r="I53" t="str">
        <f>IF(Table1[[#This Row],[Profit %]]&gt;20,"Excellent",IF(H53&gt;10.1,"Good","Low"))</f>
        <v>Low</v>
      </c>
    </row>
    <row r="54" spans="1:9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 s="2">
        <v>1668</v>
      </c>
      <c r="G54">
        <v>437.3</v>
      </c>
      <c r="H54" s="2">
        <f>Table1[[#This Row],[Profit]]/Table1[[#This Row],[Sales]]*100</f>
        <v>26.217026378896886</v>
      </c>
      <c r="I54" t="str">
        <f>IF(Table1[[#This Row],[Profit %]]&gt;20,"Excellent",IF(H54&gt;10.1,"Good","Low"))</f>
        <v>Excellent</v>
      </c>
    </row>
    <row r="55" spans="1:9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 s="2">
        <v>4109</v>
      </c>
      <c r="G55">
        <v>1037.6400000000001</v>
      </c>
      <c r="H55" s="2">
        <f>Table1[[#This Row],[Profit]]/Table1[[#This Row],[Sales]]*100</f>
        <v>25.252859576539304</v>
      </c>
      <c r="I55" t="str">
        <f>IF(Table1[[#This Row],[Profit %]]&gt;20,"Excellent",IF(H55&gt;10.1,"Good","Low"))</f>
        <v>Excellent</v>
      </c>
    </row>
    <row r="56" spans="1:9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 s="2">
        <v>595</v>
      </c>
      <c r="G56">
        <v>148.5</v>
      </c>
      <c r="H56" s="2">
        <f>Table1[[#This Row],[Profit]]/Table1[[#This Row],[Sales]]*100</f>
        <v>24.957983193277311</v>
      </c>
      <c r="I56" t="str">
        <f>IF(Table1[[#This Row],[Profit %]]&gt;20,"Excellent",IF(H56&gt;10.1,"Good","Low"))</f>
        <v>Excellent</v>
      </c>
    </row>
    <row r="57" spans="1:9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 s="2">
        <v>8155</v>
      </c>
      <c r="G57">
        <v>1587.91</v>
      </c>
      <c r="H57" s="2">
        <f>Table1[[#This Row],[Profit]]/Table1[[#This Row],[Sales]]*100</f>
        <v>19.471612507664009</v>
      </c>
      <c r="I57" t="str">
        <f>IF(Table1[[#This Row],[Profit %]]&gt;20,"Excellent",IF(H57&gt;10.1,"Good","Low"))</f>
        <v>Good</v>
      </c>
    </row>
    <row r="58" spans="1:9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 s="2">
        <v>1872</v>
      </c>
      <c r="G58">
        <v>553.1</v>
      </c>
      <c r="H58" s="2">
        <f>Table1[[#This Row],[Profit]]/Table1[[#This Row],[Sales]]*100</f>
        <v>29.54594017094017</v>
      </c>
      <c r="I58" t="str">
        <f>IF(Table1[[#This Row],[Profit %]]&gt;20,"Excellent",IF(H58&gt;10.1,"Good","Low"))</f>
        <v>Excellent</v>
      </c>
    </row>
    <row r="59" spans="1:9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 s="2">
        <v>2124</v>
      </c>
      <c r="G59">
        <v>126.03</v>
      </c>
      <c r="H59" s="2">
        <f>Table1[[#This Row],[Profit]]/Table1[[#This Row],[Sales]]*100</f>
        <v>5.9336158192090398</v>
      </c>
      <c r="I59" t="str">
        <f>IF(Table1[[#This Row],[Profit %]]&gt;20,"Excellent",IF(H59&gt;10.1,"Good","Low"))</f>
        <v>Low</v>
      </c>
    </row>
    <row r="60" spans="1:9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 s="2">
        <v>5210</v>
      </c>
      <c r="G60">
        <v>1338.8</v>
      </c>
      <c r="H60" s="2">
        <f>Table1[[#This Row],[Profit]]/Table1[[#This Row],[Sales]]*100</f>
        <v>25.696737044145873</v>
      </c>
      <c r="I60" t="str">
        <f>IF(Table1[[#This Row],[Profit %]]&gt;20,"Excellent",IF(H60&gt;10.1,"Good","Low"))</f>
        <v>Excellent</v>
      </c>
    </row>
    <row r="61" spans="1:9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 s="2">
        <v>5761</v>
      </c>
      <c r="G61">
        <v>362.48</v>
      </c>
      <c r="H61" s="2">
        <f>Table1[[#This Row],[Profit]]/Table1[[#This Row],[Sales]]*100</f>
        <v>6.2919632008331892</v>
      </c>
      <c r="I61" t="str">
        <f>IF(Table1[[#This Row],[Profit %]]&gt;20,"Excellent",IF(H61&gt;10.1,"Good","Low"))</f>
        <v>Low</v>
      </c>
    </row>
    <row r="62" spans="1:9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 s="2">
        <v>6895</v>
      </c>
      <c r="G62">
        <v>1596.35</v>
      </c>
      <c r="H62" s="2">
        <f>Table1[[#This Row],[Profit]]/Table1[[#This Row],[Sales]]*100</f>
        <v>23.152284263959388</v>
      </c>
      <c r="I62" t="str">
        <f>IF(Table1[[#This Row],[Profit %]]&gt;20,"Excellent",IF(H62&gt;10.1,"Good","Low"))</f>
        <v>Excellent</v>
      </c>
    </row>
    <row r="63" spans="1:9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 s="2">
        <v>2118</v>
      </c>
      <c r="G63">
        <v>317.08</v>
      </c>
      <c r="H63" s="2">
        <f>Table1[[#This Row],[Profit]]/Table1[[#This Row],[Sales]]*100</f>
        <v>14.970727101038714</v>
      </c>
      <c r="I63" t="str">
        <f>IF(Table1[[#This Row],[Profit %]]&gt;20,"Excellent",IF(H63&gt;10.1,"Good","Low"))</f>
        <v>Good</v>
      </c>
    </row>
    <row r="64" spans="1:9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 s="2">
        <v>830</v>
      </c>
      <c r="G64">
        <v>58.28</v>
      </c>
      <c r="H64" s="2">
        <f>Table1[[#This Row],[Profit]]/Table1[[#This Row],[Sales]]*100</f>
        <v>7.0216867469879514</v>
      </c>
      <c r="I64" t="str">
        <f>IF(Table1[[#This Row],[Profit %]]&gt;20,"Excellent",IF(H64&gt;10.1,"Good","Low"))</f>
        <v>Low</v>
      </c>
    </row>
    <row r="65" spans="1:9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 s="2">
        <v>851</v>
      </c>
      <c r="G65">
        <v>93.56</v>
      </c>
      <c r="H65" s="2">
        <f>Table1[[#This Row],[Profit]]/Table1[[#This Row],[Sales]]*100</f>
        <v>10.994124559341952</v>
      </c>
      <c r="I65" t="str">
        <f>IF(Table1[[#This Row],[Profit %]]&gt;20,"Excellent",IF(H65&gt;10.1,"Good","Low"))</f>
        <v>Good</v>
      </c>
    </row>
    <row r="66" spans="1:9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 s="2">
        <v>4730</v>
      </c>
      <c r="G66">
        <v>1365.63</v>
      </c>
      <c r="H66" s="2">
        <f>Table1[[#This Row],[Profit]]/Table1[[#This Row],[Sales]]*100</f>
        <v>28.871670190274845</v>
      </c>
      <c r="I66" t="str">
        <f>IF(Table1[[#This Row],[Profit %]]&gt;20,"Excellent",IF(H66&gt;10.1,"Good","Low"))</f>
        <v>Excellent</v>
      </c>
    </row>
    <row r="67" spans="1:9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 s="2">
        <v>5460</v>
      </c>
      <c r="G67">
        <v>845.75</v>
      </c>
      <c r="H67" s="2">
        <f>Table1[[#This Row],[Profit]]/Table1[[#This Row],[Sales]]*100</f>
        <v>15.489926739926741</v>
      </c>
      <c r="I67" t="str">
        <f>IF(Table1[[#This Row],[Profit %]]&gt;20,"Excellent",IF(H67&gt;10.1,"Good","Low"))</f>
        <v>Good</v>
      </c>
    </row>
    <row r="68" spans="1:9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 s="2">
        <v>5795</v>
      </c>
      <c r="G68">
        <v>310.60000000000002</v>
      </c>
      <c r="H68" s="2">
        <f>Table1[[#This Row],[Profit]]/Table1[[#This Row],[Sales]]*100</f>
        <v>5.3597929249352898</v>
      </c>
      <c r="I68" t="str">
        <f>IF(Table1[[#This Row],[Profit %]]&gt;20,"Excellent",IF(H68&gt;10.1,"Good","Low"))</f>
        <v>Low</v>
      </c>
    </row>
    <row r="69" spans="1:9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 s="2">
        <v>2008</v>
      </c>
      <c r="G69">
        <v>338.44</v>
      </c>
      <c r="H69" s="2">
        <f>Table1[[#This Row],[Profit]]/Table1[[#This Row],[Sales]]*100</f>
        <v>16.854581673306772</v>
      </c>
      <c r="I69" t="str">
        <f>IF(Table1[[#This Row],[Profit %]]&gt;20,"Excellent",IF(H69&gt;10.1,"Good","Low"))</f>
        <v>Good</v>
      </c>
    </row>
    <row r="70" spans="1:9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 s="2">
        <v>2842</v>
      </c>
      <c r="G70">
        <v>425.24</v>
      </c>
      <c r="H70" s="2">
        <f>Table1[[#This Row],[Profit]]/Table1[[#This Row],[Sales]]*100</f>
        <v>14.962702322308234</v>
      </c>
      <c r="I70" t="str">
        <f>IF(Table1[[#This Row],[Profit %]]&gt;20,"Excellent",IF(H70&gt;10.1,"Good","Low"))</f>
        <v>Good</v>
      </c>
    </row>
    <row r="71" spans="1:9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 s="2">
        <v>3404</v>
      </c>
      <c r="G71">
        <v>392.22</v>
      </c>
      <c r="H71" s="2">
        <f>Table1[[#This Row],[Profit]]/Table1[[#This Row],[Sales]]*100</f>
        <v>11.522326674500588</v>
      </c>
      <c r="I71" t="str">
        <f>IF(Table1[[#This Row],[Profit %]]&gt;20,"Excellent",IF(H71&gt;10.1,"Good","Low"))</f>
        <v>Good</v>
      </c>
    </row>
    <row r="72" spans="1:9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 s="2">
        <v>1065</v>
      </c>
      <c r="G72">
        <v>228.63</v>
      </c>
      <c r="H72" s="2">
        <f>Table1[[#This Row],[Profit]]/Table1[[#This Row],[Sales]]*100</f>
        <v>21.467605633802815</v>
      </c>
      <c r="I72" t="str">
        <f>IF(Table1[[#This Row],[Profit %]]&gt;20,"Excellent",IF(H72&gt;10.1,"Good","Low"))</f>
        <v>Excellent</v>
      </c>
    </row>
    <row r="73" spans="1:9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 s="2">
        <v>2149</v>
      </c>
      <c r="G73">
        <v>121.69</v>
      </c>
      <c r="H73" s="2">
        <f>Table1[[#This Row],[Profit]]/Table1[[#This Row],[Sales]]*100</f>
        <v>5.6626337831549556</v>
      </c>
      <c r="I73" t="str">
        <f>IF(Table1[[#This Row],[Profit %]]&gt;20,"Excellent",IF(H73&gt;10.1,"Good","Low"))</f>
        <v>Low</v>
      </c>
    </row>
    <row r="74" spans="1:9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 s="2">
        <v>5912</v>
      </c>
      <c r="G74">
        <v>1143.04</v>
      </c>
      <c r="H74" s="2">
        <f>Table1[[#This Row],[Profit]]/Table1[[#This Row],[Sales]]*100</f>
        <v>19.334235453315291</v>
      </c>
      <c r="I74" t="str">
        <f>IF(Table1[[#This Row],[Profit %]]&gt;20,"Excellent",IF(H74&gt;10.1,"Good","Low"))</f>
        <v>Good</v>
      </c>
    </row>
    <row r="75" spans="1:9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 s="2">
        <v>3348</v>
      </c>
      <c r="G75">
        <v>331.28</v>
      </c>
      <c r="H75" s="2">
        <f>Table1[[#This Row],[Profit]]/Table1[[#This Row],[Sales]]*100</f>
        <v>9.8948626045400232</v>
      </c>
      <c r="I75" t="str">
        <f>IF(Table1[[#This Row],[Profit %]]&gt;20,"Excellent",IF(H75&gt;10.1,"Good","Low"))</f>
        <v>Low</v>
      </c>
    </row>
    <row r="76" spans="1:9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 s="2">
        <v>2409</v>
      </c>
      <c r="G76">
        <v>531.79</v>
      </c>
      <c r="H76" s="2">
        <f>Table1[[#This Row],[Profit]]/Table1[[#This Row],[Sales]]*100</f>
        <v>22.075134910751348</v>
      </c>
      <c r="I76" t="str">
        <f>IF(Table1[[#This Row],[Profit %]]&gt;20,"Excellent",IF(H76&gt;10.1,"Good","Low"))</f>
        <v>Excellent</v>
      </c>
    </row>
    <row r="77" spans="1:9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 s="2">
        <v>328</v>
      </c>
      <c r="G77">
        <v>39.51</v>
      </c>
      <c r="H77" s="2">
        <f>Table1[[#This Row],[Profit]]/Table1[[#This Row],[Sales]]*100</f>
        <v>12.045731707317072</v>
      </c>
      <c r="I77" t="str">
        <f>IF(Table1[[#This Row],[Profit %]]&gt;20,"Excellent",IF(H77&gt;10.1,"Good","Low"))</f>
        <v>Good</v>
      </c>
    </row>
    <row r="78" spans="1:9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 s="2">
        <v>6224</v>
      </c>
      <c r="G78">
        <v>1561.42</v>
      </c>
      <c r="H78" s="2">
        <f>Table1[[#This Row],[Profit]]/Table1[[#This Row],[Sales]]*100</f>
        <v>25.087082262210796</v>
      </c>
      <c r="I78" t="str">
        <f>IF(Table1[[#This Row],[Profit %]]&gt;20,"Excellent",IF(H78&gt;10.1,"Good","Low"))</f>
        <v>Excellent</v>
      </c>
    </row>
    <row r="79" spans="1:9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 s="2">
        <v>2530</v>
      </c>
      <c r="G79">
        <v>486.09</v>
      </c>
      <c r="H79" s="2">
        <f>Table1[[#This Row],[Profit]]/Table1[[#This Row],[Sales]]*100</f>
        <v>19.213043478260868</v>
      </c>
      <c r="I79" t="str">
        <f>IF(Table1[[#This Row],[Profit %]]&gt;20,"Excellent",IF(H79&gt;10.1,"Good","Low"))</f>
        <v>Good</v>
      </c>
    </row>
    <row r="80" spans="1:9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 s="2">
        <v>4108</v>
      </c>
      <c r="G80">
        <v>462.17</v>
      </c>
      <c r="H80" s="2">
        <f>Table1[[#This Row],[Profit]]/Table1[[#This Row],[Sales]]*100</f>
        <v>11.250486854917236</v>
      </c>
      <c r="I80" t="str">
        <f>IF(Table1[[#This Row],[Profit %]]&gt;20,"Excellent",IF(H80&gt;10.1,"Good","Low"))</f>
        <v>Good</v>
      </c>
    </row>
    <row r="81" spans="1:9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 s="2">
        <v>1640</v>
      </c>
      <c r="G81">
        <v>391.36</v>
      </c>
      <c r="H81" s="2">
        <f>Table1[[#This Row],[Profit]]/Table1[[#This Row],[Sales]]*100</f>
        <v>23.863414634146345</v>
      </c>
      <c r="I81" t="str">
        <f>IF(Table1[[#This Row],[Profit %]]&gt;20,"Excellent",IF(H81&gt;10.1,"Good","Low"))</f>
        <v>Excellent</v>
      </c>
    </row>
    <row r="82" spans="1:9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 s="2">
        <v>111</v>
      </c>
      <c r="G82">
        <v>19.329999999999998</v>
      </c>
      <c r="H82" s="2">
        <f>Table1[[#This Row],[Profit]]/Table1[[#This Row],[Sales]]*100</f>
        <v>17.414414414414413</v>
      </c>
      <c r="I82" t="str">
        <f>IF(Table1[[#This Row],[Profit %]]&gt;20,"Excellent",IF(H82&gt;10.1,"Good","Low"))</f>
        <v>Good</v>
      </c>
    </row>
    <row r="83" spans="1:9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 s="2">
        <v>445</v>
      </c>
      <c r="G83">
        <v>128.88999999999999</v>
      </c>
      <c r="H83" s="2">
        <f>Table1[[#This Row],[Profit]]/Table1[[#This Row],[Sales]]*100</f>
        <v>28.964044943820223</v>
      </c>
      <c r="I83" t="str">
        <f>IF(Table1[[#This Row],[Profit %]]&gt;20,"Excellent",IF(H83&gt;10.1,"Good","Low"))</f>
        <v>Excellent</v>
      </c>
    </row>
    <row r="84" spans="1:9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 s="2">
        <v>3600</v>
      </c>
      <c r="G84">
        <v>623.72</v>
      </c>
      <c r="H84" s="2">
        <f>Table1[[#This Row],[Profit]]/Table1[[#This Row],[Sales]]*100</f>
        <v>17.325555555555557</v>
      </c>
      <c r="I84" t="str">
        <f>IF(Table1[[#This Row],[Profit %]]&gt;20,"Excellent",IF(H84&gt;10.1,"Good","Low"))</f>
        <v>Good</v>
      </c>
    </row>
    <row r="85" spans="1:9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 s="2">
        <v>1335</v>
      </c>
      <c r="G85">
        <v>176.44</v>
      </c>
      <c r="H85" s="2">
        <f>Table1[[#This Row],[Profit]]/Table1[[#This Row],[Sales]]*100</f>
        <v>13.216479400749062</v>
      </c>
      <c r="I85" t="str">
        <f>IF(Table1[[#This Row],[Profit %]]&gt;20,"Excellent",IF(H85&gt;10.1,"Good","Low"))</f>
        <v>Good</v>
      </c>
    </row>
    <row r="86" spans="1:9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 s="2">
        <v>3090</v>
      </c>
      <c r="G86">
        <v>242.15</v>
      </c>
      <c r="H86" s="2">
        <f>Table1[[#This Row],[Profit]]/Table1[[#This Row],[Sales]]*100</f>
        <v>7.8365695792880263</v>
      </c>
      <c r="I86" t="str">
        <f>IF(Table1[[#This Row],[Profit %]]&gt;20,"Excellent",IF(H86&gt;10.1,"Good","Low"))</f>
        <v>Low</v>
      </c>
    </row>
    <row r="87" spans="1:9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 s="2">
        <v>3910</v>
      </c>
      <c r="G87">
        <v>538.52</v>
      </c>
      <c r="H87" s="2">
        <f>Table1[[#This Row],[Profit]]/Table1[[#This Row],[Sales]]*100</f>
        <v>13.772890025575446</v>
      </c>
      <c r="I87" t="str">
        <f>IF(Table1[[#This Row],[Profit %]]&gt;20,"Excellent",IF(H87&gt;10.1,"Good","Low"))</f>
        <v>Good</v>
      </c>
    </row>
    <row r="88" spans="1:9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 s="2">
        <v>219</v>
      </c>
      <c r="G88">
        <v>32.67</v>
      </c>
      <c r="H88" s="2">
        <f>Table1[[#This Row],[Profit]]/Table1[[#This Row],[Sales]]*100</f>
        <v>14.917808219178083</v>
      </c>
      <c r="I88" t="str">
        <f>IF(Table1[[#This Row],[Profit %]]&gt;20,"Excellent",IF(H88&gt;10.1,"Good","Low"))</f>
        <v>Good</v>
      </c>
    </row>
    <row r="89" spans="1:9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 s="2">
        <v>390</v>
      </c>
      <c r="G89">
        <v>27.77</v>
      </c>
      <c r="H89" s="2">
        <f>Table1[[#This Row],[Profit]]/Table1[[#This Row],[Sales]]*100</f>
        <v>7.1205128205128201</v>
      </c>
      <c r="I89" t="str">
        <f>IF(Table1[[#This Row],[Profit %]]&gt;20,"Excellent",IF(H89&gt;10.1,"Good","Low"))</f>
        <v>Low</v>
      </c>
    </row>
    <row r="90" spans="1:9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 s="2">
        <v>3294</v>
      </c>
      <c r="G90">
        <v>359.61</v>
      </c>
      <c r="H90" s="2">
        <f>Table1[[#This Row],[Profit]]/Table1[[#This Row],[Sales]]*100</f>
        <v>10.91712204007286</v>
      </c>
      <c r="I90" t="str">
        <f>IF(Table1[[#This Row],[Profit %]]&gt;20,"Excellent",IF(H90&gt;10.1,"Good","Low"))</f>
        <v>Good</v>
      </c>
    </row>
    <row r="91" spans="1:9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 s="2">
        <v>4572</v>
      </c>
      <c r="G91">
        <v>1038.05</v>
      </c>
      <c r="H91" s="2">
        <f>Table1[[#This Row],[Profit]]/Table1[[#This Row],[Sales]]*100</f>
        <v>22.704505686789151</v>
      </c>
      <c r="I91" t="str">
        <f>IF(Table1[[#This Row],[Profit %]]&gt;20,"Excellent",IF(H91&gt;10.1,"Good","Low"))</f>
        <v>Excellent</v>
      </c>
    </row>
    <row r="92" spans="1:9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 s="2">
        <v>980</v>
      </c>
      <c r="G92">
        <v>109.94</v>
      </c>
      <c r="H92" s="2">
        <f>Table1[[#This Row],[Profit]]/Table1[[#This Row],[Sales]]*100</f>
        <v>11.218367346938775</v>
      </c>
      <c r="I92" t="str">
        <f>IF(Table1[[#This Row],[Profit %]]&gt;20,"Excellent",IF(H92&gt;10.1,"Good","Low"))</f>
        <v>Good</v>
      </c>
    </row>
    <row r="93" spans="1:9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 s="2">
        <v>2262</v>
      </c>
      <c r="G93">
        <v>532.12</v>
      </c>
      <c r="H93" s="2">
        <f>Table1[[#This Row],[Profit]]/Table1[[#This Row],[Sales]]*100</f>
        <v>23.524314765694076</v>
      </c>
      <c r="I93" t="str">
        <f>IF(Table1[[#This Row],[Profit %]]&gt;20,"Excellent",IF(H93&gt;10.1,"Good","Low"))</f>
        <v>Excellent</v>
      </c>
    </row>
    <row r="94" spans="1:9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 s="2">
        <v>7518</v>
      </c>
      <c r="G94">
        <v>1655.91</v>
      </c>
      <c r="H94" s="2">
        <f>Table1[[#This Row],[Profit]]/Table1[[#This Row],[Sales]]*100</f>
        <v>22.025937749401436</v>
      </c>
      <c r="I94" t="str">
        <f>IF(Table1[[#This Row],[Profit %]]&gt;20,"Excellent",IF(H94&gt;10.1,"Good","Low"))</f>
        <v>Excellent</v>
      </c>
    </row>
    <row r="95" spans="1:9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 s="2">
        <v>873</v>
      </c>
      <c r="G95">
        <v>158.97</v>
      </c>
      <c r="H95" s="2">
        <f>Table1[[#This Row],[Profit]]/Table1[[#This Row],[Sales]]*100</f>
        <v>18.209621993127147</v>
      </c>
      <c r="I95" t="str">
        <f>IF(Table1[[#This Row],[Profit %]]&gt;20,"Excellent",IF(H95&gt;10.1,"Good","Low"))</f>
        <v>Good</v>
      </c>
    </row>
    <row r="96" spans="1:9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 s="2">
        <v>1512</v>
      </c>
      <c r="G96">
        <v>423.03</v>
      </c>
      <c r="H96" s="2">
        <f>Table1[[#This Row],[Profit]]/Table1[[#This Row],[Sales]]*100</f>
        <v>27.978174603174601</v>
      </c>
      <c r="I96" t="str">
        <f>IF(Table1[[#This Row],[Profit %]]&gt;20,"Excellent",IF(H96&gt;10.1,"Good","Low"))</f>
        <v>Excellent</v>
      </c>
    </row>
    <row r="97" spans="1:9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 s="2">
        <v>705</v>
      </c>
      <c r="G97">
        <v>165.16</v>
      </c>
      <c r="H97" s="2">
        <f>Table1[[#This Row],[Profit]]/Table1[[#This Row],[Sales]]*100</f>
        <v>23.426950354609929</v>
      </c>
      <c r="I97" t="str">
        <f>IF(Table1[[#This Row],[Profit %]]&gt;20,"Excellent",IF(H97&gt;10.1,"Good","Low"))</f>
        <v>Excellent</v>
      </c>
    </row>
    <row r="98" spans="1:9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 s="2">
        <v>3256</v>
      </c>
      <c r="G98">
        <v>533.70000000000005</v>
      </c>
      <c r="H98" s="2">
        <f>Table1[[#This Row],[Profit]]/Table1[[#This Row],[Sales]]*100</f>
        <v>16.391277641277643</v>
      </c>
      <c r="I98" t="str">
        <f>IF(Table1[[#This Row],[Profit %]]&gt;20,"Excellent",IF(H98&gt;10.1,"Good","Low"))</f>
        <v>Good</v>
      </c>
    </row>
    <row r="99" spans="1:9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 s="2">
        <v>556</v>
      </c>
      <c r="G99">
        <v>81.77</v>
      </c>
      <c r="H99" s="2">
        <f>Table1[[#This Row],[Profit]]/Table1[[#This Row],[Sales]]*100</f>
        <v>14.706834532374099</v>
      </c>
      <c r="I99" t="str">
        <f>IF(Table1[[#This Row],[Profit %]]&gt;20,"Excellent",IF(H99&gt;10.1,"Good","Low"))</f>
        <v>Good</v>
      </c>
    </row>
    <row r="100" spans="1:9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 s="2">
        <v>7101</v>
      </c>
      <c r="G100">
        <v>2105.8200000000002</v>
      </c>
      <c r="H100" s="2">
        <f>Table1[[#This Row],[Profit]]/Table1[[#This Row],[Sales]]*100</f>
        <v>29.655259822560204</v>
      </c>
      <c r="I100" t="str">
        <f>IF(Table1[[#This Row],[Profit %]]&gt;20,"Excellent",IF(H100&gt;10.1,"Good","Low"))</f>
        <v>Excellent</v>
      </c>
    </row>
    <row r="101" spans="1:9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 s="2">
        <v>8802</v>
      </c>
      <c r="G101">
        <v>1344.96</v>
      </c>
      <c r="H101" s="2">
        <f>Table1[[#This Row],[Profit]]/Table1[[#This Row],[Sales]]*100</f>
        <v>15.280163599182004</v>
      </c>
      <c r="I101" t="str">
        <f>IF(Table1[[#This Row],[Profit %]]&gt;20,"Excellent",IF(H101&gt;10.1,"Good","Low"))</f>
        <v>Good</v>
      </c>
    </row>
    <row r="102" spans="1:9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 s="2">
        <v>5592</v>
      </c>
      <c r="G102">
        <v>1294.1600000000001</v>
      </c>
      <c r="H102" s="2">
        <f>Table1[[#This Row],[Profit]]/Table1[[#This Row],[Sales]]*100</f>
        <v>23.143061516452075</v>
      </c>
      <c r="I102" t="str">
        <f>IF(Table1[[#This Row],[Profit %]]&gt;20,"Excellent",IF(H102&gt;10.1,"Good","Low"))</f>
        <v>Excellent</v>
      </c>
    </row>
    <row r="103" spans="1:9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 s="2">
        <v>1852</v>
      </c>
      <c r="G103">
        <v>168.92</v>
      </c>
      <c r="H103" s="2">
        <f>Table1[[#This Row],[Profit]]/Table1[[#This Row],[Sales]]*100</f>
        <v>9.1209503239740801</v>
      </c>
      <c r="I103" t="str">
        <f>IF(Table1[[#This Row],[Profit %]]&gt;20,"Excellent",IF(H103&gt;10.1,"Good","Low"))</f>
        <v>Low</v>
      </c>
    </row>
    <row r="104" spans="1:9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 s="2">
        <v>195</v>
      </c>
      <c r="G104">
        <v>57.88</v>
      </c>
      <c r="H104" s="2">
        <f>Table1[[#This Row],[Profit]]/Table1[[#This Row],[Sales]]*100</f>
        <v>29.682051282051287</v>
      </c>
      <c r="I104" t="str">
        <f>IF(Table1[[#This Row],[Profit %]]&gt;20,"Excellent",IF(H104&gt;10.1,"Good","Low"))</f>
        <v>Excellent</v>
      </c>
    </row>
    <row r="105" spans="1:9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 s="2">
        <v>7884</v>
      </c>
      <c r="G105">
        <v>2054.02</v>
      </c>
      <c r="H105" s="2">
        <f>Table1[[#This Row],[Profit]]/Table1[[#This Row],[Sales]]*100</f>
        <v>26.053018772196857</v>
      </c>
      <c r="I105" t="str">
        <f>IF(Table1[[#This Row],[Profit %]]&gt;20,"Excellent",IF(H105&gt;10.1,"Good","Low"))</f>
        <v>Excellent</v>
      </c>
    </row>
    <row r="106" spans="1:9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 s="2">
        <v>4360</v>
      </c>
      <c r="G106">
        <v>1160.55</v>
      </c>
      <c r="H106" s="2">
        <f>Table1[[#This Row],[Profit]]/Table1[[#This Row],[Sales]]*100</f>
        <v>26.618119266055047</v>
      </c>
      <c r="I106" t="str">
        <f>IF(Table1[[#This Row],[Profit %]]&gt;20,"Excellent",IF(H106&gt;10.1,"Good","Low"))</f>
        <v>Excellent</v>
      </c>
    </row>
    <row r="107" spans="1:9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 s="2">
        <v>4920</v>
      </c>
      <c r="G107">
        <v>929.18</v>
      </c>
      <c r="H107" s="2">
        <f>Table1[[#This Row],[Profit]]/Table1[[#This Row],[Sales]]*100</f>
        <v>18.885772357723578</v>
      </c>
      <c r="I107" t="str">
        <f>IF(Table1[[#This Row],[Profit %]]&gt;20,"Excellent",IF(H107&gt;10.1,"Good","Low"))</f>
        <v>Good</v>
      </c>
    </row>
    <row r="108" spans="1:9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 s="2">
        <v>3474</v>
      </c>
      <c r="G108">
        <v>565</v>
      </c>
      <c r="H108" s="2">
        <f>Table1[[#This Row],[Profit]]/Table1[[#This Row],[Sales]]*100</f>
        <v>16.263672999424294</v>
      </c>
      <c r="I108" t="str">
        <f>IF(Table1[[#This Row],[Profit %]]&gt;20,"Excellent",IF(H108&gt;10.1,"Good","Low"))</f>
        <v>Good</v>
      </c>
    </row>
    <row r="109" spans="1:9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 s="2">
        <v>930</v>
      </c>
      <c r="G109">
        <v>222.5</v>
      </c>
      <c r="H109" s="2">
        <f>Table1[[#This Row],[Profit]]/Table1[[#This Row],[Sales]]*100</f>
        <v>23.9247311827957</v>
      </c>
      <c r="I109" t="str">
        <f>IF(Table1[[#This Row],[Profit %]]&gt;20,"Excellent",IF(H109&gt;10.1,"Good","Low"))</f>
        <v>Excellent</v>
      </c>
    </row>
    <row r="110" spans="1:9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 s="2">
        <v>1421</v>
      </c>
      <c r="G110">
        <v>248.02</v>
      </c>
      <c r="H110" s="2">
        <f>Table1[[#This Row],[Profit]]/Table1[[#This Row],[Sales]]*100</f>
        <v>17.45390570021112</v>
      </c>
      <c r="I110" t="str">
        <f>IF(Table1[[#This Row],[Profit %]]&gt;20,"Excellent",IF(H110&gt;10.1,"Good","Low"))</f>
        <v>Good</v>
      </c>
    </row>
    <row r="111" spans="1:9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 s="2">
        <v>634</v>
      </c>
      <c r="G111">
        <v>161.1</v>
      </c>
      <c r="H111" s="2">
        <f>Table1[[#This Row],[Profit]]/Table1[[#This Row],[Sales]]*100</f>
        <v>25.410094637223974</v>
      </c>
      <c r="I111" t="str">
        <f>IF(Table1[[#This Row],[Profit %]]&gt;20,"Excellent",IF(H111&gt;10.1,"Good","Low"))</f>
        <v>Excellent</v>
      </c>
    </row>
    <row r="112" spans="1:9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 s="2">
        <v>673</v>
      </c>
      <c r="G112">
        <v>114.42</v>
      </c>
      <c r="H112" s="2">
        <f>Table1[[#This Row],[Profit]]/Table1[[#This Row],[Sales]]*100</f>
        <v>17.00148588410104</v>
      </c>
      <c r="I112" t="str">
        <f>IF(Table1[[#This Row],[Profit %]]&gt;20,"Excellent",IF(H112&gt;10.1,"Good","Low"))</f>
        <v>Good</v>
      </c>
    </row>
    <row r="113" spans="1:9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 s="2">
        <v>3135</v>
      </c>
      <c r="G113">
        <v>787.7</v>
      </c>
      <c r="H113" s="2">
        <f>Table1[[#This Row],[Profit]]/Table1[[#This Row],[Sales]]*100</f>
        <v>25.12599681020734</v>
      </c>
      <c r="I113" t="str">
        <f>IF(Table1[[#This Row],[Profit %]]&gt;20,"Excellent",IF(H113&gt;10.1,"Good","Low"))</f>
        <v>Excellent</v>
      </c>
    </row>
    <row r="114" spans="1:9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 s="2">
        <v>882</v>
      </c>
      <c r="G114">
        <v>184.48</v>
      </c>
      <c r="H114" s="2">
        <f>Table1[[#This Row],[Profit]]/Table1[[#This Row],[Sales]]*100</f>
        <v>20.916099773242632</v>
      </c>
      <c r="I114" t="str">
        <f>IF(Table1[[#This Row],[Profit %]]&gt;20,"Excellent",IF(H114&gt;10.1,"Good","Low"))</f>
        <v>Excellent</v>
      </c>
    </row>
    <row r="115" spans="1:9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 s="2">
        <v>1192</v>
      </c>
      <c r="G115">
        <v>212.77</v>
      </c>
      <c r="H115" s="2">
        <f>Table1[[#This Row],[Profit]]/Table1[[#This Row],[Sales]]*100</f>
        <v>17.849832214765101</v>
      </c>
      <c r="I115" t="str">
        <f>IF(Table1[[#This Row],[Profit %]]&gt;20,"Excellent",IF(H115&gt;10.1,"Good","Low"))</f>
        <v>Good</v>
      </c>
    </row>
    <row r="116" spans="1:9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 s="2">
        <v>390</v>
      </c>
      <c r="G116">
        <v>112.08</v>
      </c>
      <c r="H116" s="2">
        <f>Table1[[#This Row],[Profit]]/Table1[[#This Row],[Sales]]*100</f>
        <v>28.738461538461539</v>
      </c>
      <c r="I116" t="str">
        <f>IF(Table1[[#This Row],[Profit %]]&gt;20,"Excellent",IF(H116&gt;10.1,"Good","Low"))</f>
        <v>Excellent</v>
      </c>
    </row>
    <row r="117" spans="1:9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 s="2">
        <v>834</v>
      </c>
      <c r="G117">
        <v>95.54</v>
      </c>
      <c r="H117" s="2">
        <f>Table1[[#This Row],[Profit]]/Table1[[#This Row],[Sales]]*100</f>
        <v>11.455635491606715</v>
      </c>
      <c r="I117" t="str">
        <f>IF(Table1[[#This Row],[Profit %]]&gt;20,"Excellent",IF(H117&gt;10.1,"Good","Low"))</f>
        <v>Good</v>
      </c>
    </row>
    <row r="118" spans="1:9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 s="2">
        <v>612</v>
      </c>
      <c r="G118">
        <v>83.75</v>
      </c>
      <c r="H118" s="2">
        <f>Table1[[#This Row],[Profit]]/Table1[[#This Row],[Sales]]*100</f>
        <v>13.684640522875819</v>
      </c>
      <c r="I118" t="str">
        <f>IF(Table1[[#This Row],[Profit %]]&gt;20,"Excellent",IF(H118&gt;10.1,"Good","Low"))</f>
        <v>Good</v>
      </c>
    </row>
    <row r="119" spans="1:9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 s="2">
        <v>8073</v>
      </c>
      <c r="G119">
        <v>710.23</v>
      </c>
      <c r="H119" s="2">
        <f>Table1[[#This Row],[Profit]]/Table1[[#This Row],[Sales]]*100</f>
        <v>8.7975969280317106</v>
      </c>
      <c r="I119" t="str">
        <f>IF(Table1[[#This Row],[Profit %]]&gt;20,"Excellent",IF(H119&gt;10.1,"Good","Low"))</f>
        <v>Low</v>
      </c>
    </row>
    <row r="120" spans="1:9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 s="2">
        <v>2640</v>
      </c>
      <c r="G120">
        <v>723.88</v>
      </c>
      <c r="H120" s="2">
        <f>Table1[[#This Row],[Profit]]/Table1[[#This Row],[Sales]]*100</f>
        <v>27.419696969696972</v>
      </c>
      <c r="I120" t="str">
        <f>IF(Table1[[#This Row],[Profit %]]&gt;20,"Excellent",IF(H120&gt;10.1,"Good","Low"))</f>
        <v>Excellent</v>
      </c>
    </row>
    <row r="121" spans="1:9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 s="2">
        <v>3234</v>
      </c>
      <c r="G121">
        <v>440.7</v>
      </c>
      <c r="H121" s="2">
        <f>Table1[[#This Row],[Profit]]/Table1[[#This Row],[Sales]]*100</f>
        <v>13.627087198515769</v>
      </c>
      <c r="I121" t="str">
        <f>IF(Table1[[#This Row],[Profit %]]&gt;20,"Excellent",IF(H121&gt;10.1,"Good","Low"))</f>
        <v>Good</v>
      </c>
    </row>
    <row r="122" spans="1:9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 s="2">
        <v>4435</v>
      </c>
      <c r="G122">
        <v>355.51</v>
      </c>
      <c r="H122" s="2">
        <f>Table1[[#This Row],[Profit]]/Table1[[#This Row],[Sales]]*100</f>
        <v>8.0160090191657254</v>
      </c>
      <c r="I122" t="str">
        <f>IF(Table1[[#This Row],[Profit %]]&gt;20,"Excellent",IF(H122&gt;10.1,"Good","Low"))</f>
        <v>Low</v>
      </c>
    </row>
    <row r="123" spans="1:9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 s="2">
        <v>2302</v>
      </c>
      <c r="G123">
        <v>305.07</v>
      </c>
      <c r="H123" s="2">
        <f>Table1[[#This Row],[Profit]]/Table1[[#This Row],[Sales]]*100</f>
        <v>13.252389226759339</v>
      </c>
      <c r="I123" t="str">
        <f>IF(Table1[[#This Row],[Profit %]]&gt;20,"Excellent",IF(H123&gt;10.1,"Good","Low"))</f>
        <v>Good</v>
      </c>
    </row>
    <row r="124" spans="1:9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 s="2">
        <v>1728</v>
      </c>
      <c r="G124">
        <v>307.44</v>
      </c>
      <c r="H124" s="2">
        <f>Table1[[#This Row],[Profit]]/Table1[[#This Row],[Sales]]*100</f>
        <v>17.791666666666668</v>
      </c>
      <c r="I124" t="str">
        <f>IF(Table1[[#This Row],[Profit %]]&gt;20,"Excellent",IF(H124&gt;10.1,"Good","Low"))</f>
        <v>Good</v>
      </c>
    </row>
    <row r="125" spans="1:9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 s="2">
        <v>228</v>
      </c>
      <c r="G125">
        <v>54.05</v>
      </c>
      <c r="H125" s="2">
        <f>Table1[[#This Row],[Profit]]/Table1[[#This Row],[Sales]]*100</f>
        <v>23.706140350877192</v>
      </c>
      <c r="I125" t="str">
        <f>IF(Table1[[#This Row],[Profit %]]&gt;20,"Excellent",IF(H125&gt;10.1,"Good","Low"))</f>
        <v>Excellent</v>
      </c>
    </row>
    <row r="126" spans="1:9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 s="2">
        <v>3450</v>
      </c>
      <c r="G126">
        <v>705.74</v>
      </c>
      <c r="H126" s="2">
        <f>Table1[[#This Row],[Profit]]/Table1[[#This Row],[Sales]]*100</f>
        <v>20.456231884057971</v>
      </c>
      <c r="I126" t="str">
        <f>IF(Table1[[#This Row],[Profit %]]&gt;20,"Excellent",IF(H126&gt;10.1,"Good","Low"))</f>
        <v>Excellent</v>
      </c>
    </row>
    <row r="127" spans="1:9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 s="2">
        <v>7456</v>
      </c>
      <c r="G127">
        <v>1702.48</v>
      </c>
      <c r="H127" s="2">
        <f>Table1[[#This Row],[Profit]]/Table1[[#This Row],[Sales]]*100</f>
        <v>22.833690987124463</v>
      </c>
      <c r="I127" t="str">
        <f>IF(Table1[[#This Row],[Profit %]]&gt;20,"Excellent",IF(H127&gt;10.1,"Good","Low"))</f>
        <v>Excellent</v>
      </c>
    </row>
    <row r="128" spans="1:9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 s="2">
        <v>4728</v>
      </c>
      <c r="G128">
        <v>705.85</v>
      </c>
      <c r="H128" s="2">
        <f>Table1[[#This Row],[Profit]]/Table1[[#This Row],[Sales]]*100</f>
        <v>14.929145516074453</v>
      </c>
      <c r="I128" t="str">
        <f>IF(Table1[[#This Row],[Profit %]]&gt;20,"Excellent",IF(H128&gt;10.1,"Good","Low"))</f>
        <v>Good</v>
      </c>
    </row>
    <row r="129" spans="1:9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 s="2">
        <v>945</v>
      </c>
      <c r="G129">
        <v>124.62</v>
      </c>
      <c r="H129" s="2">
        <f>Table1[[#This Row],[Profit]]/Table1[[#This Row],[Sales]]*100</f>
        <v>13.187301587301587</v>
      </c>
      <c r="I129" t="str">
        <f>IF(Table1[[#This Row],[Profit %]]&gt;20,"Excellent",IF(H129&gt;10.1,"Good","Low"))</f>
        <v>Good</v>
      </c>
    </row>
    <row r="130" spans="1:9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 s="2">
        <v>296</v>
      </c>
      <c r="G130">
        <v>65.05</v>
      </c>
      <c r="H130" s="2">
        <f>Table1[[#This Row],[Profit]]/Table1[[#This Row],[Sales]]*100</f>
        <v>21.976351351351351</v>
      </c>
      <c r="I130" t="str">
        <f>IF(Table1[[#This Row],[Profit %]]&gt;20,"Excellent",IF(H130&gt;10.1,"Good","Low"))</f>
        <v>Excellent</v>
      </c>
    </row>
    <row r="131" spans="1:9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 s="2">
        <v>640</v>
      </c>
      <c r="G131">
        <v>149.88999999999999</v>
      </c>
      <c r="H131" s="2">
        <f>Table1[[#This Row],[Profit]]/Table1[[#This Row],[Sales]]*100</f>
        <v>23.420312499999998</v>
      </c>
      <c r="I131" t="str">
        <f>IF(Table1[[#This Row],[Profit %]]&gt;20,"Excellent",IF(H131&gt;10.1,"Good","Low"))</f>
        <v>Excellent</v>
      </c>
    </row>
    <row r="132" spans="1:9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 s="2">
        <v>797</v>
      </c>
      <c r="G132">
        <v>65.27</v>
      </c>
      <c r="H132" s="2">
        <f>Table1[[#This Row],[Profit]]/Table1[[#This Row],[Sales]]*100</f>
        <v>8.1894604767879553</v>
      </c>
      <c r="I132" t="str">
        <f>IF(Table1[[#This Row],[Profit %]]&gt;20,"Excellent",IF(H132&gt;10.1,"Good","Low"))</f>
        <v>Low</v>
      </c>
    </row>
    <row r="133" spans="1:9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 s="2">
        <v>1456</v>
      </c>
      <c r="G133">
        <v>431.89</v>
      </c>
      <c r="H133" s="2">
        <f>Table1[[#This Row],[Profit]]/Table1[[#This Row],[Sales]]*100</f>
        <v>29.662774725274726</v>
      </c>
      <c r="I133" t="str">
        <f>IF(Table1[[#This Row],[Profit %]]&gt;20,"Excellent",IF(H133&gt;10.1,"Good","Low"))</f>
        <v>Excellent</v>
      </c>
    </row>
    <row r="134" spans="1:9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 s="2">
        <v>4038</v>
      </c>
      <c r="G134">
        <v>364.11</v>
      </c>
      <c r="H134" s="2">
        <f>Table1[[#This Row],[Profit]]/Table1[[#This Row],[Sales]]*100</f>
        <v>9.0170876671619613</v>
      </c>
      <c r="I134" t="str">
        <f>IF(Table1[[#This Row],[Profit %]]&gt;20,"Excellent",IF(H134&gt;10.1,"Good","Low"))</f>
        <v>Low</v>
      </c>
    </row>
    <row r="135" spans="1:9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 s="2">
        <v>5656</v>
      </c>
      <c r="G135">
        <v>355.81</v>
      </c>
      <c r="H135" s="2">
        <f>Table1[[#This Row],[Profit]]/Table1[[#This Row],[Sales]]*100</f>
        <v>6.2908415841584162</v>
      </c>
      <c r="I135" t="str">
        <f>IF(Table1[[#This Row],[Profit %]]&gt;20,"Excellent",IF(H135&gt;10.1,"Good","Low"))</f>
        <v>Low</v>
      </c>
    </row>
    <row r="136" spans="1:9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 s="2">
        <v>3876</v>
      </c>
      <c r="G136">
        <v>302.37</v>
      </c>
      <c r="H136" s="2">
        <f>Table1[[#This Row],[Profit]]/Table1[[#This Row],[Sales]]*100</f>
        <v>7.8010835913312686</v>
      </c>
      <c r="I136" t="str">
        <f>IF(Table1[[#This Row],[Profit %]]&gt;20,"Excellent",IF(H136&gt;10.1,"Good","Low"))</f>
        <v>Low</v>
      </c>
    </row>
    <row r="137" spans="1:9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 s="2">
        <v>1002</v>
      </c>
      <c r="G137">
        <v>114.7</v>
      </c>
      <c r="H137" s="2">
        <f>Table1[[#This Row],[Profit]]/Table1[[#This Row],[Sales]]*100</f>
        <v>11.447105788423153</v>
      </c>
      <c r="I137" t="str">
        <f>IF(Table1[[#This Row],[Profit %]]&gt;20,"Excellent",IF(H137&gt;10.1,"Good","Low"))</f>
        <v>Good</v>
      </c>
    </row>
    <row r="138" spans="1:9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 s="2">
        <v>2187</v>
      </c>
      <c r="G138">
        <v>413.76</v>
      </c>
      <c r="H138" s="2">
        <f>Table1[[#This Row],[Profit]]/Table1[[#This Row],[Sales]]*100</f>
        <v>18.919067215363512</v>
      </c>
      <c r="I138" t="str">
        <f>IF(Table1[[#This Row],[Profit %]]&gt;20,"Excellent",IF(H138&gt;10.1,"Good","Low"))</f>
        <v>Good</v>
      </c>
    </row>
    <row r="139" spans="1:9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 s="2">
        <v>7146</v>
      </c>
      <c r="G139">
        <v>1627.42</v>
      </c>
      <c r="H139" s="2">
        <f>Table1[[#This Row],[Profit]]/Table1[[#This Row],[Sales]]*100</f>
        <v>22.773859501819203</v>
      </c>
      <c r="I139" t="str">
        <f>IF(Table1[[#This Row],[Profit %]]&gt;20,"Excellent",IF(H139&gt;10.1,"Good","Low"))</f>
        <v>Excellent</v>
      </c>
    </row>
    <row r="140" spans="1:9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 s="2">
        <v>189</v>
      </c>
      <c r="G140">
        <v>14.88</v>
      </c>
      <c r="H140" s="2">
        <f>Table1[[#This Row],[Profit]]/Table1[[#This Row],[Sales]]*100</f>
        <v>7.8730158730158735</v>
      </c>
      <c r="I140" t="str">
        <f>IF(Table1[[#This Row],[Profit %]]&gt;20,"Excellent",IF(H140&gt;10.1,"Good","Low"))</f>
        <v>Low</v>
      </c>
    </row>
    <row r="141" spans="1:9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 s="2">
        <v>940</v>
      </c>
      <c r="G141">
        <v>266.02</v>
      </c>
      <c r="H141" s="2">
        <f>Table1[[#This Row],[Profit]]/Table1[[#This Row],[Sales]]*100</f>
        <v>28.299999999999997</v>
      </c>
      <c r="I141" t="str">
        <f>IF(Table1[[#This Row],[Profit %]]&gt;20,"Excellent",IF(H141&gt;10.1,"Good","Low"))</f>
        <v>Excellent</v>
      </c>
    </row>
    <row r="142" spans="1:9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 s="2">
        <v>951</v>
      </c>
      <c r="G142">
        <v>127.58</v>
      </c>
      <c r="H142" s="2">
        <f>Table1[[#This Row],[Profit]]/Table1[[#This Row],[Sales]]*100</f>
        <v>13.41535226077813</v>
      </c>
      <c r="I142" t="str">
        <f>IF(Table1[[#This Row],[Profit %]]&gt;20,"Excellent",IF(H142&gt;10.1,"Good","Low"))</f>
        <v>Good</v>
      </c>
    </row>
    <row r="143" spans="1:9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 s="2">
        <v>124</v>
      </c>
      <c r="G143">
        <v>27.42</v>
      </c>
      <c r="H143" s="2">
        <f>Table1[[#This Row],[Profit]]/Table1[[#This Row],[Sales]]*100</f>
        <v>22.112903225806452</v>
      </c>
      <c r="I143" t="str">
        <f>IF(Table1[[#This Row],[Profit %]]&gt;20,"Excellent",IF(H143&gt;10.1,"Good","Low"))</f>
        <v>Excellent</v>
      </c>
    </row>
    <row r="144" spans="1:9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 s="2">
        <v>7506</v>
      </c>
      <c r="G144">
        <v>594.28</v>
      </c>
      <c r="H144" s="2">
        <f>Table1[[#This Row],[Profit]]/Table1[[#This Row],[Sales]]*100</f>
        <v>7.9173994138022907</v>
      </c>
      <c r="I144" t="str">
        <f>IF(Table1[[#This Row],[Profit %]]&gt;20,"Excellent",IF(H144&gt;10.1,"Good","Low"))</f>
        <v>Low</v>
      </c>
    </row>
    <row r="145" spans="1:9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 s="2">
        <v>8176</v>
      </c>
      <c r="G145">
        <v>2308.7600000000002</v>
      </c>
      <c r="H145" s="2">
        <f>Table1[[#This Row],[Profit]]/Table1[[#This Row],[Sales]]*100</f>
        <v>28.238258317025444</v>
      </c>
      <c r="I145" t="str">
        <f>IF(Table1[[#This Row],[Profit %]]&gt;20,"Excellent",IF(H145&gt;10.1,"Good","Low"))</f>
        <v>Excellent</v>
      </c>
    </row>
    <row r="146" spans="1:9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 s="2">
        <v>2125</v>
      </c>
      <c r="G146">
        <v>632.67999999999995</v>
      </c>
      <c r="H146" s="2">
        <f>Table1[[#This Row],[Profit]]/Table1[[#This Row],[Sales]]*100</f>
        <v>29.773176470588229</v>
      </c>
      <c r="I146" t="str">
        <f>IF(Table1[[#This Row],[Profit %]]&gt;20,"Excellent",IF(H146&gt;10.1,"Good","Low"))</f>
        <v>Excellent</v>
      </c>
    </row>
    <row r="147" spans="1:9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 s="2">
        <v>967</v>
      </c>
      <c r="G147">
        <v>59.98</v>
      </c>
      <c r="H147" s="2">
        <f>Table1[[#This Row],[Profit]]/Table1[[#This Row],[Sales]]*100</f>
        <v>6.2026887280248193</v>
      </c>
      <c r="I147" t="str">
        <f>IF(Table1[[#This Row],[Profit %]]&gt;20,"Excellent",IF(H147&gt;10.1,"Good","Low"))</f>
        <v>Low</v>
      </c>
    </row>
    <row r="148" spans="1:9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 s="2">
        <v>270</v>
      </c>
      <c r="G148">
        <v>29.41</v>
      </c>
      <c r="H148" s="2">
        <f>Table1[[#This Row],[Profit]]/Table1[[#This Row],[Sales]]*100</f>
        <v>10.892592592592592</v>
      </c>
      <c r="I148" t="str">
        <f>IF(Table1[[#This Row],[Profit %]]&gt;20,"Excellent",IF(H148&gt;10.1,"Good","Low"))</f>
        <v>Good</v>
      </c>
    </row>
    <row r="149" spans="1:9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 s="2">
        <v>10035</v>
      </c>
      <c r="G149">
        <v>1486.3</v>
      </c>
      <c r="H149" s="2">
        <f>Table1[[#This Row],[Profit]]/Table1[[#This Row],[Sales]]*100</f>
        <v>14.811160936721473</v>
      </c>
      <c r="I149" t="str">
        <f>IF(Table1[[#This Row],[Profit %]]&gt;20,"Excellent",IF(H149&gt;10.1,"Good","Low"))</f>
        <v>Good</v>
      </c>
    </row>
    <row r="150" spans="1:9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 s="2">
        <v>6792</v>
      </c>
      <c r="G150">
        <v>1125.23</v>
      </c>
      <c r="H150" s="2">
        <f>Table1[[#This Row],[Profit]]/Table1[[#This Row],[Sales]]*100</f>
        <v>16.566990577149589</v>
      </c>
      <c r="I150" t="str">
        <f>IF(Table1[[#This Row],[Profit %]]&gt;20,"Excellent",IF(H150&gt;10.1,"Good","Low"))</f>
        <v>Good</v>
      </c>
    </row>
    <row r="151" spans="1:9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 s="2">
        <v>714</v>
      </c>
      <c r="G151">
        <v>99.13</v>
      </c>
      <c r="H151" s="2">
        <f>Table1[[#This Row],[Profit]]/Table1[[#This Row],[Sales]]*100</f>
        <v>13.883753501400559</v>
      </c>
      <c r="I151" t="str">
        <f>IF(Table1[[#This Row],[Profit %]]&gt;20,"Excellent",IF(H151&gt;10.1,"Good","Low"))</f>
        <v>Good</v>
      </c>
    </row>
    <row r="152" spans="1:9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 s="2">
        <v>765</v>
      </c>
      <c r="G152">
        <v>157.63999999999999</v>
      </c>
      <c r="H152" s="2">
        <f>Table1[[#This Row],[Profit]]/Table1[[#This Row],[Sales]]*100</f>
        <v>20.606535947712416</v>
      </c>
      <c r="I152" t="str">
        <f>IF(Table1[[#This Row],[Profit %]]&gt;20,"Excellent",IF(H152&gt;10.1,"Good","Low"))</f>
        <v>Excellent</v>
      </c>
    </row>
    <row r="153" spans="1:9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 s="2">
        <v>4221</v>
      </c>
      <c r="G153">
        <v>358.02</v>
      </c>
      <c r="H153" s="2">
        <f>Table1[[#This Row],[Profit]]/Table1[[#This Row],[Sales]]*100</f>
        <v>8.4818763326226012</v>
      </c>
      <c r="I153" t="str">
        <f>IF(Table1[[#This Row],[Profit %]]&gt;20,"Excellent",IF(H153&gt;10.1,"Good","Low"))</f>
        <v>Low</v>
      </c>
    </row>
    <row r="154" spans="1:9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 s="2">
        <v>2108</v>
      </c>
      <c r="G154">
        <v>576.48</v>
      </c>
      <c r="H154" s="2">
        <f>Table1[[#This Row],[Profit]]/Table1[[#This Row],[Sales]]*100</f>
        <v>27.347248576850099</v>
      </c>
      <c r="I154" t="str">
        <f>IF(Table1[[#This Row],[Profit %]]&gt;20,"Excellent",IF(H154&gt;10.1,"Good","Low"))</f>
        <v>Excellent</v>
      </c>
    </row>
    <row r="155" spans="1:9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 s="2">
        <v>10530</v>
      </c>
      <c r="G155">
        <v>2387.63</v>
      </c>
      <c r="H155" s="2">
        <f>Table1[[#This Row],[Profit]]/Table1[[#This Row],[Sales]]*100</f>
        <v>22.67454890788224</v>
      </c>
      <c r="I155" t="str">
        <f>IF(Table1[[#This Row],[Profit %]]&gt;20,"Excellent",IF(H155&gt;10.1,"Good","Low"))</f>
        <v>Excellent</v>
      </c>
    </row>
    <row r="156" spans="1:9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 s="2">
        <v>3396</v>
      </c>
      <c r="G156">
        <v>914.17</v>
      </c>
      <c r="H156" s="2">
        <f>Table1[[#This Row],[Profit]]/Table1[[#This Row],[Sales]]*100</f>
        <v>26.91902237926973</v>
      </c>
      <c r="I156" t="str">
        <f>IF(Table1[[#This Row],[Profit %]]&gt;20,"Excellent",IF(H156&gt;10.1,"Good","Low"))</f>
        <v>Excellent</v>
      </c>
    </row>
    <row r="157" spans="1:9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 s="2">
        <v>1060</v>
      </c>
      <c r="G157">
        <v>213.05</v>
      </c>
      <c r="H157" s="2">
        <f>Table1[[#This Row],[Profit]]/Table1[[#This Row],[Sales]]*100</f>
        <v>20.099056603773587</v>
      </c>
      <c r="I157" t="str">
        <f>IF(Table1[[#This Row],[Profit %]]&gt;20,"Excellent",IF(H157&gt;10.1,"Good","Low"))</f>
        <v>Excellent</v>
      </c>
    </row>
    <row r="158" spans="1:9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 s="2">
        <v>480</v>
      </c>
      <c r="G158">
        <v>73.069999999999993</v>
      </c>
      <c r="H158" s="2">
        <f>Table1[[#This Row],[Profit]]/Table1[[#This Row],[Sales]]*100</f>
        <v>15.222916666666666</v>
      </c>
      <c r="I158" t="str">
        <f>IF(Table1[[#This Row],[Profit %]]&gt;20,"Excellent",IF(H158&gt;10.1,"Good","Low"))</f>
        <v>Good</v>
      </c>
    </row>
    <row r="159" spans="1:9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 s="2">
        <v>2529</v>
      </c>
      <c r="G159">
        <v>285.64999999999998</v>
      </c>
      <c r="H159" s="2">
        <f>Table1[[#This Row],[Profit]]/Table1[[#This Row],[Sales]]*100</f>
        <v>11.294978252273626</v>
      </c>
      <c r="I159" t="str">
        <f>IF(Table1[[#This Row],[Profit %]]&gt;20,"Excellent",IF(H159&gt;10.1,"Good","Low"))</f>
        <v>Good</v>
      </c>
    </row>
    <row r="160" spans="1:9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 s="2">
        <v>4792</v>
      </c>
      <c r="G160">
        <v>511.97</v>
      </c>
      <c r="H160" s="2">
        <f>Table1[[#This Row],[Profit]]/Table1[[#This Row],[Sales]]*100</f>
        <v>10.683848080133556</v>
      </c>
      <c r="I160" t="str">
        <f>IF(Table1[[#This Row],[Profit %]]&gt;20,"Excellent",IF(H160&gt;10.1,"Good","Low"))</f>
        <v>Good</v>
      </c>
    </row>
    <row r="161" spans="1:9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 s="2">
        <v>8056</v>
      </c>
      <c r="G161">
        <v>605.79999999999995</v>
      </c>
      <c r="H161" s="2">
        <f>Table1[[#This Row],[Profit]]/Table1[[#This Row],[Sales]]*100</f>
        <v>7.5198609731876846</v>
      </c>
      <c r="I161" t="str">
        <f>IF(Table1[[#This Row],[Profit %]]&gt;20,"Excellent",IF(H161&gt;10.1,"Good","Low"))</f>
        <v>Low</v>
      </c>
    </row>
    <row r="162" spans="1:9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 s="2">
        <v>4228</v>
      </c>
      <c r="G162">
        <v>947.76</v>
      </c>
      <c r="H162" s="2">
        <f>Table1[[#This Row],[Profit]]/Table1[[#This Row],[Sales]]*100</f>
        <v>22.416272469252601</v>
      </c>
      <c r="I162" t="str">
        <f>IF(Table1[[#This Row],[Profit %]]&gt;20,"Excellent",IF(H162&gt;10.1,"Good","Low"))</f>
        <v>Excellent</v>
      </c>
    </row>
    <row r="163" spans="1:9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 s="2">
        <v>653</v>
      </c>
      <c r="G163">
        <v>93.78</v>
      </c>
      <c r="H163" s="2">
        <f>Table1[[#This Row],[Profit]]/Table1[[#This Row],[Sales]]*100</f>
        <v>14.361408882082696</v>
      </c>
      <c r="I163" t="str">
        <f>IF(Table1[[#This Row],[Profit %]]&gt;20,"Excellent",IF(H163&gt;10.1,"Good","Low"))</f>
        <v>Good</v>
      </c>
    </row>
    <row r="164" spans="1:9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 s="2">
        <v>7452</v>
      </c>
      <c r="G164">
        <v>1212.51</v>
      </c>
      <c r="H164" s="2">
        <f>Table1[[#This Row],[Profit]]/Table1[[#This Row],[Sales]]*100</f>
        <v>16.270933977455719</v>
      </c>
      <c r="I164" t="str">
        <f>IF(Table1[[#This Row],[Profit %]]&gt;20,"Excellent",IF(H164&gt;10.1,"Good","Low"))</f>
        <v>Good</v>
      </c>
    </row>
    <row r="165" spans="1:9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 s="2">
        <v>4128</v>
      </c>
      <c r="G165">
        <v>1156.71</v>
      </c>
      <c r="H165" s="2">
        <f>Table1[[#This Row],[Profit]]/Table1[[#This Row],[Sales]]*100</f>
        <v>28.021075581395351</v>
      </c>
      <c r="I165" t="str">
        <f>IF(Table1[[#This Row],[Profit %]]&gt;20,"Excellent",IF(H165&gt;10.1,"Good","Low"))</f>
        <v>Excellent</v>
      </c>
    </row>
    <row r="166" spans="1:9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 s="2">
        <v>5090</v>
      </c>
      <c r="G166">
        <v>1201.56</v>
      </c>
      <c r="H166" s="2">
        <f>Table1[[#This Row],[Profit]]/Table1[[#This Row],[Sales]]*100</f>
        <v>23.606286836935165</v>
      </c>
      <c r="I166" t="str">
        <f>IF(Table1[[#This Row],[Profit %]]&gt;20,"Excellent",IF(H166&gt;10.1,"Good","Low"))</f>
        <v>Excellent</v>
      </c>
    </row>
    <row r="167" spans="1:9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 s="2">
        <v>4930</v>
      </c>
      <c r="G167">
        <v>387.33</v>
      </c>
      <c r="H167" s="2">
        <f>Table1[[#This Row],[Profit]]/Table1[[#This Row],[Sales]]*100</f>
        <v>7.8565922920892497</v>
      </c>
      <c r="I167" t="str">
        <f>IF(Table1[[#This Row],[Profit %]]&gt;20,"Excellent",IF(H167&gt;10.1,"Good","Low"))</f>
        <v>Low</v>
      </c>
    </row>
    <row r="168" spans="1:9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 s="2">
        <v>2610</v>
      </c>
      <c r="G168">
        <v>434.37</v>
      </c>
      <c r="H168" s="2">
        <f>Table1[[#This Row],[Profit]]/Table1[[#This Row],[Sales]]*100</f>
        <v>16.642528735632183</v>
      </c>
      <c r="I168" t="str">
        <f>IF(Table1[[#This Row],[Profit %]]&gt;20,"Excellent",IF(H168&gt;10.1,"Good","Low"))</f>
        <v>Good</v>
      </c>
    </row>
    <row r="169" spans="1:9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 s="2">
        <v>2139</v>
      </c>
      <c r="G169">
        <v>415.84</v>
      </c>
      <c r="H169" s="2">
        <f>Table1[[#This Row],[Profit]]/Table1[[#This Row],[Sales]]*100</f>
        <v>19.440860215053764</v>
      </c>
      <c r="I169" t="str">
        <f>IF(Table1[[#This Row],[Profit %]]&gt;20,"Excellent",IF(H169&gt;10.1,"Good","Low"))</f>
        <v>Good</v>
      </c>
    </row>
    <row r="170" spans="1:9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 s="2">
        <v>226</v>
      </c>
      <c r="G170">
        <v>55.4</v>
      </c>
      <c r="H170" s="2">
        <f>Table1[[#This Row],[Profit]]/Table1[[#This Row],[Sales]]*100</f>
        <v>24.513274336283185</v>
      </c>
      <c r="I170" t="str">
        <f>IF(Table1[[#This Row],[Profit %]]&gt;20,"Excellent",IF(H170&gt;10.1,"Good","Low"))</f>
        <v>Excellent</v>
      </c>
    </row>
    <row r="171" spans="1:9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 s="2">
        <v>2244</v>
      </c>
      <c r="G171">
        <v>212.08</v>
      </c>
      <c r="H171" s="2">
        <f>Table1[[#This Row],[Profit]]/Table1[[#This Row],[Sales]]*100</f>
        <v>9.4509803921568629</v>
      </c>
      <c r="I171" t="str">
        <f>IF(Table1[[#This Row],[Profit %]]&gt;20,"Excellent",IF(H171&gt;10.1,"Good","Low"))</f>
        <v>Low</v>
      </c>
    </row>
    <row r="172" spans="1:9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 s="2">
        <v>3150</v>
      </c>
      <c r="G172">
        <v>578.87</v>
      </c>
      <c r="H172" s="2">
        <f>Table1[[#This Row],[Profit]]/Table1[[#This Row],[Sales]]*100</f>
        <v>18.376825396825396</v>
      </c>
      <c r="I172" t="str">
        <f>IF(Table1[[#This Row],[Profit %]]&gt;20,"Excellent",IF(H172&gt;10.1,"Good","Low"))</f>
        <v>Good</v>
      </c>
    </row>
    <row r="173" spans="1:9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 s="2">
        <v>3388</v>
      </c>
      <c r="G173">
        <v>347.19</v>
      </c>
      <c r="H173" s="2">
        <f>Table1[[#This Row],[Profit]]/Table1[[#This Row],[Sales]]*100</f>
        <v>10.247638724911452</v>
      </c>
      <c r="I173" t="str">
        <f>IF(Table1[[#This Row],[Profit %]]&gt;20,"Excellent",IF(H173&gt;10.1,"Good","Low"))</f>
        <v>Good</v>
      </c>
    </row>
    <row r="174" spans="1:9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 s="2">
        <v>8736</v>
      </c>
      <c r="G174">
        <v>580.30999999999995</v>
      </c>
      <c r="H174" s="2">
        <f>Table1[[#This Row],[Profit]]/Table1[[#This Row],[Sales]]*100</f>
        <v>6.6427426739926725</v>
      </c>
      <c r="I174" t="str">
        <f>IF(Table1[[#This Row],[Profit %]]&gt;20,"Excellent",IF(H174&gt;10.1,"Good","Low"))</f>
        <v>Low</v>
      </c>
    </row>
    <row r="175" spans="1:9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 s="2">
        <v>1102</v>
      </c>
      <c r="G175">
        <v>176.53</v>
      </c>
      <c r="H175" s="2">
        <f>Table1[[#This Row],[Profit]]/Table1[[#This Row],[Sales]]*100</f>
        <v>16.01905626134301</v>
      </c>
      <c r="I175" t="str">
        <f>IF(Table1[[#This Row],[Profit %]]&gt;20,"Excellent",IF(H175&gt;10.1,"Good","Low"))</f>
        <v>Good</v>
      </c>
    </row>
    <row r="176" spans="1:9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 s="2">
        <v>2640</v>
      </c>
      <c r="G176">
        <v>199.97</v>
      </c>
      <c r="H176" s="2">
        <f>Table1[[#This Row],[Profit]]/Table1[[#This Row],[Sales]]*100</f>
        <v>7.5746212121212118</v>
      </c>
      <c r="I176" t="str">
        <f>IF(Table1[[#This Row],[Profit %]]&gt;20,"Excellent",IF(H176&gt;10.1,"Good","Low"))</f>
        <v>Low</v>
      </c>
    </row>
    <row r="177" spans="1:9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 s="2">
        <v>2547</v>
      </c>
      <c r="G177">
        <v>300.74</v>
      </c>
      <c r="H177" s="2">
        <f>Table1[[#This Row],[Profit]]/Table1[[#This Row],[Sales]]*100</f>
        <v>11.807616804083237</v>
      </c>
      <c r="I177" t="str">
        <f>IF(Table1[[#This Row],[Profit %]]&gt;20,"Excellent",IF(H177&gt;10.1,"Good","Low"))</f>
        <v>Good</v>
      </c>
    </row>
    <row r="178" spans="1:9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 s="2">
        <v>728</v>
      </c>
      <c r="G178">
        <v>64.819999999999993</v>
      </c>
      <c r="H178" s="2">
        <f>Table1[[#This Row],[Profit]]/Table1[[#This Row],[Sales]]*100</f>
        <v>8.9038461538461533</v>
      </c>
      <c r="I178" t="str">
        <f>IF(Table1[[#This Row],[Profit %]]&gt;20,"Excellent",IF(H178&gt;10.1,"Good","Low"))</f>
        <v>Low</v>
      </c>
    </row>
    <row r="179" spans="1:9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 s="2">
        <v>3444</v>
      </c>
      <c r="G179">
        <v>607.44000000000005</v>
      </c>
      <c r="H179" s="2">
        <f>Table1[[#This Row],[Profit]]/Table1[[#This Row],[Sales]]*100</f>
        <v>17.637630662020907</v>
      </c>
      <c r="I179" t="str">
        <f>IF(Table1[[#This Row],[Profit %]]&gt;20,"Excellent",IF(H179&gt;10.1,"Good","Low"))</f>
        <v>Good</v>
      </c>
    </row>
    <row r="180" spans="1:9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 s="2">
        <v>3140</v>
      </c>
      <c r="G180">
        <v>853.66</v>
      </c>
      <c r="H180" s="2">
        <f>Table1[[#This Row],[Profit]]/Table1[[#This Row],[Sales]]*100</f>
        <v>27.186624203821658</v>
      </c>
      <c r="I180" t="str">
        <f>IF(Table1[[#This Row],[Profit %]]&gt;20,"Excellent",IF(H180&gt;10.1,"Good","Low"))</f>
        <v>Excellent</v>
      </c>
    </row>
    <row r="181" spans="1:9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 s="2">
        <v>435</v>
      </c>
      <c r="G181">
        <v>129.27000000000001</v>
      </c>
      <c r="H181" s="2">
        <f>Table1[[#This Row],[Profit]]/Table1[[#This Row],[Sales]]*100</f>
        <v>29.717241379310348</v>
      </c>
      <c r="I181" t="str">
        <f>IF(Table1[[#This Row],[Profit %]]&gt;20,"Excellent",IF(H181&gt;10.1,"Good","Low"))</f>
        <v>Excellent</v>
      </c>
    </row>
    <row r="182" spans="1:9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 s="2">
        <v>856</v>
      </c>
      <c r="G182">
        <v>72.989999999999995</v>
      </c>
      <c r="H182" s="2">
        <f>Table1[[#This Row],[Profit]]/Table1[[#This Row],[Sales]]*100</f>
        <v>8.5268691588785046</v>
      </c>
      <c r="I182" t="str">
        <f>IF(Table1[[#This Row],[Profit %]]&gt;20,"Excellent",IF(H182&gt;10.1,"Good","Low"))</f>
        <v>Low</v>
      </c>
    </row>
    <row r="183" spans="1:9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 s="2">
        <v>112</v>
      </c>
      <c r="G183">
        <v>23.33</v>
      </c>
      <c r="H183" s="2">
        <f>Table1[[#This Row],[Profit]]/Table1[[#This Row],[Sales]]*100</f>
        <v>20.830357142857142</v>
      </c>
      <c r="I183" t="str">
        <f>IF(Table1[[#This Row],[Profit %]]&gt;20,"Excellent",IF(H183&gt;10.1,"Good","Low"))</f>
        <v>Excellent</v>
      </c>
    </row>
    <row r="184" spans="1:9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 s="2">
        <v>2247</v>
      </c>
      <c r="G184">
        <v>507.79</v>
      </c>
      <c r="H184" s="2">
        <f>Table1[[#This Row],[Profit]]/Table1[[#This Row],[Sales]]*100</f>
        <v>22.59857587894971</v>
      </c>
      <c r="I184" t="str">
        <f>IF(Table1[[#This Row],[Profit %]]&gt;20,"Excellent",IF(H184&gt;10.1,"Good","Low"))</f>
        <v>Excellent</v>
      </c>
    </row>
    <row r="185" spans="1:9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 s="2">
        <v>1512</v>
      </c>
      <c r="G185">
        <v>298.73</v>
      </c>
      <c r="H185" s="2">
        <f>Table1[[#This Row],[Profit]]/Table1[[#This Row],[Sales]]*100</f>
        <v>19.757275132275133</v>
      </c>
      <c r="I185" t="str">
        <f>IF(Table1[[#This Row],[Profit %]]&gt;20,"Excellent",IF(H185&gt;10.1,"Good","Low"))</f>
        <v>Good</v>
      </c>
    </row>
    <row r="186" spans="1:9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 s="2">
        <v>4915</v>
      </c>
      <c r="G186">
        <v>1196.5999999999999</v>
      </c>
      <c r="H186" s="2">
        <f>Table1[[#This Row],[Profit]]/Table1[[#This Row],[Sales]]*100</f>
        <v>24.345879959308238</v>
      </c>
      <c r="I186" t="str">
        <f>IF(Table1[[#This Row],[Profit %]]&gt;20,"Excellent",IF(H186&gt;10.1,"Good","Low"))</f>
        <v>Excellent</v>
      </c>
    </row>
    <row r="187" spans="1:9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 s="2">
        <v>2709</v>
      </c>
      <c r="G187">
        <v>663.54</v>
      </c>
      <c r="H187" s="2">
        <f>Table1[[#This Row],[Profit]]/Table1[[#This Row],[Sales]]*100</f>
        <v>24.493909191583612</v>
      </c>
      <c r="I187" t="str">
        <f>IF(Table1[[#This Row],[Profit %]]&gt;20,"Excellent",IF(H187&gt;10.1,"Good","Low"))</f>
        <v>Excellent</v>
      </c>
    </row>
    <row r="188" spans="1:9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 s="2">
        <v>1239</v>
      </c>
      <c r="G188">
        <v>118.36</v>
      </c>
      <c r="H188" s="2">
        <f>Table1[[#This Row],[Profit]]/Table1[[#This Row],[Sales]]*100</f>
        <v>9.5528652138821624</v>
      </c>
      <c r="I188" t="str">
        <f>IF(Table1[[#This Row],[Profit %]]&gt;20,"Excellent",IF(H188&gt;10.1,"Good","Low"))</f>
        <v>Low</v>
      </c>
    </row>
    <row r="189" spans="1:9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 s="2">
        <v>572</v>
      </c>
      <c r="G189">
        <v>86.16</v>
      </c>
      <c r="H189" s="2">
        <f>Table1[[#This Row],[Profit]]/Table1[[#This Row],[Sales]]*100</f>
        <v>15.062937062937062</v>
      </c>
      <c r="I189" t="str">
        <f>IF(Table1[[#This Row],[Profit %]]&gt;20,"Excellent",IF(H189&gt;10.1,"Good","Low"))</f>
        <v>Good</v>
      </c>
    </row>
    <row r="190" spans="1:9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 s="2">
        <v>1708</v>
      </c>
      <c r="G190">
        <v>93.25</v>
      </c>
      <c r="H190" s="2">
        <f>Table1[[#This Row],[Profit]]/Table1[[#This Row],[Sales]]*100</f>
        <v>5.4596018735362994</v>
      </c>
      <c r="I190" t="str">
        <f>IF(Table1[[#This Row],[Profit %]]&gt;20,"Excellent",IF(H190&gt;10.1,"Good","Low"))</f>
        <v>Low</v>
      </c>
    </row>
    <row r="191" spans="1:9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 s="2">
        <v>360</v>
      </c>
      <c r="G191">
        <v>42.66</v>
      </c>
      <c r="H191" s="2">
        <f>Table1[[#This Row],[Profit]]/Table1[[#This Row],[Sales]]*100</f>
        <v>11.85</v>
      </c>
      <c r="I191" t="str">
        <f>IF(Table1[[#This Row],[Profit %]]&gt;20,"Excellent",IF(H191&gt;10.1,"Good","Low"))</f>
        <v>Good</v>
      </c>
    </row>
    <row r="192" spans="1:9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 s="2">
        <v>3822</v>
      </c>
      <c r="G192">
        <v>388.34</v>
      </c>
      <c r="H192" s="2">
        <f>Table1[[#This Row],[Profit]]/Table1[[#This Row],[Sales]]*100</f>
        <v>10.160648874934589</v>
      </c>
      <c r="I192" t="str">
        <f>IF(Table1[[#This Row],[Profit %]]&gt;20,"Excellent",IF(H192&gt;10.1,"Good","Low"))</f>
        <v>Good</v>
      </c>
    </row>
    <row r="193" spans="1:9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 s="2">
        <v>4680</v>
      </c>
      <c r="G193">
        <v>932.97</v>
      </c>
      <c r="H193" s="2">
        <f>Table1[[#This Row],[Profit]]/Table1[[#This Row],[Sales]]*100</f>
        <v>19.935256410256411</v>
      </c>
      <c r="I193" t="str">
        <f>IF(Table1[[#This Row],[Profit %]]&gt;20,"Excellent",IF(H193&gt;10.1,"Good","Low"))</f>
        <v>Good</v>
      </c>
    </row>
    <row r="194" spans="1:9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 s="2">
        <v>2520</v>
      </c>
      <c r="G194">
        <v>487.18</v>
      </c>
      <c r="H194" s="2">
        <f>Table1[[#This Row],[Profit]]/Table1[[#This Row],[Sales]]*100</f>
        <v>19.332539682539682</v>
      </c>
      <c r="I194" t="str">
        <f>IF(Table1[[#This Row],[Profit %]]&gt;20,"Excellent",IF(H194&gt;10.1,"Good","Low"))</f>
        <v>Good</v>
      </c>
    </row>
    <row r="195" spans="1:9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 s="2">
        <v>2138</v>
      </c>
      <c r="G195">
        <v>619.29</v>
      </c>
      <c r="H195" s="2">
        <f>Table1[[#This Row],[Profit]]/Table1[[#This Row],[Sales]]*100</f>
        <v>28.965855940130965</v>
      </c>
      <c r="I195" t="str">
        <f>IF(Table1[[#This Row],[Profit %]]&gt;20,"Excellent",IF(H195&gt;10.1,"Good","Low"))</f>
        <v>Excellent</v>
      </c>
    </row>
    <row r="196" spans="1:9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 s="2">
        <v>2529</v>
      </c>
      <c r="G196">
        <v>169.6</v>
      </c>
      <c r="H196" s="2">
        <f>Table1[[#This Row],[Profit]]/Table1[[#This Row],[Sales]]*100</f>
        <v>6.7062079873467768</v>
      </c>
      <c r="I196" t="str">
        <f>IF(Table1[[#This Row],[Profit %]]&gt;20,"Excellent",IF(H196&gt;10.1,"Good","Low"))</f>
        <v>Low</v>
      </c>
    </row>
    <row r="197" spans="1:9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 s="2">
        <v>236</v>
      </c>
      <c r="G197">
        <v>29.33</v>
      </c>
      <c r="H197" s="2">
        <f>Table1[[#This Row],[Profit]]/Table1[[#This Row],[Sales]]*100</f>
        <v>12.427966101694915</v>
      </c>
      <c r="I197" t="str">
        <f>IF(Table1[[#This Row],[Profit %]]&gt;20,"Excellent",IF(H197&gt;10.1,"Good","Low"))</f>
        <v>Good</v>
      </c>
    </row>
    <row r="198" spans="1:9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 s="2">
        <v>2730</v>
      </c>
      <c r="G198">
        <v>636.48</v>
      </c>
      <c r="H198" s="2">
        <f>Table1[[#This Row],[Profit]]/Table1[[#This Row],[Sales]]*100</f>
        <v>23.314285714285717</v>
      </c>
      <c r="I198" t="str">
        <f>IF(Table1[[#This Row],[Profit %]]&gt;20,"Excellent",IF(H198&gt;10.1,"Good","Low"))</f>
        <v>Excellent</v>
      </c>
    </row>
    <row r="199" spans="1:9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 s="2">
        <v>3021</v>
      </c>
      <c r="G199">
        <v>872.49</v>
      </c>
      <c r="H199" s="2">
        <f>Table1[[#This Row],[Profit]]/Table1[[#This Row],[Sales]]*100</f>
        <v>28.880834160873881</v>
      </c>
      <c r="I199" t="str">
        <f>IF(Table1[[#This Row],[Profit %]]&gt;20,"Excellent",IF(H199&gt;10.1,"Good","Low"))</f>
        <v>Excellent</v>
      </c>
    </row>
    <row r="200" spans="1:9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 s="2">
        <v>244</v>
      </c>
      <c r="G200">
        <v>16.78</v>
      </c>
      <c r="H200" s="2">
        <f>Table1[[#This Row],[Profit]]/Table1[[#This Row],[Sales]]*100</f>
        <v>6.8770491803278695</v>
      </c>
      <c r="I200" t="str">
        <f>IF(Table1[[#This Row],[Profit %]]&gt;20,"Excellent",IF(H200&gt;10.1,"Good","Low"))</f>
        <v>Low</v>
      </c>
    </row>
    <row r="201" spans="1:9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 s="2">
        <v>728</v>
      </c>
      <c r="G201">
        <v>120.06</v>
      </c>
      <c r="H201" s="2">
        <f>Table1[[#This Row],[Profit]]/Table1[[#This Row],[Sales]]*100</f>
        <v>16.491758241758241</v>
      </c>
      <c r="I201" t="str">
        <f>IF(Table1[[#This Row],[Profit %]]&gt;20,"Excellent",IF(H201&gt;10.1,"Good","Low"))</f>
        <v>Good</v>
      </c>
    </row>
    <row r="202" spans="1:9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 s="2">
        <v>453</v>
      </c>
      <c r="G202">
        <v>89.49</v>
      </c>
      <c r="H202" s="2">
        <f>Table1[[#This Row],[Profit]]/Table1[[#This Row],[Sales]]*100</f>
        <v>19.754966887417215</v>
      </c>
      <c r="I202" t="str">
        <f>IF(Table1[[#This Row],[Profit %]]&gt;20,"Excellent",IF(H202&gt;10.1,"Good","Low"))</f>
        <v>Good</v>
      </c>
    </row>
    <row r="203" spans="1:9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 s="2">
        <v>379</v>
      </c>
      <c r="G203">
        <v>84.38</v>
      </c>
      <c r="H203" s="2">
        <f>Table1[[#This Row],[Profit]]/Table1[[#This Row],[Sales]]*100</f>
        <v>22.263852242744061</v>
      </c>
      <c r="I203" t="str">
        <f>IF(Table1[[#This Row],[Profit %]]&gt;20,"Excellent",IF(H203&gt;10.1,"Good","Low"))</f>
        <v>Excellent</v>
      </c>
    </row>
    <row r="204" spans="1:9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 s="2">
        <v>2130</v>
      </c>
      <c r="G204">
        <v>510.69</v>
      </c>
      <c r="H204" s="2">
        <f>Table1[[#This Row],[Profit]]/Table1[[#This Row],[Sales]]*100</f>
        <v>23.976056338028169</v>
      </c>
      <c r="I204" t="str">
        <f>IF(Table1[[#This Row],[Profit %]]&gt;20,"Excellent",IF(H204&gt;10.1,"Good","Low"))</f>
        <v>Excellent</v>
      </c>
    </row>
    <row r="205" spans="1:9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 s="2">
        <v>4120</v>
      </c>
      <c r="G205">
        <v>710.11</v>
      </c>
      <c r="H205" s="2">
        <f>Table1[[#This Row],[Profit]]/Table1[[#This Row],[Sales]]*100</f>
        <v>17.235679611650486</v>
      </c>
      <c r="I205" t="str">
        <f>IF(Table1[[#This Row],[Profit %]]&gt;20,"Excellent",IF(H205&gt;10.1,"Good","Low"))</f>
        <v>Good</v>
      </c>
    </row>
    <row r="206" spans="1:9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 s="2">
        <v>3150</v>
      </c>
      <c r="G206">
        <v>299.7</v>
      </c>
      <c r="H206" s="2">
        <f>Table1[[#This Row],[Profit]]/Table1[[#This Row],[Sales]]*100</f>
        <v>9.5142857142857142</v>
      </c>
      <c r="I206" t="str">
        <f>IF(Table1[[#This Row],[Profit %]]&gt;20,"Excellent",IF(H206&gt;10.1,"Good","Low"))</f>
        <v>Low</v>
      </c>
    </row>
    <row r="207" spans="1:9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 s="2">
        <v>2688</v>
      </c>
      <c r="G207">
        <v>603.07000000000005</v>
      </c>
      <c r="H207" s="2">
        <f>Table1[[#This Row],[Profit]]/Table1[[#This Row],[Sales]]*100</f>
        <v>22.435639880952383</v>
      </c>
      <c r="I207" t="str">
        <f>IF(Table1[[#This Row],[Profit %]]&gt;20,"Excellent",IF(H207&gt;10.1,"Good","Low"))</f>
        <v>Excellent</v>
      </c>
    </row>
    <row r="208" spans="1:9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 s="2">
        <v>1752</v>
      </c>
      <c r="G208">
        <v>501.19</v>
      </c>
      <c r="H208" s="2">
        <f>Table1[[#This Row],[Profit]]/Table1[[#This Row],[Sales]]*100</f>
        <v>28.606735159817354</v>
      </c>
      <c r="I208" t="str">
        <f>IF(Table1[[#This Row],[Profit %]]&gt;20,"Excellent",IF(H208&gt;10.1,"Good","Low"))</f>
        <v>Excellent</v>
      </c>
    </row>
    <row r="209" spans="1:9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 s="2">
        <v>7308</v>
      </c>
      <c r="G209">
        <v>948.4</v>
      </c>
      <c r="H209" s="2">
        <f>Table1[[#This Row],[Profit]]/Table1[[#This Row],[Sales]]*100</f>
        <v>12.977558839627804</v>
      </c>
      <c r="I209" t="str">
        <f>IF(Table1[[#This Row],[Profit %]]&gt;20,"Excellent",IF(H209&gt;10.1,"Good","Low"))</f>
        <v>Good</v>
      </c>
    </row>
    <row r="210" spans="1:9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 s="2">
        <v>2007</v>
      </c>
      <c r="G210">
        <v>160.84</v>
      </c>
      <c r="H210" s="2">
        <f>Table1[[#This Row],[Profit]]/Table1[[#This Row],[Sales]]*100</f>
        <v>8.0139511709018443</v>
      </c>
      <c r="I210" t="str">
        <f>IF(Table1[[#This Row],[Profit %]]&gt;20,"Excellent",IF(H210&gt;10.1,"Good","Low"))</f>
        <v>Low</v>
      </c>
    </row>
    <row r="211" spans="1:9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 s="2">
        <v>7224</v>
      </c>
      <c r="G211">
        <v>479.23</v>
      </c>
      <c r="H211" s="2">
        <f>Table1[[#This Row],[Profit]]/Table1[[#This Row],[Sales]]*100</f>
        <v>6.6338593576965668</v>
      </c>
      <c r="I211" t="str">
        <f>IF(Table1[[#This Row],[Profit %]]&gt;20,"Excellent",IF(H211&gt;10.1,"Good","Low"))</f>
        <v>Low</v>
      </c>
    </row>
    <row r="212" spans="1:9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 s="2">
        <v>6939</v>
      </c>
      <c r="G212">
        <v>1249.31</v>
      </c>
      <c r="H212" s="2">
        <f>Table1[[#This Row],[Profit]]/Table1[[#This Row],[Sales]]*100</f>
        <v>18.004179276552819</v>
      </c>
      <c r="I212" t="str">
        <f>IF(Table1[[#This Row],[Profit %]]&gt;20,"Excellent",IF(H212&gt;10.1,"Good","Low"))</f>
        <v>Good</v>
      </c>
    </row>
    <row r="213" spans="1:9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 s="2">
        <v>5516</v>
      </c>
      <c r="G213">
        <v>1475.67</v>
      </c>
      <c r="H213" s="2">
        <f>Table1[[#This Row],[Profit]]/Table1[[#This Row],[Sales]]*100</f>
        <v>26.752538071065992</v>
      </c>
      <c r="I213" t="str">
        <f>IF(Table1[[#This Row],[Profit %]]&gt;20,"Excellent",IF(H213&gt;10.1,"Good","Low"))</f>
        <v>Excellent</v>
      </c>
    </row>
    <row r="214" spans="1:9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 s="2">
        <v>2224</v>
      </c>
      <c r="G214">
        <v>116.47</v>
      </c>
      <c r="H214" s="2">
        <f>Table1[[#This Row],[Profit]]/Table1[[#This Row],[Sales]]*100</f>
        <v>5.2369604316546763</v>
      </c>
      <c r="I214" t="str">
        <f>IF(Table1[[#This Row],[Profit %]]&gt;20,"Excellent",IF(H214&gt;10.1,"Good","Low"))</f>
        <v>Low</v>
      </c>
    </row>
    <row r="215" spans="1:9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 s="2">
        <v>3985</v>
      </c>
      <c r="G215">
        <v>824.4</v>
      </c>
      <c r="H215" s="2">
        <f>Table1[[#This Row],[Profit]]/Table1[[#This Row],[Sales]]*100</f>
        <v>20.687578419071517</v>
      </c>
      <c r="I215" t="str">
        <f>IF(Table1[[#This Row],[Profit %]]&gt;20,"Excellent",IF(H215&gt;10.1,"Good","Low"))</f>
        <v>Excellent</v>
      </c>
    </row>
    <row r="216" spans="1:9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 s="2">
        <v>2723</v>
      </c>
      <c r="G216">
        <v>638.26</v>
      </c>
      <c r="H216" s="2">
        <f>Table1[[#This Row],[Profit]]/Table1[[#This Row],[Sales]]*100</f>
        <v>23.439588688946014</v>
      </c>
      <c r="I216" t="str">
        <f>IF(Table1[[#This Row],[Profit %]]&gt;20,"Excellent",IF(H216&gt;10.1,"Good","Low"))</f>
        <v>Excellent</v>
      </c>
    </row>
    <row r="217" spans="1:9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 s="2">
        <v>746</v>
      </c>
      <c r="G217">
        <v>170.75</v>
      </c>
      <c r="H217" s="2">
        <f>Table1[[#This Row],[Profit]]/Table1[[#This Row],[Sales]]*100</f>
        <v>22.888739946380699</v>
      </c>
      <c r="I217" t="str">
        <f>IF(Table1[[#This Row],[Profit %]]&gt;20,"Excellent",IF(H217&gt;10.1,"Good","Low"))</f>
        <v>Excellent</v>
      </c>
    </row>
    <row r="218" spans="1:9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 s="2">
        <v>3170</v>
      </c>
      <c r="G218">
        <v>245.25</v>
      </c>
      <c r="H218" s="2">
        <f>Table1[[#This Row],[Profit]]/Table1[[#This Row],[Sales]]*100</f>
        <v>7.7365930599369079</v>
      </c>
      <c r="I218" t="str">
        <f>IF(Table1[[#This Row],[Profit %]]&gt;20,"Excellent",IF(H218&gt;10.1,"Good","Low"))</f>
        <v>Low</v>
      </c>
    </row>
    <row r="219" spans="1:9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 s="2">
        <v>550</v>
      </c>
      <c r="G219">
        <v>63.11</v>
      </c>
      <c r="H219" s="2">
        <f>Table1[[#This Row],[Profit]]/Table1[[#This Row],[Sales]]*100</f>
        <v>11.474545454545455</v>
      </c>
      <c r="I219" t="str">
        <f>IF(Table1[[#This Row],[Profit %]]&gt;20,"Excellent",IF(H219&gt;10.1,"Good","Low"))</f>
        <v>Good</v>
      </c>
    </row>
    <row r="220" spans="1:9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 s="2">
        <v>480</v>
      </c>
      <c r="G220">
        <v>132.44999999999999</v>
      </c>
      <c r="H220" s="2">
        <f>Table1[[#This Row],[Profit]]/Table1[[#This Row],[Sales]]*100</f>
        <v>27.59375</v>
      </c>
      <c r="I220" t="str">
        <f>IF(Table1[[#This Row],[Profit %]]&gt;20,"Excellent",IF(H220&gt;10.1,"Good","Low"))</f>
        <v>Excellent</v>
      </c>
    </row>
    <row r="221" spans="1:9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 s="2">
        <v>3284</v>
      </c>
      <c r="G221">
        <v>354.4</v>
      </c>
      <c r="H221" s="2">
        <f>Table1[[#This Row],[Profit]]/Table1[[#This Row],[Sales]]*100</f>
        <v>10.791717417783191</v>
      </c>
      <c r="I221" t="str">
        <f>IF(Table1[[#This Row],[Profit %]]&gt;20,"Excellent",IF(H221&gt;10.1,"Good","Low"))</f>
        <v>Good</v>
      </c>
    </row>
    <row r="222" spans="1:9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 s="2">
        <v>1748</v>
      </c>
      <c r="G222">
        <v>183.75</v>
      </c>
      <c r="H222" s="2">
        <f>Table1[[#This Row],[Profit]]/Table1[[#This Row],[Sales]]*100</f>
        <v>10.512013729977117</v>
      </c>
      <c r="I222" t="str">
        <f>IF(Table1[[#This Row],[Profit %]]&gt;20,"Excellent",IF(H222&gt;10.1,"Good","Low"))</f>
        <v>Good</v>
      </c>
    </row>
    <row r="223" spans="1:9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 s="2">
        <v>824</v>
      </c>
      <c r="G223">
        <v>240.84</v>
      </c>
      <c r="H223" s="2">
        <f>Table1[[#This Row],[Profit]]/Table1[[#This Row],[Sales]]*100</f>
        <v>29.228155339805827</v>
      </c>
      <c r="I223" t="str">
        <f>IF(Table1[[#This Row],[Profit %]]&gt;20,"Excellent",IF(H223&gt;10.1,"Good","Low"))</f>
        <v>Excellent</v>
      </c>
    </row>
    <row r="224" spans="1:9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 s="2">
        <v>1872</v>
      </c>
      <c r="G224">
        <v>448.46</v>
      </c>
      <c r="H224" s="2">
        <f>Table1[[#This Row],[Profit]]/Table1[[#This Row],[Sales]]*100</f>
        <v>23.956196581196579</v>
      </c>
      <c r="I224" t="str">
        <f>IF(Table1[[#This Row],[Profit %]]&gt;20,"Excellent",IF(H224&gt;10.1,"Good","Low"))</f>
        <v>Excellent</v>
      </c>
    </row>
    <row r="225" spans="1:9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 s="2">
        <v>627</v>
      </c>
      <c r="G225">
        <v>103.98</v>
      </c>
      <c r="H225" s="2">
        <f>Table1[[#This Row],[Profit]]/Table1[[#This Row],[Sales]]*100</f>
        <v>16.583732057416267</v>
      </c>
      <c r="I225" t="str">
        <f>IF(Table1[[#This Row],[Profit %]]&gt;20,"Excellent",IF(H225&gt;10.1,"Good","Low"))</f>
        <v>Good</v>
      </c>
    </row>
    <row r="226" spans="1:9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 s="2">
        <v>5661</v>
      </c>
      <c r="G226">
        <v>1104.02</v>
      </c>
      <c r="H226" s="2">
        <f>Table1[[#This Row],[Profit]]/Table1[[#This Row],[Sales]]*100</f>
        <v>19.502208090443386</v>
      </c>
      <c r="I226" t="str">
        <f>IF(Table1[[#This Row],[Profit %]]&gt;20,"Excellent",IF(H226&gt;10.1,"Good","Low"))</f>
        <v>Good</v>
      </c>
    </row>
    <row r="227" spans="1:9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 s="2">
        <v>2910</v>
      </c>
      <c r="G227">
        <v>765.47</v>
      </c>
      <c r="H227" s="2">
        <f>Table1[[#This Row],[Profit]]/Table1[[#This Row],[Sales]]*100</f>
        <v>26.304810996563578</v>
      </c>
      <c r="I227" t="str">
        <f>IF(Table1[[#This Row],[Profit %]]&gt;20,"Excellent",IF(H227&gt;10.1,"Good","Low"))</f>
        <v>Excellent</v>
      </c>
    </row>
    <row r="228" spans="1:9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 s="2">
        <v>9036</v>
      </c>
      <c r="G228">
        <v>1087.46</v>
      </c>
      <c r="H228" s="2">
        <f>Table1[[#This Row],[Profit]]/Table1[[#This Row],[Sales]]*100</f>
        <v>12.034749889331563</v>
      </c>
      <c r="I228" t="str">
        <f>IF(Table1[[#This Row],[Profit %]]&gt;20,"Excellent",IF(H228&gt;10.1,"Good","Low"))</f>
        <v>Good</v>
      </c>
    </row>
    <row r="229" spans="1:9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 s="2">
        <v>4815</v>
      </c>
      <c r="G229">
        <v>338.31</v>
      </c>
      <c r="H229" s="2">
        <f>Table1[[#This Row],[Profit]]/Table1[[#This Row],[Sales]]*100</f>
        <v>7.0261682242990657</v>
      </c>
      <c r="I229" t="str">
        <f>IF(Table1[[#This Row],[Profit %]]&gt;20,"Excellent",IF(H229&gt;10.1,"Good","Low"))</f>
        <v>Low</v>
      </c>
    </row>
    <row r="230" spans="1:9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 s="2">
        <v>1187</v>
      </c>
      <c r="G230">
        <v>206.28</v>
      </c>
      <c r="H230" s="2">
        <f>Table1[[#This Row],[Profit]]/Table1[[#This Row],[Sales]]*100</f>
        <v>17.378264532434709</v>
      </c>
      <c r="I230" t="str">
        <f>IF(Table1[[#This Row],[Profit %]]&gt;20,"Excellent",IF(H230&gt;10.1,"Good","Low"))</f>
        <v>Good</v>
      </c>
    </row>
    <row r="231" spans="1:9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 s="2">
        <v>3339</v>
      </c>
      <c r="G231">
        <v>732.92</v>
      </c>
      <c r="H231" s="2">
        <f>Table1[[#This Row],[Profit]]/Table1[[#This Row],[Sales]]*100</f>
        <v>21.950284516322252</v>
      </c>
      <c r="I231" t="str">
        <f>IF(Table1[[#This Row],[Profit %]]&gt;20,"Excellent",IF(H231&gt;10.1,"Good","Low"))</f>
        <v>Excellent</v>
      </c>
    </row>
    <row r="232" spans="1:9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 s="2">
        <v>620</v>
      </c>
      <c r="G232">
        <v>165.43</v>
      </c>
      <c r="H232" s="2">
        <f>Table1[[#This Row],[Profit]]/Table1[[#This Row],[Sales]]*100</f>
        <v>26.68225806451613</v>
      </c>
      <c r="I232" t="str">
        <f>IF(Table1[[#This Row],[Profit %]]&gt;20,"Excellent",IF(H232&gt;10.1,"Good","Low"))</f>
        <v>Excellent</v>
      </c>
    </row>
    <row r="233" spans="1:9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 s="2">
        <v>2025</v>
      </c>
      <c r="G233">
        <v>414.42</v>
      </c>
      <c r="H233" s="2">
        <f>Table1[[#This Row],[Profit]]/Table1[[#This Row],[Sales]]*100</f>
        <v>20.465185185185184</v>
      </c>
      <c r="I233" t="str">
        <f>IF(Table1[[#This Row],[Profit %]]&gt;20,"Excellent",IF(H233&gt;10.1,"Good","Low"))</f>
        <v>Excellent</v>
      </c>
    </row>
    <row r="234" spans="1:9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 s="2">
        <v>3030</v>
      </c>
      <c r="G234">
        <v>811.92</v>
      </c>
      <c r="H234" s="2">
        <f>Table1[[#This Row],[Profit]]/Table1[[#This Row],[Sales]]*100</f>
        <v>26.796039603960391</v>
      </c>
      <c r="I234" t="str">
        <f>IF(Table1[[#This Row],[Profit %]]&gt;20,"Excellent",IF(H234&gt;10.1,"Good","Low"))</f>
        <v>Excellent</v>
      </c>
    </row>
    <row r="235" spans="1:9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 s="2">
        <v>655</v>
      </c>
      <c r="G235">
        <v>166.69</v>
      </c>
      <c r="H235" s="2">
        <f>Table1[[#This Row],[Profit]]/Table1[[#This Row],[Sales]]*100</f>
        <v>25.448854961832062</v>
      </c>
      <c r="I235" t="str">
        <f>IF(Table1[[#This Row],[Profit %]]&gt;20,"Excellent",IF(H235&gt;10.1,"Good","Low"))</f>
        <v>Excellent</v>
      </c>
    </row>
    <row r="236" spans="1:9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 s="2">
        <v>2238</v>
      </c>
      <c r="G236">
        <v>294.54000000000002</v>
      </c>
      <c r="H236" s="2">
        <f>Table1[[#This Row],[Profit]]/Table1[[#This Row],[Sales]]*100</f>
        <v>13.160857908847188</v>
      </c>
      <c r="I236" t="str">
        <f>IF(Table1[[#This Row],[Profit %]]&gt;20,"Excellent",IF(H236&gt;10.1,"Good","Low"))</f>
        <v>Good</v>
      </c>
    </row>
    <row r="237" spans="1:9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 s="2">
        <v>3312</v>
      </c>
      <c r="G237">
        <v>811.31</v>
      </c>
      <c r="H237" s="2">
        <f>Table1[[#This Row],[Profit]]/Table1[[#This Row],[Sales]]*100</f>
        <v>24.496074879227052</v>
      </c>
      <c r="I237" t="str">
        <f>IF(Table1[[#This Row],[Profit %]]&gt;20,"Excellent",IF(H237&gt;10.1,"Good","Low"))</f>
        <v>Excellent</v>
      </c>
    </row>
    <row r="238" spans="1:9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 s="2">
        <v>9387</v>
      </c>
      <c r="G238">
        <v>1271.6400000000001</v>
      </c>
      <c r="H238" s="2">
        <f>Table1[[#This Row],[Profit]]/Table1[[#This Row],[Sales]]*100</f>
        <v>13.546820070310003</v>
      </c>
      <c r="I238" t="str">
        <f>IF(Table1[[#This Row],[Profit %]]&gt;20,"Excellent",IF(H238&gt;10.1,"Good","Low"))</f>
        <v>Good</v>
      </c>
    </row>
    <row r="239" spans="1:9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 s="2">
        <v>5790</v>
      </c>
      <c r="G239">
        <v>1285.21</v>
      </c>
      <c r="H239" s="2">
        <f>Table1[[#This Row],[Profit]]/Table1[[#This Row],[Sales]]*100</f>
        <v>22.197063903281521</v>
      </c>
      <c r="I239" t="str">
        <f>IF(Table1[[#This Row],[Profit %]]&gt;20,"Excellent",IF(H239&gt;10.1,"Good","Low"))</f>
        <v>Excellent</v>
      </c>
    </row>
    <row r="240" spans="1:9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 s="2">
        <v>2700</v>
      </c>
      <c r="G240">
        <v>527.97</v>
      </c>
      <c r="H240" s="2">
        <f>Table1[[#This Row],[Profit]]/Table1[[#This Row],[Sales]]*100</f>
        <v>19.554444444444446</v>
      </c>
      <c r="I240" t="str">
        <f>IF(Table1[[#This Row],[Profit %]]&gt;20,"Excellent",IF(H240&gt;10.1,"Good","Low"))</f>
        <v>Good</v>
      </c>
    </row>
    <row r="241" spans="1:9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 s="2">
        <v>2072</v>
      </c>
      <c r="G241">
        <v>555.05999999999995</v>
      </c>
      <c r="H241" s="2">
        <f>Table1[[#This Row],[Profit]]/Table1[[#This Row],[Sales]]*100</f>
        <v>26.788610038610035</v>
      </c>
      <c r="I241" t="str">
        <f>IF(Table1[[#This Row],[Profit %]]&gt;20,"Excellent",IF(H241&gt;10.1,"Good","Low"))</f>
        <v>Excellent</v>
      </c>
    </row>
    <row r="242" spans="1:9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 s="2">
        <v>2991</v>
      </c>
      <c r="G242">
        <v>716.54</v>
      </c>
      <c r="H242" s="2">
        <f>Table1[[#This Row],[Profit]]/Table1[[#This Row],[Sales]]*100</f>
        <v>23.956536275493146</v>
      </c>
      <c r="I242" t="str">
        <f>IF(Table1[[#This Row],[Profit %]]&gt;20,"Excellent",IF(H242&gt;10.1,"Good","Low"))</f>
        <v>Excellent</v>
      </c>
    </row>
    <row r="243" spans="1:9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 s="2">
        <v>5568</v>
      </c>
      <c r="G243">
        <v>958.59</v>
      </c>
      <c r="H243" s="2">
        <f>Table1[[#This Row],[Profit]]/Table1[[#This Row],[Sales]]*100</f>
        <v>17.216056034482762</v>
      </c>
      <c r="I243" t="str">
        <f>IF(Table1[[#This Row],[Profit %]]&gt;20,"Excellent",IF(H243&gt;10.1,"Good","Low"))</f>
        <v>Good</v>
      </c>
    </row>
    <row r="244" spans="1:9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 s="2">
        <v>5509</v>
      </c>
      <c r="G244">
        <v>1648.74</v>
      </c>
      <c r="H244" s="2">
        <f>Table1[[#This Row],[Profit]]/Table1[[#This Row],[Sales]]*100</f>
        <v>29.928117625703393</v>
      </c>
      <c r="I244" t="str">
        <f>IF(Table1[[#This Row],[Profit %]]&gt;20,"Excellent",IF(H244&gt;10.1,"Good","Low"))</f>
        <v>Excellent</v>
      </c>
    </row>
    <row r="245" spans="1:9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 s="2">
        <v>5922</v>
      </c>
      <c r="G245">
        <v>1323.1</v>
      </c>
      <c r="H245" s="2">
        <f>Table1[[#This Row],[Profit]]/Table1[[#This Row],[Sales]]*100</f>
        <v>22.342114150624788</v>
      </c>
      <c r="I245" t="str">
        <f>IF(Table1[[#This Row],[Profit %]]&gt;20,"Excellent",IF(H245&gt;10.1,"Good","Low"))</f>
        <v>Excellent</v>
      </c>
    </row>
    <row r="246" spans="1:9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 s="2">
        <v>4380</v>
      </c>
      <c r="G246">
        <v>362.81</v>
      </c>
      <c r="H246" s="2">
        <f>Table1[[#This Row],[Profit]]/Table1[[#This Row],[Sales]]*100</f>
        <v>8.2833333333333332</v>
      </c>
      <c r="I246" t="str">
        <f>IF(Table1[[#This Row],[Profit %]]&gt;20,"Excellent",IF(H246&gt;10.1,"Good","Low"))</f>
        <v>Low</v>
      </c>
    </row>
    <row r="247" spans="1:9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 s="2">
        <v>1760</v>
      </c>
      <c r="G247">
        <v>272.68</v>
      </c>
      <c r="H247" s="2">
        <f>Table1[[#This Row],[Profit]]/Table1[[#This Row],[Sales]]*100</f>
        <v>15.493181818181819</v>
      </c>
      <c r="I247" t="str">
        <f>IF(Table1[[#This Row],[Profit %]]&gt;20,"Excellent",IF(H247&gt;10.1,"Good","Low"))</f>
        <v>Good</v>
      </c>
    </row>
    <row r="248" spans="1:9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 s="2">
        <v>5571</v>
      </c>
      <c r="G248">
        <v>1523.81</v>
      </c>
      <c r="H248" s="2">
        <f>Table1[[#This Row],[Profit]]/Table1[[#This Row],[Sales]]*100</f>
        <v>27.35253993896966</v>
      </c>
      <c r="I248" t="str">
        <f>IF(Table1[[#This Row],[Profit %]]&gt;20,"Excellent",IF(H248&gt;10.1,"Good","Low"))</f>
        <v>Excellent</v>
      </c>
    </row>
    <row r="249" spans="1:9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 s="2">
        <v>1082</v>
      </c>
      <c r="G249">
        <v>182.1</v>
      </c>
      <c r="H249" s="2">
        <f>Table1[[#This Row],[Profit]]/Table1[[#This Row],[Sales]]*100</f>
        <v>16.829944547134936</v>
      </c>
      <c r="I249" t="str">
        <f>IF(Table1[[#This Row],[Profit %]]&gt;20,"Excellent",IF(H249&gt;10.1,"Good","Low"))</f>
        <v>Good</v>
      </c>
    </row>
    <row r="250" spans="1:9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 s="2">
        <v>569</v>
      </c>
      <c r="G250">
        <v>138.11000000000001</v>
      </c>
      <c r="H250" s="2">
        <f>Table1[[#This Row],[Profit]]/Table1[[#This Row],[Sales]]*100</f>
        <v>24.272407732864675</v>
      </c>
      <c r="I250" t="str">
        <f>IF(Table1[[#This Row],[Profit %]]&gt;20,"Excellent",IF(H250&gt;10.1,"Good","Low"))</f>
        <v>Excellent</v>
      </c>
    </row>
    <row r="251" spans="1:9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 s="2">
        <v>3416</v>
      </c>
      <c r="G251">
        <v>697.42</v>
      </c>
      <c r="H251" s="2">
        <f>Table1[[#This Row],[Profit]]/Table1[[#This Row],[Sales]]*100</f>
        <v>20.416276346604214</v>
      </c>
      <c r="I251" t="str">
        <f>IF(Table1[[#This Row],[Profit %]]&gt;20,"Excellent",IF(H251&gt;10.1,"Good","Low"))</f>
        <v>Excellent</v>
      </c>
    </row>
    <row r="252" spans="1:9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 s="2">
        <v>570</v>
      </c>
      <c r="G252">
        <v>57.07</v>
      </c>
      <c r="H252" s="2">
        <f>Table1[[#This Row],[Profit]]/Table1[[#This Row],[Sales]]*100</f>
        <v>10.012280701754387</v>
      </c>
      <c r="I252" t="str">
        <f>IF(Table1[[#This Row],[Profit %]]&gt;20,"Excellent",IF(H252&gt;10.1,"Good","Low"))</f>
        <v>Low</v>
      </c>
    </row>
    <row r="253" spans="1:9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 s="2">
        <v>3300</v>
      </c>
      <c r="G253">
        <v>386.92</v>
      </c>
      <c r="H253" s="2">
        <f>Table1[[#This Row],[Profit]]/Table1[[#This Row],[Sales]]*100</f>
        <v>11.724848484848485</v>
      </c>
      <c r="I253" t="str">
        <f>IF(Table1[[#This Row],[Profit %]]&gt;20,"Excellent",IF(H253&gt;10.1,"Good","Low"))</f>
        <v>Good</v>
      </c>
    </row>
    <row r="254" spans="1:9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 s="2">
        <v>2584</v>
      </c>
      <c r="G254">
        <v>568.77</v>
      </c>
      <c r="H254" s="2">
        <f>Table1[[#This Row],[Profit]]/Table1[[#This Row],[Sales]]*100</f>
        <v>22.01122291021672</v>
      </c>
      <c r="I254" t="str">
        <f>IF(Table1[[#This Row],[Profit %]]&gt;20,"Excellent",IF(H254&gt;10.1,"Good","Low"))</f>
        <v>Excellent</v>
      </c>
    </row>
    <row r="255" spans="1:9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 s="2">
        <v>7650</v>
      </c>
      <c r="G255">
        <v>2204.44</v>
      </c>
      <c r="H255" s="2">
        <f>Table1[[#This Row],[Profit]]/Table1[[#This Row],[Sales]]*100</f>
        <v>28.816209150326799</v>
      </c>
      <c r="I255" t="str">
        <f>IF(Table1[[#This Row],[Profit %]]&gt;20,"Excellent",IF(H255&gt;10.1,"Good","Low"))</f>
        <v>Excellent</v>
      </c>
    </row>
    <row r="256" spans="1:9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 s="2">
        <v>3600</v>
      </c>
      <c r="G256">
        <v>272.51</v>
      </c>
      <c r="H256" s="2">
        <f>Table1[[#This Row],[Profit]]/Table1[[#This Row],[Sales]]*100</f>
        <v>7.5697222222222225</v>
      </c>
      <c r="I256" t="str">
        <f>IF(Table1[[#This Row],[Profit %]]&gt;20,"Excellent",IF(H256&gt;10.1,"Good","Low"))</f>
        <v>Low</v>
      </c>
    </row>
    <row r="257" spans="1:9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 s="2">
        <v>846</v>
      </c>
      <c r="G257">
        <v>190.87</v>
      </c>
      <c r="H257" s="2">
        <f>Table1[[#This Row],[Profit]]/Table1[[#This Row],[Sales]]*100</f>
        <v>22.561465721040189</v>
      </c>
      <c r="I257" t="str">
        <f>IF(Table1[[#This Row],[Profit %]]&gt;20,"Excellent",IF(H257&gt;10.1,"Good","Low"))</f>
        <v>Excellent</v>
      </c>
    </row>
    <row r="258" spans="1:9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 s="2">
        <v>51</v>
      </c>
      <c r="G258">
        <v>9.36</v>
      </c>
      <c r="H258" s="2">
        <f>Table1[[#This Row],[Profit]]/Table1[[#This Row],[Sales]]*100</f>
        <v>18.352941176470587</v>
      </c>
      <c r="I258" t="str">
        <f>IF(Table1[[#This Row],[Profit %]]&gt;20,"Excellent",IF(H258&gt;10.1,"Good","Low"))</f>
        <v>Good</v>
      </c>
    </row>
    <row r="259" spans="1:9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 s="2">
        <v>7056</v>
      </c>
      <c r="G259">
        <v>586.91</v>
      </c>
      <c r="H259" s="2">
        <f>Table1[[#This Row],[Profit]]/Table1[[#This Row],[Sales]]*100</f>
        <v>8.3178854875283434</v>
      </c>
      <c r="I259" t="str">
        <f>IF(Table1[[#This Row],[Profit %]]&gt;20,"Excellent",IF(H259&gt;10.1,"Good","Low"))</f>
        <v>Low</v>
      </c>
    </row>
    <row r="260" spans="1:9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 s="2">
        <v>384</v>
      </c>
      <c r="G260">
        <v>38.409999999999997</v>
      </c>
      <c r="H260" s="2">
        <f>Table1[[#This Row],[Profit]]/Table1[[#This Row],[Sales]]*100</f>
        <v>10.002604166666666</v>
      </c>
      <c r="I260" t="str">
        <f>IF(Table1[[#This Row],[Profit %]]&gt;20,"Excellent",IF(H260&gt;10.1,"Good","Low"))</f>
        <v>Low</v>
      </c>
    </row>
    <row r="261" spans="1:9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 s="2">
        <v>2928</v>
      </c>
      <c r="G261">
        <v>663.54</v>
      </c>
      <c r="H261" s="2">
        <f>Table1[[#This Row],[Profit]]/Table1[[#This Row],[Sales]]*100</f>
        <v>22.66188524590164</v>
      </c>
      <c r="I261" t="str">
        <f>IF(Table1[[#This Row],[Profit %]]&gt;20,"Excellent",IF(H261&gt;10.1,"Good","Low"))</f>
        <v>Excellent</v>
      </c>
    </row>
    <row r="262" spans="1:9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 s="2">
        <v>1904</v>
      </c>
      <c r="G262">
        <v>352.86</v>
      </c>
      <c r="H262" s="2">
        <f>Table1[[#This Row],[Profit]]/Table1[[#This Row],[Sales]]*100</f>
        <v>18.532563025210084</v>
      </c>
      <c r="I262" t="str">
        <f>IF(Table1[[#This Row],[Profit %]]&gt;20,"Excellent",IF(H262&gt;10.1,"Good","Low"))</f>
        <v>Good</v>
      </c>
    </row>
    <row r="263" spans="1:9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 s="2">
        <v>2314</v>
      </c>
      <c r="G263">
        <v>312.07</v>
      </c>
      <c r="H263" s="2">
        <f>Table1[[#This Row],[Profit]]/Table1[[#This Row],[Sales]]*100</f>
        <v>13.486171132238548</v>
      </c>
      <c r="I263" t="str">
        <f>IF(Table1[[#This Row],[Profit %]]&gt;20,"Excellent",IF(H263&gt;10.1,"Good","Low"))</f>
        <v>Good</v>
      </c>
    </row>
    <row r="264" spans="1:9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 s="2">
        <v>1028</v>
      </c>
      <c r="G264">
        <v>192.13</v>
      </c>
      <c r="H264" s="2">
        <f>Table1[[#This Row],[Profit]]/Table1[[#This Row],[Sales]]*100</f>
        <v>18.689688715953306</v>
      </c>
      <c r="I264" t="str">
        <f>IF(Table1[[#This Row],[Profit %]]&gt;20,"Excellent",IF(H264&gt;10.1,"Good","Low"))</f>
        <v>Good</v>
      </c>
    </row>
    <row r="265" spans="1:9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 s="2">
        <v>8307</v>
      </c>
      <c r="G265">
        <v>1326.23</v>
      </c>
      <c r="H265" s="2">
        <f>Table1[[#This Row],[Profit]]/Table1[[#This Row],[Sales]]*100</f>
        <v>15.965210063801614</v>
      </c>
      <c r="I265" t="str">
        <f>IF(Table1[[#This Row],[Profit %]]&gt;20,"Excellent",IF(H265&gt;10.1,"Good","Low"))</f>
        <v>Good</v>
      </c>
    </row>
    <row r="266" spans="1:9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 s="2">
        <v>1539</v>
      </c>
      <c r="G266">
        <v>203.54</v>
      </c>
      <c r="H266" s="2">
        <f>Table1[[#This Row],[Profit]]/Table1[[#This Row],[Sales]]*100</f>
        <v>13.225471085120208</v>
      </c>
      <c r="I266" t="str">
        <f>IF(Table1[[#This Row],[Profit %]]&gt;20,"Excellent",IF(H266&gt;10.1,"Good","Low"))</f>
        <v>Good</v>
      </c>
    </row>
    <row r="267" spans="1:9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 s="2">
        <v>2506</v>
      </c>
      <c r="G267">
        <v>537.98</v>
      </c>
      <c r="H267" s="2">
        <f>Table1[[#This Row],[Profit]]/Table1[[#This Row],[Sales]]*100</f>
        <v>21.467677573822826</v>
      </c>
      <c r="I267" t="str">
        <f>IF(Table1[[#This Row],[Profit %]]&gt;20,"Excellent",IF(H267&gt;10.1,"Good","Low"))</f>
        <v>Excellent</v>
      </c>
    </row>
    <row r="268" spans="1:9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 s="2">
        <v>5778</v>
      </c>
      <c r="G268">
        <v>1232.54</v>
      </c>
      <c r="H268" s="2">
        <f>Table1[[#This Row],[Profit]]/Table1[[#This Row],[Sales]]*100</f>
        <v>21.331602630668051</v>
      </c>
      <c r="I268" t="str">
        <f>IF(Table1[[#This Row],[Profit %]]&gt;20,"Excellent",IF(H268&gt;10.1,"Good","Low"))</f>
        <v>Excellent</v>
      </c>
    </row>
    <row r="269" spans="1:9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 s="2">
        <v>10188</v>
      </c>
      <c r="G269">
        <v>2165.7800000000002</v>
      </c>
      <c r="H269" s="2">
        <f>Table1[[#This Row],[Profit]]/Table1[[#This Row],[Sales]]*100</f>
        <v>21.258146839418927</v>
      </c>
      <c r="I269" t="str">
        <f>IF(Table1[[#This Row],[Profit %]]&gt;20,"Excellent",IF(H269&gt;10.1,"Good","Low"))</f>
        <v>Excellent</v>
      </c>
    </row>
    <row r="270" spans="1:9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 s="2">
        <v>952</v>
      </c>
      <c r="G270">
        <v>157.69999999999999</v>
      </c>
      <c r="H270" s="2">
        <f>Table1[[#This Row],[Profit]]/Table1[[#This Row],[Sales]]*100</f>
        <v>16.565126050420169</v>
      </c>
      <c r="I270" t="str">
        <f>IF(Table1[[#This Row],[Profit %]]&gt;20,"Excellent",IF(H270&gt;10.1,"Good","Low"))</f>
        <v>Good</v>
      </c>
    </row>
    <row r="271" spans="1:9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 s="2">
        <v>3624</v>
      </c>
      <c r="G271">
        <v>750.86</v>
      </c>
      <c r="H271" s="2">
        <f>Table1[[#This Row],[Profit]]/Table1[[#This Row],[Sales]]*100</f>
        <v>20.719094922737309</v>
      </c>
      <c r="I271" t="str">
        <f>IF(Table1[[#This Row],[Profit %]]&gt;20,"Excellent",IF(H271&gt;10.1,"Good","Low"))</f>
        <v>Excellent</v>
      </c>
    </row>
    <row r="272" spans="1:9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 s="2">
        <v>7968</v>
      </c>
      <c r="G272">
        <v>1551.12</v>
      </c>
      <c r="H272" s="2">
        <f>Table1[[#This Row],[Profit]]/Table1[[#This Row],[Sales]]*100</f>
        <v>19.466867469879517</v>
      </c>
      <c r="I272" t="str">
        <f>IF(Table1[[#This Row],[Profit %]]&gt;20,"Excellent",IF(H272&gt;10.1,"Good","Low"))</f>
        <v>Good</v>
      </c>
    </row>
    <row r="273" spans="1:9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 s="2">
        <v>1254</v>
      </c>
      <c r="G273">
        <v>250.09</v>
      </c>
      <c r="H273" s="2">
        <f>Table1[[#This Row],[Profit]]/Table1[[#This Row],[Sales]]*100</f>
        <v>19.943381180223284</v>
      </c>
      <c r="I273" t="str">
        <f>IF(Table1[[#This Row],[Profit %]]&gt;20,"Excellent",IF(H273&gt;10.1,"Good","Low"))</f>
        <v>Good</v>
      </c>
    </row>
    <row r="274" spans="1:9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 s="2">
        <v>705</v>
      </c>
      <c r="G274">
        <v>196.05</v>
      </c>
      <c r="H274" s="2">
        <f>Table1[[#This Row],[Profit]]/Table1[[#This Row],[Sales]]*100</f>
        <v>27.808510638297872</v>
      </c>
      <c r="I274" t="str">
        <f>IF(Table1[[#This Row],[Profit %]]&gt;20,"Excellent",IF(H274&gt;10.1,"Good","Low"))</f>
        <v>Excellent</v>
      </c>
    </row>
    <row r="275" spans="1:9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 s="2">
        <v>916</v>
      </c>
      <c r="G275">
        <v>223.5</v>
      </c>
      <c r="H275" s="2">
        <f>Table1[[#This Row],[Profit]]/Table1[[#This Row],[Sales]]*100</f>
        <v>24.399563318777293</v>
      </c>
      <c r="I275" t="str">
        <f>IF(Table1[[#This Row],[Profit %]]&gt;20,"Excellent",IF(H275&gt;10.1,"Good","Low"))</f>
        <v>Excellent</v>
      </c>
    </row>
    <row r="276" spans="1:9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 s="2">
        <v>848</v>
      </c>
      <c r="G276">
        <v>129.96</v>
      </c>
      <c r="H276" s="2">
        <f>Table1[[#This Row],[Profit]]/Table1[[#This Row],[Sales]]*100</f>
        <v>15.325471698113208</v>
      </c>
      <c r="I276" t="str">
        <f>IF(Table1[[#This Row],[Profit %]]&gt;20,"Excellent",IF(H276&gt;10.1,"Good","Low"))</f>
        <v>Good</v>
      </c>
    </row>
    <row r="277" spans="1:9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 s="2">
        <v>2240</v>
      </c>
      <c r="G277">
        <v>313.17</v>
      </c>
      <c r="H277" s="2">
        <f>Table1[[#This Row],[Profit]]/Table1[[#This Row],[Sales]]*100</f>
        <v>13.980803571428572</v>
      </c>
      <c r="I277" t="str">
        <f>IF(Table1[[#This Row],[Profit %]]&gt;20,"Excellent",IF(H277&gt;10.1,"Good","Low"))</f>
        <v>Good</v>
      </c>
    </row>
    <row r="278" spans="1:9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 s="2">
        <v>940</v>
      </c>
      <c r="G278">
        <v>120.35</v>
      </c>
      <c r="H278" s="2">
        <f>Table1[[#This Row],[Profit]]/Table1[[#This Row],[Sales]]*100</f>
        <v>12.803191489361701</v>
      </c>
      <c r="I278" t="str">
        <f>IF(Table1[[#This Row],[Profit %]]&gt;20,"Excellent",IF(H278&gt;10.1,"Good","Low"))</f>
        <v>Good</v>
      </c>
    </row>
    <row r="279" spans="1:9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 s="2">
        <v>1550</v>
      </c>
      <c r="G279">
        <v>203.51</v>
      </c>
      <c r="H279" s="2">
        <f>Table1[[#This Row],[Profit]]/Table1[[#This Row],[Sales]]*100</f>
        <v>13.129677419354838</v>
      </c>
      <c r="I279" t="str">
        <f>IF(Table1[[#This Row],[Profit %]]&gt;20,"Excellent",IF(H279&gt;10.1,"Good","Low"))</f>
        <v>Good</v>
      </c>
    </row>
    <row r="280" spans="1:9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 s="2">
        <v>2352</v>
      </c>
      <c r="G280">
        <v>256.39999999999998</v>
      </c>
      <c r="H280" s="2">
        <f>Table1[[#This Row],[Profit]]/Table1[[#This Row],[Sales]]*100</f>
        <v>10.901360544217686</v>
      </c>
      <c r="I280" t="str">
        <f>IF(Table1[[#This Row],[Profit %]]&gt;20,"Excellent",IF(H280&gt;10.1,"Good","Low"))</f>
        <v>Good</v>
      </c>
    </row>
    <row r="281" spans="1:9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 s="2">
        <v>1638</v>
      </c>
      <c r="G281">
        <v>183.75</v>
      </c>
      <c r="H281" s="2">
        <f>Table1[[#This Row],[Profit]]/Table1[[#This Row],[Sales]]*100</f>
        <v>11.217948717948719</v>
      </c>
      <c r="I281" t="str">
        <f>IF(Table1[[#This Row],[Profit %]]&gt;20,"Excellent",IF(H281&gt;10.1,"Good","Low"))</f>
        <v>Good</v>
      </c>
    </row>
    <row r="282" spans="1:9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 s="2">
        <v>7164</v>
      </c>
      <c r="G282">
        <v>1442.72</v>
      </c>
      <c r="H282" s="2">
        <f>Table1[[#This Row],[Profit]]/Table1[[#This Row],[Sales]]*100</f>
        <v>20.138470128419879</v>
      </c>
      <c r="I282" t="str">
        <f>IF(Table1[[#This Row],[Profit %]]&gt;20,"Excellent",IF(H282&gt;10.1,"Good","Low"))</f>
        <v>Excellent</v>
      </c>
    </row>
    <row r="283" spans="1:9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 s="2">
        <v>205</v>
      </c>
      <c r="G283">
        <v>54.54</v>
      </c>
      <c r="H283" s="2">
        <f>Table1[[#This Row],[Profit]]/Table1[[#This Row],[Sales]]*100</f>
        <v>26.604878048780488</v>
      </c>
      <c r="I283" t="str">
        <f>IF(Table1[[#This Row],[Profit %]]&gt;20,"Excellent",IF(H283&gt;10.1,"Good","Low"))</f>
        <v>Excellent</v>
      </c>
    </row>
    <row r="284" spans="1:9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 s="2">
        <v>766</v>
      </c>
      <c r="G284">
        <v>49.23</v>
      </c>
      <c r="H284" s="2">
        <f>Table1[[#This Row],[Profit]]/Table1[[#This Row],[Sales]]*100</f>
        <v>6.4268929503916441</v>
      </c>
      <c r="I284" t="str">
        <f>IF(Table1[[#This Row],[Profit %]]&gt;20,"Excellent",IF(H284&gt;10.1,"Good","Low"))</f>
        <v>Low</v>
      </c>
    </row>
    <row r="285" spans="1:9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 s="2">
        <v>168</v>
      </c>
      <c r="G285">
        <v>17.84</v>
      </c>
      <c r="H285" s="2">
        <f>Table1[[#This Row],[Profit]]/Table1[[#This Row],[Sales]]*100</f>
        <v>10.61904761904762</v>
      </c>
      <c r="I285" t="str">
        <f>IF(Table1[[#This Row],[Profit %]]&gt;20,"Excellent",IF(H285&gt;10.1,"Good","Low"))</f>
        <v>Good</v>
      </c>
    </row>
    <row r="286" spans="1:9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 s="2">
        <v>1058</v>
      </c>
      <c r="G286">
        <v>207.55</v>
      </c>
      <c r="H286" s="2">
        <f>Table1[[#This Row],[Profit]]/Table1[[#This Row],[Sales]]*100</f>
        <v>19.617202268431004</v>
      </c>
      <c r="I286" t="str">
        <f>IF(Table1[[#This Row],[Profit %]]&gt;20,"Excellent",IF(H286&gt;10.1,"Good","Low"))</f>
        <v>Good</v>
      </c>
    </row>
    <row r="287" spans="1:9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 s="2">
        <v>1455</v>
      </c>
      <c r="G287">
        <v>423.81</v>
      </c>
      <c r="H287" s="2">
        <f>Table1[[#This Row],[Profit]]/Table1[[#This Row],[Sales]]*100</f>
        <v>29.127835051546391</v>
      </c>
      <c r="I287" t="str">
        <f>IF(Table1[[#This Row],[Profit %]]&gt;20,"Excellent",IF(H287&gt;10.1,"Good","Low"))</f>
        <v>Excellent</v>
      </c>
    </row>
    <row r="288" spans="1:9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 s="2">
        <v>2224</v>
      </c>
      <c r="G288">
        <v>364.04</v>
      </c>
      <c r="H288" s="2">
        <f>Table1[[#This Row],[Profit]]/Table1[[#This Row],[Sales]]*100</f>
        <v>16.368705035971225</v>
      </c>
      <c r="I288" t="str">
        <f>IF(Table1[[#This Row],[Profit %]]&gt;20,"Excellent",IF(H288&gt;10.1,"Good","Low"))</f>
        <v>Good</v>
      </c>
    </row>
    <row r="289" spans="1:9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 s="2">
        <v>1400</v>
      </c>
      <c r="G289">
        <v>80.489999999999995</v>
      </c>
      <c r="H289" s="2">
        <f>Table1[[#This Row],[Profit]]/Table1[[#This Row],[Sales]]*100</f>
        <v>5.7492857142857137</v>
      </c>
      <c r="I289" t="str">
        <f>IF(Table1[[#This Row],[Profit %]]&gt;20,"Excellent",IF(H289&gt;10.1,"Good","Low"))</f>
        <v>Low</v>
      </c>
    </row>
    <row r="290" spans="1:9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 s="2">
        <v>7567</v>
      </c>
      <c r="G290">
        <v>2213.1799999999998</v>
      </c>
      <c r="H290" s="2">
        <f>Table1[[#This Row],[Profit]]/Table1[[#This Row],[Sales]]*100</f>
        <v>29.247786441125939</v>
      </c>
      <c r="I290" t="str">
        <f>IF(Table1[[#This Row],[Profit %]]&gt;20,"Excellent",IF(H290&gt;10.1,"Good","Low"))</f>
        <v>Excellent</v>
      </c>
    </row>
    <row r="291" spans="1:9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 s="2">
        <v>3396</v>
      </c>
      <c r="G291">
        <v>987.68</v>
      </c>
      <c r="H291" s="2">
        <f>Table1[[#This Row],[Profit]]/Table1[[#This Row],[Sales]]*100</f>
        <v>29.083627797408713</v>
      </c>
      <c r="I291" t="str">
        <f>IF(Table1[[#This Row],[Profit %]]&gt;20,"Excellent",IF(H291&gt;10.1,"Good","Low"))</f>
        <v>Excellent</v>
      </c>
    </row>
    <row r="292" spans="1:9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 s="2">
        <v>704</v>
      </c>
      <c r="G292">
        <v>135.63</v>
      </c>
      <c r="H292" s="2">
        <f>Table1[[#This Row],[Profit]]/Table1[[#This Row],[Sales]]*100</f>
        <v>19.265625</v>
      </c>
      <c r="I292" t="str">
        <f>IF(Table1[[#This Row],[Profit %]]&gt;20,"Excellent",IF(H292&gt;10.1,"Good","Low"))</f>
        <v>Good</v>
      </c>
    </row>
    <row r="293" spans="1:9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 s="2">
        <v>7767</v>
      </c>
      <c r="G293">
        <v>2172.19</v>
      </c>
      <c r="H293" s="2">
        <f>Table1[[#This Row],[Profit]]/Table1[[#This Row],[Sales]]*100</f>
        <v>27.966911291360887</v>
      </c>
      <c r="I293" t="str">
        <f>IF(Table1[[#This Row],[Profit %]]&gt;20,"Excellent",IF(H293&gt;10.1,"Good","Low"))</f>
        <v>Excellent</v>
      </c>
    </row>
    <row r="294" spans="1:9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 s="2">
        <v>2050</v>
      </c>
      <c r="G294">
        <v>157.13</v>
      </c>
      <c r="H294" s="2">
        <f>Table1[[#This Row],[Profit]]/Table1[[#This Row],[Sales]]*100</f>
        <v>7.664878048780488</v>
      </c>
      <c r="I294" t="str">
        <f>IF(Table1[[#This Row],[Profit %]]&gt;20,"Excellent",IF(H294&gt;10.1,"Good","Low"))</f>
        <v>Low</v>
      </c>
    </row>
    <row r="295" spans="1:9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 s="2">
        <v>10458</v>
      </c>
      <c r="G295">
        <v>2799.48</v>
      </c>
      <c r="H295" s="2">
        <f>Table1[[#This Row],[Profit]]/Table1[[#This Row],[Sales]]*100</f>
        <v>26.768789443488238</v>
      </c>
      <c r="I295" t="str">
        <f>IF(Table1[[#This Row],[Profit %]]&gt;20,"Excellent",IF(H295&gt;10.1,"Good","Low"))</f>
        <v>Excellent</v>
      </c>
    </row>
    <row r="296" spans="1:9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 s="2">
        <v>4700</v>
      </c>
      <c r="G296">
        <v>619.26</v>
      </c>
      <c r="H296" s="2">
        <f>Table1[[#This Row],[Profit]]/Table1[[#This Row],[Sales]]*100</f>
        <v>13.175744680851064</v>
      </c>
      <c r="I296" t="str">
        <f>IF(Table1[[#This Row],[Profit %]]&gt;20,"Excellent",IF(H296&gt;10.1,"Good","Low"))</f>
        <v>Good</v>
      </c>
    </row>
    <row r="297" spans="1:9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 s="2">
        <v>892</v>
      </c>
      <c r="G297">
        <v>222.51</v>
      </c>
      <c r="H297" s="2">
        <f>Table1[[#This Row],[Profit]]/Table1[[#This Row],[Sales]]*100</f>
        <v>24.945067264573989</v>
      </c>
      <c r="I297" t="str">
        <f>IF(Table1[[#This Row],[Profit %]]&gt;20,"Excellent",IF(H297&gt;10.1,"Good","Low"))</f>
        <v>Excellent</v>
      </c>
    </row>
    <row r="298" spans="1:9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 s="2">
        <v>6968</v>
      </c>
      <c r="G298">
        <v>1479.09</v>
      </c>
      <c r="H298" s="2">
        <f>Table1[[#This Row],[Profit]]/Table1[[#This Row],[Sales]]*100</f>
        <v>21.226894374282431</v>
      </c>
      <c r="I298" t="str">
        <f>IF(Table1[[#This Row],[Profit %]]&gt;20,"Excellent",IF(H298&gt;10.1,"Good","Low"))</f>
        <v>Excellent</v>
      </c>
    </row>
    <row r="299" spans="1:9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 s="2">
        <v>1344</v>
      </c>
      <c r="G299">
        <v>300.88</v>
      </c>
      <c r="H299" s="2">
        <f>Table1[[#This Row],[Profit]]/Table1[[#This Row],[Sales]]*100</f>
        <v>22.386904761904759</v>
      </c>
      <c r="I299" t="str">
        <f>IF(Table1[[#This Row],[Profit %]]&gt;20,"Excellent",IF(H299&gt;10.1,"Good","Low"))</f>
        <v>Excellent</v>
      </c>
    </row>
    <row r="300" spans="1:9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 s="2">
        <v>354</v>
      </c>
      <c r="G300">
        <v>65.989999999999995</v>
      </c>
      <c r="H300" s="2">
        <f>Table1[[#This Row],[Profit]]/Table1[[#This Row],[Sales]]*100</f>
        <v>18.641242937853107</v>
      </c>
      <c r="I300" t="str">
        <f>IF(Table1[[#This Row],[Profit %]]&gt;20,"Excellent",IF(H300&gt;10.1,"Good","Low"))</f>
        <v>Good</v>
      </c>
    </row>
    <row r="301" spans="1:9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 s="2">
        <v>3051</v>
      </c>
      <c r="G301">
        <v>662.23</v>
      </c>
      <c r="H301" s="2">
        <f>Table1[[#This Row],[Profit]]/Table1[[#This Row],[Sales]]*100</f>
        <v>21.705342510652244</v>
      </c>
      <c r="I301" t="str">
        <f>IF(Table1[[#This Row],[Profit %]]&gt;20,"Excellent",IF(H301&gt;10.1,"Good","Low"))</f>
        <v>Excellent</v>
      </c>
    </row>
    <row r="302" spans="1:9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 s="2">
        <v>402</v>
      </c>
      <c r="G302">
        <v>106.87</v>
      </c>
      <c r="H302" s="2">
        <f>Table1[[#This Row],[Profit]]/Table1[[#This Row],[Sales]]*100</f>
        <v>26.584577114427859</v>
      </c>
      <c r="I302" t="str">
        <f>IF(Table1[[#This Row],[Profit %]]&gt;20,"Excellent",IF(H302&gt;10.1,"Good","Low"))</f>
        <v>Excellent</v>
      </c>
    </row>
    <row r="303" spans="1:9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 s="2">
        <v>3570</v>
      </c>
      <c r="G303">
        <v>517.82000000000005</v>
      </c>
      <c r="H303" s="2">
        <f>Table1[[#This Row],[Profit]]/Table1[[#This Row],[Sales]]*100</f>
        <v>14.504761904761907</v>
      </c>
      <c r="I303" t="str">
        <f>IF(Table1[[#This Row],[Profit %]]&gt;20,"Excellent",IF(H303&gt;10.1,"Good","Low"))</f>
        <v>Good</v>
      </c>
    </row>
    <row r="304" spans="1:9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 s="2">
        <v>3829</v>
      </c>
      <c r="G304">
        <v>876.35</v>
      </c>
      <c r="H304" s="2">
        <f>Table1[[#This Row],[Profit]]/Table1[[#This Row],[Sales]]*100</f>
        <v>22.887176808566206</v>
      </c>
      <c r="I304" t="str">
        <f>IF(Table1[[#This Row],[Profit %]]&gt;20,"Excellent",IF(H304&gt;10.1,"Good","Low"))</f>
        <v>Excellent</v>
      </c>
    </row>
    <row r="305" spans="1:9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 s="2">
        <v>4676</v>
      </c>
      <c r="G305">
        <v>242.64</v>
      </c>
      <c r="H305" s="2">
        <f>Table1[[#This Row],[Profit]]/Table1[[#This Row],[Sales]]*100</f>
        <v>5.1890504704875964</v>
      </c>
      <c r="I305" t="str">
        <f>IF(Table1[[#This Row],[Profit %]]&gt;20,"Excellent",IF(H305&gt;10.1,"Good","Low"))</f>
        <v>Low</v>
      </c>
    </row>
    <row r="306" spans="1:9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 s="2">
        <v>1119</v>
      </c>
      <c r="G306">
        <v>317.36</v>
      </c>
      <c r="H306" s="2">
        <f>Table1[[#This Row],[Profit]]/Table1[[#This Row],[Sales]]*100</f>
        <v>28.361036639857019</v>
      </c>
      <c r="I306" t="str">
        <f>IF(Table1[[#This Row],[Profit %]]&gt;20,"Excellent",IF(H306&gt;10.1,"Good","Low"))</f>
        <v>Excellent</v>
      </c>
    </row>
    <row r="307" spans="1:9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 s="2">
        <v>4228</v>
      </c>
      <c r="G307">
        <v>764.3</v>
      </c>
      <c r="H307" s="2">
        <f>Table1[[#This Row],[Profit]]/Table1[[#This Row],[Sales]]*100</f>
        <v>18.077105014191105</v>
      </c>
      <c r="I307" t="str">
        <f>IF(Table1[[#This Row],[Profit %]]&gt;20,"Excellent",IF(H307&gt;10.1,"Good","Low"))</f>
        <v>Good</v>
      </c>
    </row>
    <row r="308" spans="1:9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 s="2">
        <v>1240</v>
      </c>
      <c r="G308">
        <v>251.2</v>
      </c>
      <c r="H308" s="2">
        <f>Table1[[#This Row],[Profit]]/Table1[[#This Row],[Sales]]*100</f>
        <v>20.258064516129032</v>
      </c>
      <c r="I308" t="str">
        <f>IF(Table1[[#This Row],[Profit %]]&gt;20,"Excellent",IF(H308&gt;10.1,"Good","Low"))</f>
        <v>Excellent</v>
      </c>
    </row>
    <row r="309" spans="1:9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 s="2">
        <v>3591</v>
      </c>
      <c r="G309">
        <v>342.18</v>
      </c>
      <c r="H309" s="2">
        <f>Table1[[#This Row],[Profit]]/Table1[[#This Row],[Sales]]*100</f>
        <v>9.5288220551378444</v>
      </c>
      <c r="I309" t="str">
        <f>IF(Table1[[#This Row],[Profit %]]&gt;20,"Excellent",IF(H309&gt;10.1,"Good","Low"))</f>
        <v>Low</v>
      </c>
    </row>
    <row r="310" spans="1:9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 s="2">
        <v>3952</v>
      </c>
      <c r="G310">
        <v>451.08</v>
      </c>
      <c r="H310" s="2">
        <f>Table1[[#This Row],[Profit]]/Table1[[#This Row],[Sales]]*100</f>
        <v>11.413967611336032</v>
      </c>
      <c r="I310" t="str">
        <f>IF(Table1[[#This Row],[Profit %]]&gt;20,"Excellent",IF(H310&gt;10.1,"Good","Low"))</f>
        <v>Good</v>
      </c>
    </row>
    <row r="311" spans="1:9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 s="2">
        <v>3648</v>
      </c>
      <c r="G311">
        <v>1050.08</v>
      </c>
      <c r="H311" s="2">
        <f>Table1[[#This Row],[Profit]]/Table1[[#This Row],[Sales]]*100</f>
        <v>28.78508771929824</v>
      </c>
      <c r="I311" t="str">
        <f>IF(Table1[[#This Row],[Profit %]]&gt;20,"Excellent",IF(H311&gt;10.1,"Good","Low"))</f>
        <v>Excellent</v>
      </c>
    </row>
    <row r="312" spans="1:9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 s="2">
        <v>3875</v>
      </c>
      <c r="G312">
        <v>768.74</v>
      </c>
      <c r="H312" s="2">
        <f>Table1[[#This Row],[Profit]]/Table1[[#This Row],[Sales]]*100</f>
        <v>19.838451612903228</v>
      </c>
      <c r="I312" t="str">
        <f>IF(Table1[[#This Row],[Profit %]]&gt;20,"Excellent",IF(H312&gt;10.1,"Good","Low"))</f>
        <v>Good</v>
      </c>
    </row>
    <row r="313" spans="1:9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 s="2">
        <v>3416</v>
      </c>
      <c r="G313">
        <v>478.9</v>
      </c>
      <c r="H313" s="2">
        <f>Table1[[#This Row],[Profit]]/Table1[[#This Row],[Sales]]*100</f>
        <v>14.019320843091334</v>
      </c>
      <c r="I313" t="str">
        <f>IF(Table1[[#This Row],[Profit %]]&gt;20,"Excellent",IF(H313&gt;10.1,"Good","Low"))</f>
        <v>Good</v>
      </c>
    </row>
    <row r="314" spans="1:9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 s="2">
        <v>908</v>
      </c>
      <c r="G314">
        <v>222.58</v>
      </c>
      <c r="H314" s="2">
        <f>Table1[[#This Row],[Profit]]/Table1[[#This Row],[Sales]]*100</f>
        <v>24.513215859030836</v>
      </c>
      <c r="I314" t="str">
        <f>IF(Table1[[#This Row],[Profit %]]&gt;20,"Excellent",IF(H314&gt;10.1,"Good","Low"))</f>
        <v>Excellent</v>
      </c>
    </row>
    <row r="315" spans="1:9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 s="2">
        <v>4532</v>
      </c>
      <c r="G315">
        <v>987.32</v>
      </c>
      <c r="H315" s="2">
        <f>Table1[[#This Row],[Profit]]/Table1[[#This Row],[Sales]]*100</f>
        <v>21.785525154457194</v>
      </c>
      <c r="I315" t="str">
        <f>IF(Table1[[#This Row],[Profit %]]&gt;20,"Excellent",IF(H315&gt;10.1,"Good","Low"))</f>
        <v>Excellent</v>
      </c>
    </row>
    <row r="316" spans="1:9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 s="2">
        <v>4168</v>
      </c>
      <c r="G316">
        <v>650.15</v>
      </c>
      <c r="H316" s="2">
        <f>Table1[[#This Row],[Profit]]/Table1[[#This Row],[Sales]]*100</f>
        <v>15.598608445297504</v>
      </c>
      <c r="I316" t="str">
        <f>IF(Table1[[#This Row],[Profit %]]&gt;20,"Excellent",IF(H316&gt;10.1,"Good","Low"))</f>
        <v>Good</v>
      </c>
    </row>
    <row r="317" spans="1:9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 s="2">
        <v>3543</v>
      </c>
      <c r="G317">
        <v>941.37</v>
      </c>
      <c r="H317" s="2">
        <f>Table1[[#This Row],[Profit]]/Table1[[#This Row],[Sales]]*100</f>
        <v>26.569856054191366</v>
      </c>
      <c r="I317" t="str">
        <f>IF(Table1[[#This Row],[Profit %]]&gt;20,"Excellent",IF(H317&gt;10.1,"Good","Low"))</f>
        <v>Excellent</v>
      </c>
    </row>
    <row r="318" spans="1:9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 s="2">
        <v>5124</v>
      </c>
      <c r="G318">
        <v>1078.57</v>
      </c>
      <c r="H318" s="2">
        <f>Table1[[#This Row],[Profit]]/Table1[[#This Row],[Sales]]*100</f>
        <v>21.049375487900075</v>
      </c>
      <c r="I318" t="str">
        <f>IF(Table1[[#This Row],[Profit %]]&gt;20,"Excellent",IF(H318&gt;10.1,"Good","Low"))</f>
        <v>Excellent</v>
      </c>
    </row>
    <row r="319" spans="1:9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 s="2">
        <v>5751</v>
      </c>
      <c r="G319">
        <v>1196.23</v>
      </c>
      <c r="H319" s="2">
        <f>Table1[[#This Row],[Profit]]/Table1[[#This Row],[Sales]]*100</f>
        <v>20.800382542166577</v>
      </c>
      <c r="I319" t="str">
        <f>IF(Table1[[#This Row],[Profit %]]&gt;20,"Excellent",IF(H319&gt;10.1,"Good","Low"))</f>
        <v>Excellent</v>
      </c>
    </row>
    <row r="320" spans="1:9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 s="2">
        <v>624</v>
      </c>
      <c r="G320">
        <v>139.63999999999999</v>
      </c>
      <c r="H320" s="2">
        <f>Table1[[#This Row],[Profit]]/Table1[[#This Row],[Sales]]*100</f>
        <v>22.378205128205124</v>
      </c>
      <c r="I320" t="str">
        <f>IF(Table1[[#This Row],[Profit %]]&gt;20,"Excellent",IF(H320&gt;10.1,"Good","Low"))</f>
        <v>Excellent</v>
      </c>
    </row>
    <row r="321" spans="1:9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 s="2">
        <v>508</v>
      </c>
      <c r="G321">
        <v>151.29</v>
      </c>
      <c r="H321" s="2">
        <f>Table1[[#This Row],[Profit]]/Table1[[#This Row],[Sales]]*100</f>
        <v>29.781496062992126</v>
      </c>
      <c r="I321" t="str">
        <f>IF(Table1[[#This Row],[Profit %]]&gt;20,"Excellent",IF(H321&gt;10.1,"Good","Low"))</f>
        <v>Excellent</v>
      </c>
    </row>
    <row r="322" spans="1:9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 s="2">
        <v>4700</v>
      </c>
      <c r="G322">
        <v>914.6</v>
      </c>
      <c r="H322" s="2">
        <f>Table1[[#This Row],[Profit]]/Table1[[#This Row],[Sales]]*100</f>
        <v>19.459574468085105</v>
      </c>
      <c r="I322" t="str">
        <f>IF(Table1[[#This Row],[Profit %]]&gt;20,"Excellent",IF(H322&gt;10.1,"Good","Low"))</f>
        <v>Good</v>
      </c>
    </row>
    <row r="323" spans="1:9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 s="2">
        <v>3216</v>
      </c>
      <c r="G323">
        <v>639.78</v>
      </c>
      <c r="H323" s="2">
        <f>Table1[[#This Row],[Profit]]/Table1[[#This Row],[Sales]]*100</f>
        <v>19.893656716417908</v>
      </c>
      <c r="I323" t="str">
        <f>IF(Table1[[#This Row],[Profit %]]&gt;20,"Excellent",IF(H323&gt;10.1,"Good","Low"))</f>
        <v>Good</v>
      </c>
    </row>
    <row r="324" spans="1:9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 s="2">
        <v>2844</v>
      </c>
      <c r="G324">
        <v>581</v>
      </c>
      <c r="H324" s="2">
        <f>Table1[[#This Row],[Profit]]/Table1[[#This Row],[Sales]]*100</f>
        <v>20.428973277074544</v>
      </c>
      <c r="I324" t="str">
        <f>IF(Table1[[#This Row],[Profit %]]&gt;20,"Excellent",IF(H324&gt;10.1,"Good","Low"))</f>
        <v>Excellent</v>
      </c>
    </row>
    <row r="325" spans="1:9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 s="2">
        <v>2385</v>
      </c>
      <c r="G325">
        <v>258.60000000000002</v>
      </c>
      <c r="H325" s="2">
        <f>Table1[[#This Row],[Profit]]/Table1[[#This Row],[Sales]]*100</f>
        <v>10.842767295597486</v>
      </c>
      <c r="I325" t="str">
        <f>IF(Table1[[#This Row],[Profit %]]&gt;20,"Excellent",IF(H325&gt;10.1,"Good","Low"))</f>
        <v>Good</v>
      </c>
    </row>
    <row r="326" spans="1:9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 s="2">
        <v>928</v>
      </c>
      <c r="G326">
        <v>170.05</v>
      </c>
      <c r="H326" s="2">
        <f>Table1[[#This Row],[Profit]]/Table1[[#This Row],[Sales]]*100</f>
        <v>18.324353448275861</v>
      </c>
      <c r="I326" t="str">
        <f>IF(Table1[[#This Row],[Profit %]]&gt;20,"Excellent",IF(H326&gt;10.1,"Good","Low"))</f>
        <v>Good</v>
      </c>
    </row>
    <row r="327" spans="1:9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 s="2">
        <v>4656</v>
      </c>
      <c r="G327">
        <v>673.35</v>
      </c>
      <c r="H327" s="2">
        <f>Table1[[#This Row],[Profit]]/Table1[[#This Row],[Sales]]*100</f>
        <v>14.461984536082475</v>
      </c>
      <c r="I327" t="str">
        <f>IF(Table1[[#This Row],[Profit %]]&gt;20,"Excellent",IF(H327&gt;10.1,"Good","Low"))</f>
        <v>Good</v>
      </c>
    </row>
    <row r="328" spans="1:9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 s="2">
        <v>330</v>
      </c>
      <c r="G328">
        <v>21.46</v>
      </c>
      <c r="H328" s="2">
        <f>Table1[[#This Row],[Profit]]/Table1[[#This Row],[Sales]]*100</f>
        <v>6.5030303030303038</v>
      </c>
      <c r="I328" t="str">
        <f>IF(Table1[[#This Row],[Profit %]]&gt;20,"Excellent",IF(H328&gt;10.1,"Good","Low"))</f>
        <v>Low</v>
      </c>
    </row>
    <row r="329" spans="1:9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 s="2">
        <v>1799</v>
      </c>
      <c r="G329">
        <v>274.11</v>
      </c>
      <c r="H329" s="2">
        <f>Table1[[#This Row],[Profit]]/Table1[[#This Row],[Sales]]*100</f>
        <v>15.236798221234018</v>
      </c>
      <c r="I329" t="str">
        <f>IF(Table1[[#This Row],[Profit %]]&gt;20,"Excellent",IF(H329&gt;10.1,"Good","Low"))</f>
        <v>Good</v>
      </c>
    </row>
    <row r="330" spans="1:9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 s="2">
        <v>1029</v>
      </c>
      <c r="G330">
        <v>173.61</v>
      </c>
      <c r="H330" s="2">
        <f>Table1[[#This Row],[Profit]]/Table1[[#This Row],[Sales]]*100</f>
        <v>16.871720116618079</v>
      </c>
      <c r="I330" t="str">
        <f>IF(Table1[[#This Row],[Profit %]]&gt;20,"Excellent",IF(H330&gt;10.1,"Good","Low"))</f>
        <v>Good</v>
      </c>
    </row>
    <row r="331" spans="1:9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 s="2">
        <v>5432</v>
      </c>
      <c r="G331">
        <v>1619.39</v>
      </c>
      <c r="H331" s="2">
        <f>Table1[[#This Row],[Profit]]/Table1[[#This Row],[Sales]]*100</f>
        <v>29.812039764359355</v>
      </c>
      <c r="I331" t="str">
        <f>IF(Table1[[#This Row],[Profit %]]&gt;20,"Excellent",IF(H331&gt;10.1,"Good","Low"))</f>
        <v>Excellent</v>
      </c>
    </row>
    <row r="332" spans="1:9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 s="2">
        <v>5785</v>
      </c>
      <c r="G332">
        <v>1191.1099999999999</v>
      </c>
      <c r="H332" s="2">
        <f>Table1[[#This Row],[Profit]]/Table1[[#This Row],[Sales]]*100</f>
        <v>20.589628349178909</v>
      </c>
      <c r="I332" t="str">
        <f>IF(Table1[[#This Row],[Profit %]]&gt;20,"Excellent",IF(H332&gt;10.1,"Good","Low"))</f>
        <v>Excellent</v>
      </c>
    </row>
    <row r="333" spans="1:9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 s="2">
        <v>1062</v>
      </c>
      <c r="G333">
        <v>272.42</v>
      </c>
      <c r="H333" s="2">
        <f>Table1[[#This Row],[Profit]]/Table1[[#This Row],[Sales]]*100</f>
        <v>25.651600753295671</v>
      </c>
      <c r="I333" t="str">
        <f>IF(Table1[[#This Row],[Profit %]]&gt;20,"Excellent",IF(H333&gt;10.1,"Good","Low"))</f>
        <v>Excellent</v>
      </c>
    </row>
    <row r="334" spans="1:9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 s="2">
        <v>163</v>
      </c>
      <c r="G334">
        <v>22.07</v>
      </c>
      <c r="H334" s="2">
        <f>Table1[[#This Row],[Profit]]/Table1[[#This Row],[Sales]]*100</f>
        <v>13.539877300613497</v>
      </c>
      <c r="I334" t="str">
        <f>IF(Table1[[#This Row],[Profit %]]&gt;20,"Excellent",IF(H334&gt;10.1,"Good","Low"))</f>
        <v>Good</v>
      </c>
    </row>
    <row r="335" spans="1:9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 s="2">
        <v>9162</v>
      </c>
      <c r="G335">
        <v>1625.62</v>
      </c>
      <c r="H335" s="2">
        <f>Table1[[#This Row],[Profit]]/Table1[[#This Row],[Sales]]*100</f>
        <v>17.743069198864873</v>
      </c>
      <c r="I335" t="str">
        <f>IF(Table1[[#This Row],[Profit %]]&gt;20,"Excellent",IF(H335&gt;10.1,"Good","Low"))</f>
        <v>Good</v>
      </c>
    </row>
    <row r="336" spans="1:9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 s="2">
        <v>1440</v>
      </c>
      <c r="G336">
        <v>130.24</v>
      </c>
      <c r="H336" s="2">
        <f>Table1[[#This Row],[Profit]]/Table1[[#This Row],[Sales]]*100</f>
        <v>9.0444444444444461</v>
      </c>
      <c r="I336" t="str">
        <f>IF(Table1[[#This Row],[Profit %]]&gt;20,"Excellent",IF(H336&gt;10.1,"Good","Low"))</f>
        <v>Low</v>
      </c>
    </row>
    <row r="337" spans="1:9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 s="2">
        <v>1465</v>
      </c>
      <c r="G337">
        <v>149.62</v>
      </c>
      <c r="H337" s="2">
        <f>Table1[[#This Row],[Profit]]/Table1[[#This Row],[Sales]]*100</f>
        <v>10.21296928327645</v>
      </c>
      <c r="I337" t="str">
        <f>IF(Table1[[#This Row],[Profit %]]&gt;20,"Excellent",IF(H337&gt;10.1,"Good","Low"))</f>
        <v>Good</v>
      </c>
    </row>
    <row r="338" spans="1:9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 s="2">
        <v>366</v>
      </c>
      <c r="G338">
        <v>31.23</v>
      </c>
      <c r="H338" s="2">
        <f>Table1[[#This Row],[Profit]]/Table1[[#This Row],[Sales]]*100</f>
        <v>8.5327868852459012</v>
      </c>
      <c r="I338" t="str">
        <f>IF(Table1[[#This Row],[Profit %]]&gt;20,"Excellent",IF(H338&gt;10.1,"Good","Low"))</f>
        <v>Low</v>
      </c>
    </row>
    <row r="339" spans="1:9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 s="2">
        <v>3135</v>
      </c>
      <c r="G339">
        <v>277.27999999999997</v>
      </c>
      <c r="H339" s="2">
        <f>Table1[[#This Row],[Profit]]/Table1[[#This Row],[Sales]]*100</f>
        <v>8.8446570972886764</v>
      </c>
      <c r="I339" t="str">
        <f>IF(Table1[[#This Row],[Profit %]]&gt;20,"Excellent",IF(H339&gt;10.1,"Good","Low"))</f>
        <v>Low</v>
      </c>
    </row>
    <row r="340" spans="1:9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 s="2">
        <v>630</v>
      </c>
      <c r="G340">
        <v>161.04</v>
      </c>
      <c r="H340" s="2">
        <f>Table1[[#This Row],[Profit]]/Table1[[#This Row],[Sales]]*100</f>
        <v>25.561904761904756</v>
      </c>
      <c r="I340" t="str">
        <f>IF(Table1[[#This Row],[Profit %]]&gt;20,"Excellent",IF(H340&gt;10.1,"Good","Low"))</f>
        <v>Excellent</v>
      </c>
    </row>
    <row r="341" spans="1:9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 s="2">
        <v>213</v>
      </c>
      <c r="G341">
        <v>42.94</v>
      </c>
      <c r="H341" s="2">
        <f>Table1[[#This Row],[Profit]]/Table1[[#This Row],[Sales]]*100</f>
        <v>20.159624413145536</v>
      </c>
      <c r="I341" t="str">
        <f>IF(Table1[[#This Row],[Profit %]]&gt;20,"Excellent",IF(H341&gt;10.1,"Good","Low"))</f>
        <v>Excellent</v>
      </c>
    </row>
    <row r="342" spans="1:9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 s="2">
        <v>3792</v>
      </c>
      <c r="G342">
        <v>1092.8499999999999</v>
      </c>
      <c r="H342" s="2">
        <f>Table1[[#This Row],[Profit]]/Table1[[#This Row],[Sales]]*100</f>
        <v>28.819883966244724</v>
      </c>
      <c r="I342" t="str">
        <f>IF(Table1[[#This Row],[Profit %]]&gt;20,"Excellent",IF(H342&gt;10.1,"Good","Low"))</f>
        <v>Excellent</v>
      </c>
    </row>
    <row r="343" spans="1:9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 s="2">
        <v>1932</v>
      </c>
      <c r="G343">
        <v>109.07</v>
      </c>
      <c r="H343" s="2">
        <f>Table1[[#This Row],[Profit]]/Table1[[#This Row],[Sales]]*100</f>
        <v>5.645445134575569</v>
      </c>
      <c r="I343" t="str">
        <f>IF(Table1[[#This Row],[Profit %]]&gt;20,"Excellent",IF(H343&gt;10.1,"Good","Low"))</f>
        <v>Low</v>
      </c>
    </row>
    <row r="344" spans="1:9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 s="2">
        <v>4152</v>
      </c>
      <c r="G344">
        <v>317.27999999999997</v>
      </c>
      <c r="H344" s="2">
        <f>Table1[[#This Row],[Profit]]/Table1[[#This Row],[Sales]]*100</f>
        <v>7.6416184971098255</v>
      </c>
      <c r="I344" t="str">
        <f>IF(Table1[[#This Row],[Profit %]]&gt;20,"Excellent",IF(H344&gt;10.1,"Good","Low"))</f>
        <v>Low</v>
      </c>
    </row>
    <row r="345" spans="1:9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 s="2">
        <v>3612</v>
      </c>
      <c r="G345">
        <v>529.57000000000005</v>
      </c>
      <c r="H345" s="2">
        <f>Table1[[#This Row],[Profit]]/Table1[[#This Row],[Sales]]*100</f>
        <v>14.661406423034332</v>
      </c>
      <c r="I345" t="str">
        <f>IF(Table1[[#This Row],[Profit %]]&gt;20,"Excellent",IF(H345&gt;10.1,"Good","Low"))</f>
        <v>Good</v>
      </c>
    </row>
    <row r="346" spans="1:9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 s="2">
        <v>2258</v>
      </c>
      <c r="G346">
        <v>280.76</v>
      </c>
      <c r="H346" s="2">
        <f>Table1[[#This Row],[Profit]]/Table1[[#This Row],[Sales]]*100</f>
        <v>12.434012400354295</v>
      </c>
      <c r="I346" t="str">
        <f>IF(Table1[[#This Row],[Profit %]]&gt;20,"Excellent",IF(H346&gt;10.1,"Good","Low"))</f>
        <v>Good</v>
      </c>
    </row>
    <row r="347" spans="1:9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 s="2">
        <v>594</v>
      </c>
      <c r="G347">
        <v>47.73</v>
      </c>
      <c r="H347" s="2">
        <f>Table1[[#This Row],[Profit]]/Table1[[#This Row],[Sales]]*100</f>
        <v>8.0353535353535346</v>
      </c>
      <c r="I347" t="str">
        <f>IF(Table1[[#This Row],[Profit %]]&gt;20,"Excellent",IF(H347&gt;10.1,"Good","Low"))</f>
        <v>Low</v>
      </c>
    </row>
    <row r="348" spans="1:9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 s="2">
        <v>8071</v>
      </c>
      <c r="G348">
        <v>1799.06</v>
      </c>
      <c r="H348" s="2">
        <f>Table1[[#This Row],[Profit]]/Table1[[#This Row],[Sales]]*100</f>
        <v>22.290422500309752</v>
      </c>
      <c r="I348" t="str">
        <f>IF(Table1[[#This Row],[Profit %]]&gt;20,"Excellent",IF(H348&gt;10.1,"Good","Low"))</f>
        <v>Excellent</v>
      </c>
    </row>
    <row r="349" spans="1:9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 s="2">
        <v>5838</v>
      </c>
      <c r="G349">
        <v>631.45000000000005</v>
      </c>
      <c r="H349" s="2">
        <f>Table1[[#This Row],[Profit]]/Table1[[#This Row],[Sales]]*100</f>
        <v>10.816204179513534</v>
      </c>
      <c r="I349" t="str">
        <f>IF(Table1[[#This Row],[Profit %]]&gt;20,"Excellent",IF(H349&gt;10.1,"Good","Low"))</f>
        <v>Good</v>
      </c>
    </row>
    <row r="350" spans="1:9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 s="2">
        <v>692</v>
      </c>
      <c r="G350">
        <v>181.31</v>
      </c>
      <c r="H350" s="2">
        <f>Table1[[#This Row],[Profit]]/Table1[[#This Row],[Sales]]*100</f>
        <v>26.200867052023121</v>
      </c>
      <c r="I350" t="str">
        <f>IF(Table1[[#This Row],[Profit %]]&gt;20,"Excellent",IF(H350&gt;10.1,"Good","Low"))</f>
        <v>Excellent</v>
      </c>
    </row>
    <row r="351" spans="1:9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 s="2">
        <v>1704</v>
      </c>
      <c r="G351">
        <v>309.06</v>
      </c>
      <c r="H351" s="2">
        <f>Table1[[#This Row],[Profit]]/Table1[[#This Row],[Sales]]*100</f>
        <v>18.137323943661972</v>
      </c>
      <c r="I351" t="str">
        <f>IF(Table1[[#This Row],[Profit %]]&gt;20,"Excellent",IF(H351&gt;10.1,"Good","Low"))</f>
        <v>Good</v>
      </c>
    </row>
    <row r="352" spans="1:9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 s="2">
        <v>3235</v>
      </c>
      <c r="G352">
        <v>941.24</v>
      </c>
      <c r="H352" s="2">
        <f>Table1[[#This Row],[Profit]]/Table1[[#This Row],[Sales]]*100</f>
        <v>29.095517774343122</v>
      </c>
      <c r="I352" t="str">
        <f>IF(Table1[[#This Row],[Profit %]]&gt;20,"Excellent",IF(H352&gt;10.1,"Good","Low"))</f>
        <v>Excellent</v>
      </c>
    </row>
    <row r="353" spans="1:9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 s="2">
        <v>4746</v>
      </c>
      <c r="G353">
        <v>545.57000000000005</v>
      </c>
      <c r="H353" s="2">
        <f>Table1[[#This Row],[Profit]]/Table1[[#This Row],[Sales]]*100</f>
        <v>11.495364517488413</v>
      </c>
      <c r="I353" t="str">
        <f>IF(Table1[[#This Row],[Profit %]]&gt;20,"Excellent",IF(H353&gt;10.1,"Good","Low"))</f>
        <v>Good</v>
      </c>
    </row>
    <row r="354" spans="1:9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 s="2">
        <v>7600</v>
      </c>
      <c r="G354">
        <v>788.88</v>
      </c>
      <c r="H354" s="2">
        <f>Table1[[#This Row],[Profit]]/Table1[[#This Row],[Sales]]*100</f>
        <v>10.38</v>
      </c>
      <c r="I354" t="str">
        <f>IF(Table1[[#This Row],[Profit %]]&gt;20,"Excellent",IF(H354&gt;10.1,"Good","Low"))</f>
        <v>Good</v>
      </c>
    </row>
    <row r="355" spans="1:9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 s="2">
        <v>1935</v>
      </c>
      <c r="G355">
        <v>128.01</v>
      </c>
      <c r="H355" s="2">
        <f>Table1[[#This Row],[Profit]]/Table1[[#This Row],[Sales]]*100</f>
        <v>6.6155038759689919</v>
      </c>
      <c r="I355" t="str">
        <f>IF(Table1[[#This Row],[Profit %]]&gt;20,"Excellent",IF(H355&gt;10.1,"Good","Low"))</f>
        <v>Low</v>
      </c>
    </row>
    <row r="356" spans="1:9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 s="2">
        <v>1638</v>
      </c>
      <c r="G356">
        <v>306.29000000000002</v>
      </c>
      <c r="H356" s="2">
        <f>Table1[[#This Row],[Profit]]/Table1[[#This Row],[Sales]]*100</f>
        <v>18.699023199023202</v>
      </c>
      <c r="I356" t="str">
        <f>IF(Table1[[#This Row],[Profit %]]&gt;20,"Excellent",IF(H356&gt;10.1,"Good","Low"))</f>
        <v>Good</v>
      </c>
    </row>
    <row r="357" spans="1:9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 s="2">
        <v>4746</v>
      </c>
      <c r="G357">
        <v>816.6</v>
      </c>
      <c r="H357" s="2">
        <f>Table1[[#This Row],[Profit]]/Table1[[#This Row],[Sales]]*100</f>
        <v>17.206068268015169</v>
      </c>
      <c r="I357" t="str">
        <f>IF(Table1[[#This Row],[Profit %]]&gt;20,"Excellent",IF(H357&gt;10.1,"Good","Low"))</f>
        <v>Good</v>
      </c>
    </row>
    <row r="358" spans="1:9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 s="2">
        <v>4824</v>
      </c>
      <c r="G358">
        <v>1187.93</v>
      </c>
      <c r="H358" s="2">
        <f>Table1[[#This Row],[Profit]]/Table1[[#This Row],[Sales]]*100</f>
        <v>24.625414593698178</v>
      </c>
      <c r="I358" t="str">
        <f>IF(Table1[[#This Row],[Profit %]]&gt;20,"Excellent",IF(H358&gt;10.1,"Good","Low"))</f>
        <v>Excellent</v>
      </c>
    </row>
    <row r="359" spans="1:9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 s="2">
        <v>1193</v>
      </c>
      <c r="G359">
        <v>153.72</v>
      </c>
      <c r="H359" s="2">
        <f>Table1[[#This Row],[Profit]]/Table1[[#This Row],[Sales]]*100</f>
        <v>12.885163453478626</v>
      </c>
      <c r="I359" t="str">
        <f>IF(Table1[[#This Row],[Profit %]]&gt;20,"Excellent",IF(H359&gt;10.1,"Good","Low"))</f>
        <v>Good</v>
      </c>
    </row>
    <row r="360" spans="1:9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 s="2">
        <v>562</v>
      </c>
      <c r="G360">
        <v>92.94</v>
      </c>
      <c r="H360" s="2">
        <f>Table1[[#This Row],[Profit]]/Table1[[#This Row],[Sales]]*100</f>
        <v>16.537366548042705</v>
      </c>
      <c r="I360" t="str">
        <f>IF(Table1[[#This Row],[Profit %]]&gt;20,"Excellent",IF(H360&gt;10.1,"Good","Low"))</f>
        <v>Good</v>
      </c>
    </row>
    <row r="361" spans="1:9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 s="2">
        <v>6200</v>
      </c>
      <c r="G361">
        <v>1296.8399999999999</v>
      </c>
      <c r="H361" s="2">
        <f>Table1[[#This Row],[Profit]]/Table1[[#This Row],[Sales]]*100</f>
        <v>20.916774193548385</v>
      </c>
      <c r="I361" t="str">
        <f>IF(Table1[[#This Row],[Profit %]]&gt;20,"Excellent",IF(H361&gt;10.1,"Good","Low"))</f>
        <v>Excellent</v>
      </c>
    </row>
    <row r="362" spans="1:9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 s="2">
        <v>4128</v>
      </c>
      <c r="G362">
        <v>315.48</v>
      </c>
      <c r="H362" s="2">
        <f>Table1[[#This Row],[Profit]]/Table1[[#This Row],[Sales]]*100</f>
        <v>7.6424418604651168</v>
      </c>
      <c r="I362" t="str">
        <f>IF(Table1[[#This Row],[Profit %]]&gt;20,"Excellent",IF(H362&gt;10.1,"Good","Low"))</f>
        <v>Low</v>
      </c>
    </row>
    <row r="363" spans="1:9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 s="2">
        <v>5405</v>
      </c>
      <c r="G363">
        <v>326.56</v>
      </c>
      <c r="H363" s="2">
        <f>Table1[[#This Row],[Profit]]/Table1[[#This Row],[Sales]]*100</f>
        <v>6.0418131359851985</v>
      </c>
      <c r="I363" t="str">
        <f>IF(Table1[[#This Row],[Profit %]]&gt;20,"Excellent",IF(H363&gt;10.1,"Good","Low"))</f>
        <v>Low</v>
      </c>
    </row>
    <row r="364" spans="1:9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 s="2">
        <v>1371</v>
      </c>
      <c r="G364">
        <v>104.66</v>
      </c>
      <c r="H364" s="2">
        <f>Table1[[#This Row],[Profit]]/Table1[[#This Row],[Sales]]*100</f>
        <v>7.6338439095550683</v>
      </c>
      <c r="I364" t="str">
        <f>IF(Table1[[#This Row],[Profit %]]&gt;20,"Excellent",IF(H364&gt;10.1,"Good","Low"))</f>
        <v>Low</v>
      </c>
    </row>
    <row r="365" spans="1:9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 s="2">
        <v>1405</v>
      </c>
      <c r="G365">
        <v>194.33</v>
      </c>
      <c r="H365" s="2">
        <f>Table1[[#This Row],[Profit]]/Table1[[#This Row],[Sales]]*100</f>
        <v>13.831316725978649</v>
      </c>
      <c r="I365" t="str">
        <f>IF(Table1[[#This Row],[Profit %]]&gt;20,"Excellent",IF(H365&gt;10.1,"Good","Low"))</f>
        <v>Good</v>
      </c>
    </row>
    <row r="366" spans="1:9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 s="2">
        <v>1644</v>
      </c>
      <c r="G366">
        <v>158.32</v>
      </c>
      <c r="H366" s="2">
        <f>Table1[[#This Row],[Profit]]/Table1[[#This Row],[Sales]]*100</f>
        <v>9.6301703163017027</v>
      </c>
      <c r="I366" t="str">
        <f>IF(Table1[[#This Row],[Profit %]]&gt;20,"Excellent",IF(H366&gt;10.1,"Good","Low"))</f>
        <v>Low</v>
      </c>
    </row>
    <row r="367" spans="1:9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 s="2">
        <v>3414</v>
      </c>
      <c r="G367">
        <v>396.92</v>
      </c>
      <c r="H367" s="2">
        <f>Table1[[#This Row],[Profit]]/Table1[[#This Row],[Sales]]*100</f>
        <v>11.626244874048037</v>
      </c>
      <c r="I367" t="str">
        <f>IF(Table1[[#This Row],[Profit %]]&gt;20,"Excellent",IF(H367&gt;10.1,"Good","Low"))</f>
        <v>Good</v>
      </c>
    </row>
    <row r="368" spans="1:9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 s="2">
        <v>3272</v>
      </c>
      <c r="G368">
        <v>674.57</v>
      </c>
      <c r="H368" s="2">
        <f>Table1[[#This Row],[Profit]]/Table1[[#This Row],[Sales]]*100</f>
        <v>20.61644254278729</v>
      </c>
      <c r="I368" t="str">
        <f>IF(Table1[[#This Row],[Profit %]]&gt;20,"Excellent",IF(H368&gt;10.1,"Good","Low"))</f>
        <v>Excellent</v>
      </c>
    </row>
    <row r="369" spans="1:9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 s="2">
        <v>2655</v>
      </c>
      <c r="G369">
        <v>646.91</v>
      </c>
      <c r="H369" s="2">
        <f>Table1[[#This Row],[Profit]]/Table1[[#This Row],[Sales]]*100</f>
        <v>24.365725047080979</v>
      </c>
      <c r="I369" t="str">
        <f>IF(Table1[[#This Row],[Profit %]]&gt;20,"Excellent",IF(H369&gt;10.1,"Good","Low"))</f>
        <v>Excellent</v>
      </c>
    </row>
    <row r="370" spans="1:9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 s="2">
        <v>1673</v>
      </c>
      <c r="G370">
        <v>458.32</v>
      </c>
      <c r="H370" s="2">
        <f>Table1[[#This Row],[Profit]]/Table1[[#This Row],[Sales]]*100</f>
        <v>27.395098625224147</v>
      </c>
      <c r="I370" t="str">
        <f>IF(Table1[[#This Row],[Profit %]]&gt;20,"Excellent",IF(H370&gt;10.1,"Good","Low"))</f>
        <v>Excellent</v>
      </c>
    </row>
    <row r="371" spans="1:9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 s="2">
        <v>846</v>
      </c>
      <c r="G371">
        <v>145.09</v>
      </c>
      <c r="H371" s="2">
        <f>Table1[[#This Row],[Profit]]/Table1[[#This Row],[Sales]]*100</f>
        <v>17.150118203309695</v>
      </c>
      <c r="I371" t="str">
        <f>IF(Table1[[#This Row],[Profit %]]&gt;20,"Excellent",IF(H371&gt;10.1,"Good","Low"))</f>
        <v>Good</v>
      </c>
    </row>
    <row r="372" spans="1:9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 s="2">
        <v>985</v>
      </c>
      <c r="G372">
        <v>196.64</v>
      </c>
      <c r="H372" s="2">
        <f>Table1[[#This Row],[Profit]]/Table1[[#This Row],[Sales]]*100</f>
        <v>19.963451776649745</v>
      </c>
      <c r="I372" t="str">
        <f>IF(Table1[[#This Row],[Profit %]]&gt;20,"Excellent",IF(H372&gt;10.1,"Good","Low"))</f>
        <v>Good</v>
      </c>
    </row>
    <row r="373" spans="1:9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 s="2">
        <v>7551</v>
      </c>
      <c r="G373">
        <v>894.4</v>
      </c>
      <c r="H373" s="2">
        <f>Table1[[#This Row],[Profit]]/Table1[[#This Row],[Sales]]*100</f>
        <v>11.844788769699377</v>
      </c>
      <c r="I373" t="str">
        <f>IF(Table1[[#This Row],[Profit %]]&gt;20,"Excellent",IF(H373&gt;10.1,"Good","Low"))</f>
        <v>Good</v>
      </c>
    </row>
    <row r="374" spans="1:9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 s="2">
        <v>855</v>
      </c>
      <c r="G374">
        <v>217.16</v>
      </c>
      <c r="H374" s="2">
        <f>Table1[[#This Row],[Profit]]/Table1[[#This Row],[Sales]]*100</f>
        <v>25.398830409356727</v>
      </c>
      <c r="I374" t="str">
        <f>IF(Table1[[#This Row],[Profit %]]&gt;20,"Excellent",IF(H374&gt;10.1,"Good","Low"))</f>
        <v>Excellent</v>
      </c>
    </row>
    <row r="375" spans="1:9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 s="2">
        <v>396</v>
      </c>
      <c r="G375">
        <v>94.55</v>
      </c>
      <c r="H375" s="2">
        <f>Table1[[#This Row],[Profit]]/Table1[[#This Row],[Sales]]*100</f>
        <v>23.876262626262626</v>
      </c>
      <c r="I375" t="str">
        <f>IF(Table1[[#This Row],[Profit %]]&gt;20,"Excellent",IF(H375&gt;10.1,"Good","Low"))</f>
        <v>Excellent</v>
      </c>
    </row>
    <row r="376" spans="1:9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 s="2">
        <v>2296</v>
      </c>
      <c r="G376">
        <v>560.48</v>
      </c>
      <c r="H376" s="2">
        <f>Table1[[#This Row],[Profit]]/Table1[[#This Row],[Sales]]*100</f>
        <v>24.411149825783973</v>
      </c>
      <c r="I376" t="str">
        <f>IF(Table1[[#This Row],[Profit %]]&gt;20,"Excellent",IF(H376&gt;10.1,"Good","Low"))</f>
        <v>Excellent</v>
      </c>
    </row>
    <row r="377" spans="1:9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 s="2">
        <v>1704</v>
      </c>
      <c r="G377">
        <v>199.94</v>
      </c>
      <c r="H377" s="2">
        <f>Table1[[#This Row],[Profit]]/Table1[[#This Row],[Sales]]*100</f>
        <v>11.73356807511737</v>
      </c>
      <c r="I377" t="str">
        <f>IF(Table1[[#This Row],[Profit %]]&gt;20,"Excellent",IF(H377&gt;10.1,"Good","Low"))</f>
        <v>Good</v>
      </c>
    </row>
    <row r="378" spans="1:9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 s="2">
        <v>1180</v>
      </c>
      <c r="G378">
        <v>261.16000000000003</v>
      </c>
      <c r="H378" s="2">
        <f>Table1[[#This Row],[Profit]]/Table1[[#This Row],[Sales]]*100</f>
        <v>22.132203389830511</v>
      </c>
      <c r="I378" t="str">
        <f>IF(Table1[[#This Row],[Profit %]]&gt;20,"Excellent",IF(H378&gt;10.1,"Good","Low"))</f>
        <v>Excellent</v>
      </c>
    </row>
    <row r="379" spans="1:9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 s="2">
        <v>411</v>
      </c>
      <c r="G379">
        <v>55.73</v>
      </c>
      <c r="H379" s="2">
        <f>Table1[[#This Row],[Profit]]/Table1[[#This Row],[Sales]]*100</f>
        <v>13.559610705596107</v>
      </c>
      <c r="I379" t="str">
        <f>IF(Table1[[#This Row],[Profit %]]&gt;20,"Excellent",IF(H379&gt;10.1,"Good","Low"))</f>
        <v>Good</v>
      </c>
    </row>
    <row r="380" spans="1:9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 s="2">
        <v>745</v>
      </c>
      <c r="G380">
        <v>151.22</v>
      </c>
      <c r="H380" s="2">
        <f>Table1[[#This Row],[Profit]]/Table1[[#This Row],[Sales]]*100</f>
        <v>20.297986577181206</v>
      </c>
      <c r="I380" t="str">
        <f>IF(Table1[[#This Row],[Profit %]]&gt;20,"Excellent",IF(H380&gt;10.1,"Good","Low"))</f>
        <v>Excellent</v>
      </c>
    </row>
    <row r="381" spans="1:9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 s="2">
        <v>10656</v>
      </c>
      <c r="G381">
        <v>961.3</v>
      </c>
      <c r="H381" s="2">
        <f>Table1[[#This Row],[Profit]]/Table1[[#This Row],[Sales]]*100</f>
        <v>9.0212087087087092</v>
      </c>
      <c r="I381" t="str">
        <f>IF(Table1[[#This Row],[Profit %]]&gt;20,"Excellent",IF(H381&gt;10.1,"Good","Low"))</f>
        <v>Low</v>
      </c>
    </row>
    <row r="382" spans="1:9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 s="2">
        <v>1494</v>
      </c>
      <c r="G382">
        <v>178.5</v>
      </c>
      <c r="H382" s="2">
        <f>Table1[[#This Row],[Profit]]/Table1[[#This Row],[Sales]]*100</f>
        <v>11.947791164658634</v>
      </c>
      <c r="I382" t="str">
        <f>IF(Table1[[#This Row],[Profit %]]&gt;20,"Excellent",IF(H382&gt;10.1,"Good","Low"))</f>
        <v>Good</v>
      </c>
    </row>
    <row r="383" spans="1:9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 s="2">
        <v>1755</v>
      </c>
      <c r="G383">
        <v>358.01</v>
      </c>
      <c r="H383" s="2">
        <f>Table1[[#This Row],[Profit]]/Table1[[#This Row],[Sales]]*100</f>
        <v>20.399430199430199</v>
      </c>
      <c r="I383" t="str">
        <f>IF(Table1[[#This Row],[Profit %]]&gt;20,"Excellent",IF(H383&gt;10.1,"Good","Low"))</f>
        <v>Excellent</v>
      </c>
    </row>
    <row r="384" spans="1:9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 s="2">
        <v>4941</v>
      </c>
      <c r="G384">
        <v>894.52</v>
      </c>
      <c r="H384" s="2">
        <f>Table1[[#This Row],[Profit]]/Table1[[#This Row],[Sales]]*100</f>
        <v>18.104027524792553</v>
      </c>
      <c r="I384" t="str">
        <f>IF(Table1[[#This Row],[Profit %]]&gt;20,"Excellent",IF(H384&gt;10.1,"Good","Low"))</f>
        <v>Good</v>
      </c>
    </row>
    <row r="385" spans="1:9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 s="2">
        <v>6510</v>
      </c>
      <c r="G385">
        <v>1539.18</v>
      </c>
      <c r="H385" s="2">
        <f>Table1[[#This Row],[Profit]]/Table1[[#This Row],[Sales]]*100</f>
        <v>23.643317972350232</v>
      </c>
      <c r="I385" t="str">
        <f>IF(Table1[[#This Row],[Profit %]]&gt;20,"Excellent",IF(H385&gt;10.1,"Good","Low"))</f>
        <v>Excellent</v>
      </c>
    </row>
    <row r="386" spans="1:9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 s="2">
        <v>5465</v>
      </c>
      <c r="G386">
        <v>719.92</v>
      </c>
      <c r="H386" s="2">
        <f>Table1[[#This Row],[Profit]]/Table1[[#This Row],[Sales]]*100</f>
        <v>13.173284537968893</v>
      </c>
      <c r="I386" t="str">
        <f>IF(Table1[[#This Row],[Profit %]]&gt;20,"Excellent",IF(H386&gt;10.1,"Good","Low"))</f>
        <v>Good</v>
      </c>
    </row>
    <row r="387" spans="1:9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 s="2">
        <v>3522</v>
      </c>
      <c r="G387">
        <v>285.91000000000003</v>
      </c>
      <c r="H387" s="2">
        <f>Table1[[#This Row],[Profit]]/Table1[[#This Row],[Sales]]*100</f>
        <v>8.1178307779670646</v>
      </c>
      <c r="I387" t="str">
        <f>IF(Table1[[#This Row],[Profit %]]&gt;20,"Excellent",IF(H387&gt;10.1,"Good","Low"))</f>
        <v>Low</v>
      </c>
    </row>
    <row r="388" spans="1:9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 s="2">
        <v>1656</v>
      </c>
      <c r="G388">
        <v>139.86000000000001</v>
      </c>
      <c r="H388" s="2">
        <f>Table1[[#This Row],[Profit]]/Table1[[#This Row],[Sales]]*100</f>
        <v>8.4456521739130448</v>
      </c>
      <c r="I388" t="str">
        <f>IF(Table1[[#This Row],[Profit %]]&gt;20,"Excellent",IF(H388&gt;10.1,"Good","Low"))</f>
        <v>Low</v>
      </c>
    </row>
    <row r="389" spans="1:9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 s="2">
        <v>1255</v>
      </c>
      <c r="G389">
        <v>257.14999999999998</v>
      </c>
      <c r="H389" s="2">
        <f>Table1[[#This Row],[Profit]]/Table1[[#This Row],[Sales]]*100</f>
        <v>20.490039840637447</v>
      </c>
      <c r="I389" t="str">
        <f>IF(Table1[[#This Row],[Profit %]]&gt;20,"Excellent",IF(H389&gt;10.1,"Good","Low"))</f>
        <v>Excellent</v>
      </c>
    </row>
    <row r="390" spans="1:9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 s="2">
        <v>1192</v>
      </c>
      <c r="G390">
        <v>320.13</v>
      </c>
      <c r="H390" s="2">
        <f>Table1[[#This Row],[Profit]]/Table1[[#This Row],[Sales]]*100</f>
        <v>26.856543624161073</v>
      </c>
      <c r="I390" t="str">
        <f>IF(Table1[[#This Row],[Profit %]]&gt;20,"Excellent",IF(H390&gt;10.1,"Good","Low"))</f>
        <v>Excellent</v>
      </c>
    </row>
    <row r="391" spans="1:9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 s="2">
        <v>1925</v>
      </c>
      <c r="G391">
        <v>204.74</v>
      </c>
      <c r="H391" s="2">
        <f>Table1[[#This Row],[Profit]]/Table1[[#This Row],[Sales]]*100</f>
        <v>10.635844155844158</v>
      </c>
      <c r="I391" t="str">
        <f>IF(Table1[[#This Row],[Profit %]]&gt;20,"Excellent",IF(H391&gt;10.1,"Good","Low"))</f>
        <v>Good</v>
      </c>
    </row>
    <row r="392" spans="1:9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 s="2">
        <v>1688</v>
      </c>
      <c r="G392">
        <v>337.33</v>
      </c>
      <c r="H392" s="2">
        <f>Table1[[#This Row],[Profit]]/Table1[[#This Row],[Sales]]*100</f>
        <v>19.984004739336491</v>
      </c>
      <c r="I392" t="str">
        <f>IF(Table1[[#This Row],[Profit %]]&gt;20,"Excellent",IF(H392&gt;10.1,"Good","Low"))</f>
        <v>Good</v>
      </c>
    </row>
    <row r="393" spans="1:9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 s="2">
        <v>260</v>
      </c>
      <c r="G393">
        <v>16.809999999999999</v>
      </c>
      <c r="H393" s="2">
        <f>Table1[[#This Row],[Profit]]/Table1[[#This Row],[Sales]]*100</f>
        <v>6.4653846153846146</v>
      </c>
      <c r="I393" t="str">
        <f>IF(Table1[[#This Row],[Profit %]]&gt;20,"Excellent",IF(H393&gt;10.1,"Good","Low"))</f>
        <v>Low</v>
      </c>
    </row>
    <row r="394" spans="1:9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 s="2">
        <v>4880</v>
      </c>
      <c r="G394">
        <v>1250.6600000000001</v>
      </c>
      <c r="H394" s="2">
        <f>Table1[[#This Row],[Profit]]/Table1[[#This Row],[Sales]]*100</f>
        <v>25.628278688524592</v>
      </c>
      <c r="I394" t="str">
        <f>IF(Table1[[#This Row],[Profit %]]&gt;20,"Excellent",IF(H394&gt;10.1,"Good","Low"))</f>
        <v>Excellent</v>
      </c>
    </row>
    <row r="395" spans="1:9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 s="2">
        <v>1134</v>
      </c>
      <c r="G395">
        <v>179.74</v>
      </c>
      <c r="H395" s="2">
        <f>Table1[[#This Row],[Profit]]/Table1[[#This Row],[Sales]]*100</f>
        <v>15.850088183421517</v>
      </c>
      <c r="I395" t="str">
        <f>IF(Table1[[#This Row],[Profit %]]&gt;20,"Excellent",IF(H395&gt;10.1,"Good","Low"))</f>
        <v>Good</v>
      </c>
    </row>
    <row r="396" spans="1:9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 s="2">
        <v>9621</v>
      </c>
      <c r="G396">
        <v>1201.29</v>
      </c>
      <c r="H396" s="2">
        <f>Table1[[#This Row],[Profit]]/Table1[[#This Row],[Sales]]*100</f>
        <v>12.486124103523542</v>
      </c>
      <c r="I396" t="str">
        <f>IF(Table1[[#This Row],[Profit %]]&gt;20,"Excellent",IF(H396&gt;10.1,"Good","Low"))</f>
        <v>Good</v>
      </c>
    </row>
    <row r="397" spans="1:9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 s="2">
        <v>2836</v>
      </c>
      <c r="G397">
        <v>698.83</v>
      </c>
      <c r="H397" s="2">
        <f>Table1[[#This Row],[Profit]]/Table1[[#This Row],[Sales]]*100</f>
        <v>24.641396332863188</v>
      </c>
      <c r="I397" t="str">
        <f>IF(Table1[[#This Row],[Profit %]]&gt;20,"Excellent",IF(H397&gt;10.1,"Good","Low"))</f>
        <v>Excellent</v>
      </c>
    </row>
    <row r="398" spans="1:9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 s="2">
        <v>5859</v>
      </c>
      <c r="G398">
        <v>1153.8900000000001</v>
      </c>
      <c r="H398" s="2">
        <f>Table1[[#This Row],[Profit]]/Table1[[#This Row],[Sales]]*100</f>
        <v>19.694316436251921</v>
      </c>
      <c r="I398" t="str">
        <f>IF(Table1[[#This Row],[Profit %]]&gt;20,"Excellent",IF(H398&gt;10.1,"Good","Low"))</f>
        <v>Good</v>
      </c>
    </row>
    <row r="399" spans="1:9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 s="2">
        <v>2044</v>
      </c>
      <c r="G399">
        <v>460.03</v>
      </c>
      <c r="H399" s="2">
        <f>Table1[[#This Row],[Profit]]/Table1[[#This Row],[Sales]]*100</f>
        <v>22.506360078277883</v>
      </c>
      <c r="I399" t="str">
        <f>IF(Table1[[#This Row],[Profit %]]&gt;20,"Excellent",IF(H399&gt;10.1,"Good","Low"))</f>
        <v>Excellent</v>
      </c>
    </row>
    <row r="400" spans="1:9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 s="2">
        <v>612</v>
      </c>
      <c r="G400">
        <v>174.52</v>
      </c>
      <c r="H400" s="2">
        <f>Table1[[#This Row],[Profit]]/Table1[[#This Row],[Sales]]*100</f>
        <v>28.516339869281047</v>
      </c>
      <c r="I400" t="str">
        <f>IF(Table1[[#This Row],[Profit %]]&gt;20,"Excellent",IF(H400&gt;10.1,"Good","Low"))</f>
        <v>Excellent</v>
      </c>
    </row>
    <row r="401" spans="1:9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 s="2">
        <v>1890</v>
      </c>
      <c r="G401">
        <v>492.31</v>
      </c>
      <c r="H401" s="2">
        <f>Table1[[#This Row],[Profit]]/Table1[[#This Row],[Sales]]*100</f>
        <v>26.048148148148147</v>
      </c>
      <c r="I401" t="str">
        <f>IF(Table1[[#This Row],[Profit %]]&gt;20,"Excellent",IF(H401&gt;10.1,"Good","Low"))</f>
        <v>Excellent</v>
      </c>
    </row>
    <row r="402" spans="1:9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 s="2">
        <v>2025</v>
      </c>
      <c r="G402">
        <v>168.82</v>
      </c>
      <c r="H402" s="2">
        <f>Table1[[#This Row],[Profit]]/Table1[[#This Row],[Sales]]*100</f>
        <v>8.3367901234567903</v>
      </c>
      <c r="I402" t="str">
        <f>IF(Table1[[#This Row],[Profit %]]&gt;20,"Excellent",IF(H402&gt;10.1,"Good","Low"))</f>
        <v>Low</v>
      </c>
    </row>
    <row r="403" spans="1:9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 s="2">
        <v>1960</v>
      </c>
      <c r="G403">
        <v>312.06</v>
      </c>
      <c r="H403" s="2">
        <f>Table1[[#This Row],[Profit]]/Table1[[#This Row],[Sales]]*100</f>
        <v>15.921428571428573</v>
      </c>
      <c r="I403" t="str">
        <f>IF(Table1[[#This Row],[Profit %]]&gt;20,"Excellent",IF(H403&gt;10.1,"Good","Low"))</f>
        <v>Good</v>
      </c>
    </row>
    <row r="404" spans="1:9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 s="2">
        <v>4410</v>
      </c>
      <c r="G404">
        <v>893.27</v>
      </c>
      <c r="H404" s="2">
        <f>Table1[[#This Row],[Profit]]/Table1[[#This Row],[Sales]]*100</f>
        <v>20.255555555555553</v>
      </c>
      <c r="I404" t="str">
        <f>IF(Table1[[#This Row],[Profit %]]&gt;20,"Excellent",IF(H404&gt;10.1,"Good","Low"))</f>
        <v>Excellent</v>
      </c>
    </row>
    <row r="405" spans="1:9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 s="2">
        <v>8272</v>
      </c>
      <c r="G405">
        <v>2391.88</v>
      </c>
      <c r="H405" s="2">
        <f>Table1[[#This Row],[Profit]]/Table1[[#This Row],[Sales]]*100</f>
        <v>28.915377176015479</v>
      </c>
      <c r="I405" t="str">
        <f>IF(Table1[[#This Row],[Profit %]]&gt;20,"Excellent",IF(H405&gt;10.1,"Good","Low"))</f>
        <v>Excellent</v>
      </c>
    </row>
    <row r="406" spans="1:9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 s="2">
        <v>5712</v>
      </c>
      <c r="G406">
        <v>638.29</v>
      </c>
      <c r="H406" s="2">
        <f>Table1[[#This Row],[Profit]]/Table1[[#This Row],[Sales]]*100</f>
        <v>11.17454481792717</v>
      </c>
      <c r="I406" t="str">
        <f>IF(Table1[[#This Row],[Profit %]]&gt;20,"Excellent",IF(H406&gt;10.1,"Good","Low"))</f>
        <v>Good</v>
      </c>
    </row>
    <row r="407" spans="1:9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 s="2">
        <v>1524</v>
      </c>
      <c r="G407">
        <v>178.36</v>
      </c>
      <c r="H407" s="2">
        <f>Table1[[#This Row],[Profit]]/Table1[[#This Row],[Sales]]*100</f>
        <v>11.703412073490814</v>
      </c>
      <c r="I407" t="str">
        <f>IF(Table1[[#This Row],[Profit %]]&gt;20,"Excellent",IF(H407&gt;10.1,"Good","Low"))</f>
        <v>Good</v>
      </c>
    </row>
    <row r="408" spans="1:9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 s="2">
        <v>5160</v>
      </c>
      <c r="G408">
        <v>1057.4100000000001</v>
      </c>
      <c r="H408" s="2">
        <f>Table1[[#This Row],[Profit]]/Table1[[#This Row],[Sales]]*100</f>
        <v>20.492441860465117</v>
      </c>
      <c r="I408" t="str">
        <f>IF(Table1[[#This Row],[Profit %]]&gt;20,"Excellent",IF(H408&gt;10.1,"Good","Low"))</f>
        <v>Excellent</v>
      </c>
    </row>
    <row r="409" spans="1:9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 s="2">
        <v>2956</v>
      </c>
      <c r="G409">
        <v>451.6</v>
      </c>
      <c r="H409" s="2">
        <f>Table1[[#This Row],[Profit]]/Table1[[#This Row],[Sales]]*100</f>
        <v>15.277401894451964</v>
      </c>
      <c r="I409" t="str">
        <f>IF(Table1[[#This Row],[Profit %]]&gt;20,"Excellent",IF(H409&gt;10.1,"Good","Low"))</f>
        <v>Good</v>
      </c>
    </row>
    <row r="410" spans="1:9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 s="2">
        <v>7944</v>
      </c>
      <c r="G410">
        <v>2257.73</v>
      </c>
      <c r="H410" s="2">
        <f>Table1[[#This Row],[Profit]]/Table1[[#This Row],[Sales]]*100</f>
        <v>28.420568982880162</v>
      </c>
      <c r="I410" t="str">
        <f>IF(Table1[[#This Row],[Profit %]]&gt;20,"Excellent",IF(H410&gt;10.1,"Good","Low"))</f>
        <v>Excellent</v>
      </c>
    </row>
    <row r="411" spans="1:9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 s="2">
        <v>1815</v>
      </c>
      <c r="G411">
        <v>535.22</v>
      </c>
      <c r="H411" s="2">
        <f>Table1[[#This Row],[Profit]]/Table1[[#This Row],[Sales]]*100</f>
        <v>29.488705234159777</v>
      </c>
      <c r="I411" t="str">
        <f>IF(Table1[[#This Row],[Profit %]]&gt;20,"Excellent",IF(H411&gt;10.1,"Good","Low"))</f>
        <v>Excellent</v>
      </c>
    </row>
    <row r="412" spans="1:9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 s="2">
        <v>2706</v>
      </c>
      <c r="G412">
        <v>546.97</v>
      </c>
      <c r="H412" s="2">
        <f>Table1[[#This Row],[Profit]]/Table1[[#This Row],[Sales]]*100</f>
        <v>20.213229859571324</v>
      </c>
      <c r="I412" t="str">
        <f>IF(Table1[[#This Row],[Profit %]]&gt;20,"Excellent",IF(H412&gt;10.1,"Good","Low"))</f>
        <v>Excellent</v>
      </c>
    </row>
    <row r="413" spans="1:9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 s="2">
        <v>1356</v>
      </c>
      <c r="G413">
        <v>144.18</v>
      </c>
      <c r="H413" s="2">
        <f>Table1[[#This Row],[Profit]]/Table1[[#This Row],[Sales]]*100</f>
        <v>10.632743362831858</v>
      </c>
      <c r="I413" t="str">
        <f>IF(Table1[[#This Row],[Profit %]]&gt;20,"Excellent",IF(H413&gt;10.1,"Good","Low"))</f>
        <v>Good</v>
      </c>
    </row>
    <row r="414" spans="1:9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 s="2">
        <v>6384</v>
      </c>
      <c r="G414">
        <v>1189.19</v>
      </c>
      <c r="H414" s="2">
        <f>Table1[[#This Row],[Profit]]/Table1[[#This Row],[Sales]]*100</f>
        <v>18.627662907268171</v>
      </c>
      <c r="I414" t="str">
        <f>IF(Table1[[#This Row],[Profit %]]&gt;20,"Excellent",IF(H414&gt;10.1,"Good","Low"))</f>
        <v>Good</v>
      </c>
    </row>
    <row r="415" spans="1:9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 s="2">
        <v>4248</v>
      </c>
      <c r="G415">
        <v>964.12</v>
      </c>
      <c r="H415" s="2">
        <f>Table1[[#This Row],[Profit]]/Table1[[#This Row],[Sales]]*100</f>
        <v>22.695856873822976</v>
      </c>
      <c r="I415" t="str">
        <f>IF(Table1[[#This Row],[Profit %]]&gt;20,"Excellent",IF(H415&gt;10.1,"Good","Low"))</f>
        <v>Excellent</v>
      </c>
    </row>
    <row r="416" spans="1:9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 s="2">
        <v>3954</v>
      </c>
      <c r="G416">
        <v>676.82</v>
      </c>
      <c r="H416" s="2">
        <f>Table1[[#This Row],[Profit]]/Table1[[#This Row],[Sales]]*100</f>
        <v>17.117349519473951</v>
      </c>
      <c r="I416" t="str">
        <f>IF(Table1[[#This Row],[Profit %]]&gt;20,"Excellent",IF(H416&gt;10.1,"Good","Low"))</f>
        <v>Good</v>
      </c>
    </row>
    <row r="417" spans="1:9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 s="2">
        <v>7110</v>
      </c>
      <c r="G417">
        <v>739.6</v>
      </c>
      <c r="H417" s="2">
        <f>Table1[[#This Row],[Profit]]/Table1[[#This Row],[Sales]]*100</f>
        <v>10.402250351617441</v>
      </c>
      <c r="I417" t="str">
        <f>IF(Table1[[#This Row],[Profit %]]&gt;20,"Excellent",IF(H417&gt;10.1,"Good","Low"))</f>
        <v>Good</v>
      </c>
    </row>
    <row r="418" spans="1:9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 s="2">
        <v>8113</v>
      </c>
      <c r="G418">
        <v>995.03</v>
      </c>
      <c r="H418" s="2">
        <f>Table1[[#This Row],[Profit]]/Table1[[#This Row],[Sales]]*100</f>
        <v>12.264637002341921</v>
      </c>
      <c r="I418" t="str">
        <f>IF(Table1[[#This Row],[Profit %]]&gt;20,"Excellent",IF(H418&gt;10.1,"Good","Low"))</f>
        <v>Good</v>
      </c>
    </row>
    <row r="419" spans="1:9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 s="2">
        <v>1830</v>
      </c>
      <c r="G419">
        <v>183.62</v>
      </c>
      <c r="H419" s="2">
        <f>Table1[[#This Row],[Profit]]/Table1[[#This Row],[Sales]]*100</f>
        <v>10.033879781420765</v>
      </c>
      <c r="I419" t="str">
        <f>IF(Table1[[#This Row],[Profit %]]&gt;20,"Excellent",IF(H419&gt;10.1,"Good","Low"))</f>
        <v>Low</v>
      </c>
    </row>
    <row r="420" spans="1:9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 s="2">
        <v>3732</v>
      </c>
      <c r="G420">
        <v>671.19</v>
      </c>
      <c r="H420" s="2">
        <f>Table1[[#This Row],[Profit]]/Table1[[#This Row],[Sales]]*100</f>
        <v>17.984726688102896</v>
      </c>
      <c r="I420" t="str">
        <f>IF(Table1[[#This Row],[Profit %]]&gt;20,"Excellent",IF(H420&gt;10.1,"Good","Low"))</f>
        <v>Good</v>
      </c>
    </row>
    <row r="421" spans="1:9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 s="2">
        <v>4062</v>
      </c>
      <c r="G421">
        <v>1087.17</v>
      </c>
      <c r="H421" s="2">
        <f>Table1[[#This Row],[Profit]]/Table1[[#This Row],[Sales]]*100</f>
        <v>26.764401772525854</v>
      </c>
      <c r="I421" t="str">
        <f>IF(Table1[[#This Row],[Profit %]]&gt;20,"Excellent",IF(H421&gt;10.1,"Good","Low"))</f>
        <v>Excellent</v>
      </c>
    </row>
    <row r="422" spans="1:9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 s="2">
        <v>496</v>
      </c>
      <c r="G422">
        <v>93.31</v>
      </c>
      <c r="H422" s="2">
        <f>Table1[[#This Row],[Profit]]/Table1[[#This Row],[Sales]]*100</f>
        <v>18.8125</v>
      </c>
      <c r="I422" t="str">
        <f>IF(Table1[[#This Row],[Profit %]]&gt;20,"Excellent",IF(H422&gt;10.1,"Good","Low"))</f>
        <v>Good</v>
      </c>
    </row>
    <row r="423" spans="1:9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 s="2">
        <v>1104</v>
      </c>
      <c r="G423">
        <v>84.31</v>
      </c>
      <c r="H423" s="2">
        <f>Table1[[#This Row],[Profit]]/Table1[[#This Row],[Sales]]*100</f>
        <v>7.6367753623188417</v>
      </c>
      <c r="I423" t="str">
        <f>IF(Table1[[#This Row],[Profit %]]&gt;20,"Excellent",IF(H423&gt;10.1,"Good","Low"))</f>
        <v>Low</v>
      </c>
    </row>
    <row r="424" spans="1:9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 s="2">
        <v>2274</v>
      </c>
      <c r="G424">
        <v>662</v>
      </c>
      <c r="H424" s="2">
        <f>Table1[[#This Row],[Profit]]/Table1[[#This Row],[Sales]]*100</f>
        <v>29.11169744942832</v>
      </c>
      <c r="I424" t="str">
        <f>IF(Table1[[#This Row],[Profit %]]&gt;20,"Excellent",IF(H424&gt;10.1,"Good","Low"))</f>
        <v>Excellent</v>
      </c>
    </row>
    <row r="425" spans="1:9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 s="2">
        <v>4456</v>
      </c>
      <c r="G425">
        <v>1106.04</v>
      </c>
      <c r="H425" s="2">
        <f>Table1[[#This Row],[Profit]]/Table1[[#This Row],[Sales]]*100</f>
        <v>24.821364452423698</v>
      </c>
      <c r="I425" t="str">
        <f>IF(Table1[[#This Row],[Profit %]]&gt;20,"Excellent",IF(H425&gt;10.1,"Good","Low"))</f>
        <v>Excellent</v>
      </c>
    </row>
    <row r="426" spans="1:9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 s="2">
        <v>4928</v>
      </c>
      <c r="G426">
        <v>1038.18</v>
      </c>
      <c r="H426" s="2">
        <f>Table1[[#This Row],[Profit]]/Table1[[#This Row],[Sales]]*100</f>
        <v>21.066964285714288</v>
      </c>
      <c r="I426" t="str">
        <f>IF(Table1[[#This Row],[Profit %]]&gt;20,"Excellent",IF(H426&gt;10.1,"Good","Low"))</f>
        <v>Excellent</v>
      </c>
    </row>
    <row r="427" spans="1:9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 s="2">
        <v>1740</v>
      </c>
      <c r="G427">
        <v>224.79</v>
      </c>
      <c r="H427" s="2">
        <f>Table1[[#This Row],[Profit]]/Table1[[#This Row],[Sales]]*100</f>
        <v>12.918965517241379</v>
      </c>
      <c r="I427" t="str">
        <f>IF(Table1[[#This Row],[Profit %]]&gt;20,"Excellent",IF(H427&gt;10.1,"Good","Low"))</f>
        <v>Good</v>
      </c>
    </row>
    <row r="428" spans="1:9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 s="2">
        <v>178</v>
      </c>
      <c r="G428">
        <v>31.46</v>
      </c>
      <c r="H428" s="2">
        <f>Table1[[#This Row],[Profit]]/Table1[[#This Row],[Sales]]*100</f>
        <v>17.674157303370787</v>
      </c>
      <c r="I428" t="str">
        <f>IF(Table1[[#This Row],[Profit %]]&gt;20,"Excellent",IF(H428&gt;10.1,"Good","Low"))</f>
        <v>Good</v>
      </c>
    </row>
    <row r="429" spans="1:9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 s="2">
        <v>5296</v>
      </c>
      <c r="G429">
        <v>1234.81</v>
      </c>
      <c r="H429" s="2">
        <f>Table1[[#This Row],[Profit]]/Table1[[#This Row],[Sales]]*100</f>
        <v>23.315898791540786</v>
      </c>
      <c r="I429" t="str">
        <f>IF(Table1[[#This Row],[Profit %]]&gt;20,"Excellent",IF(H429&gt;10.1,"Good","Low"))</f>
        <v>Excellent</v>
      </c>
    </row>
    <row r="430" spans="1:9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 s="2">
        <v>4156</v>
      </c>
      <c r="G430">
        <v>847.09</v>
      </c>
      <c r="H430" s="2">
        <f>Table1[[#This Row],[Profit]]/Table1[[#This Row],[Sales]]*100</f>
        <v>20.382338787295478</v>
      </c>
      <c r="I430" t="str">
        <f>IF(Table1[[#This Row],[Profit %]]&gt;20,"Excellent",IF(H430&gt;10.1,"Good","Low"))</f>
        <v>Excellent</v>
      </c>
    </row>
    <row r="431" spans="1:9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 s="2">
        <v>624</v>
      </c>
      <c r="G431">
        <v>106.92</v>
      </c>
      <c r="H431" s="2">
        <f>Table1[[#This Row],[Profit]]/Table1[[#This Row],[Sales]]*100</f>
        <v>17.134615384615383</v>
      </c>
      <c r="I431" t="str">
        <f>IF(Table1[[#This Row],[Profit %]]&gt;20,"Excellent",IF(H431&gt;10.1,"Good","Low"))</f>
        <v>Good</v>
      </c>
    </row>
    <row r="432" spans="1:9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 s="2">
        <v>3892</v>
      </c>
      <c r="G432">
        <v>1052.72</v>
      </c>
      <c r="H432" s="2">
        <f>Table1[[#This Row],[Profit]]/Table1[[#This Row],[Sales]]*100</f>
        <v>27.048304213771839</v>
      </c>
      <c r="I432" t="str">
        <f>IF(Table1[[#This Row],[Profit %]]&gt;20,"Excellent",IF(H432&gt;10.1,"Good","Low"))</f>
        <v>Excellent</v>
      </c>
    </row>
    <row r="433" spans="1:9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 s="2">
        <v>1620</v>
      </c>
      <c r="G433">
        <v>294.60000000000002</v>
      </c>
      <c r="H433" s="2">
        <f>Table1[[#This Row],[Profit]]/Table1[[#This Row],[Sales]]*100</f>
        <v>18.185185185185187</v>
      </c>
      <c r="I433" t="str">
        <f>IF(Table1[[#This Row],[Profit %]]&gt;20,"Excellent",IF(H433&gt;10.1,"Good","Low"))</f>
        <v>Good</v>
      </c>
    </row>
    <row r="434" spans="1:9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 s="2">
        <v>2250</v>
      </c>
      <c r="G434">
        <v>301.97000000000003</v>
      </c>
      <c r="H434" s="2">
        <f>Table1[[#This Row],[Profit]]/Table1[[#This Row],[Sales]]*100</f>
        <v>13.420888888888891</v>
      </c>
      <c r="I434" t="str">
        <f>IF(Table1[[#This Row],[Profit %]]&gt;20,"Excellent",IF(H434&gt;10.1,"Good","Low"))</f>
        <v>Good</v>
      </c>
    </row>
    <row r="435" spans="1:9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 s="2">
        <v>1390</v>
      </c>
      <c r="G435">
        <v>316.31</v>
      </c>
      <c r="H435" s="2">
        <f>Table1[[#This Row],[Profit]]/Table1[[#This Row],[Sales]]*100</f>
        <v>22.756115107913669</v>
      </c>
      <c r="I435" t="str">
        <f>IF(Table1[[#This Row],[Profit %]]&gt;20,"Excellent",IF(H435&gt;10.1,"Good","Low"))</f>
        <v>Excellent</v>
      </c>
    </row>
    <row r="436" spans="1:9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 s="2">
        <v>5155</v>
      </c>
      <c r="G436">
        <v>1325.16</v>
      </c>
      <c r="H436" s="2">
        <f>Table1[[#This Row],[Profit]]/Table1[[#This Row],[Sales]]*100</f>
        <v>25.706304558680891</v>
      </c>
      <c r="I436" t="str">
        <f>IF(Table1[[#This Row],[Profit %]]&gt;20,"Excellent",IF(H436&gt;10.1,"Good","Low"))</f>
        <v>Excellent</v>
      </c>
    </row>
    <row r="437" spans="1:9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 s="2">
        <v>1025</v>
      </c>
      <c r="G437">
        <v>262.91000000000003</v>
      </c>
      <c r="H437" s="2">
        <f>Table1[[#This Row],[Profit]]/Table1[[#This Row],[Sales]]*100</f>
        <v>25.649756097560978</v>
      </c>
      <c r="I437" t="str">
        <f>IF(Table1[[#This Row],[Profit %]]&gt;20,"Excellent",IF(H437&gt;10.1,"Good","Low"))</f>
        <v>Excellent</v>
      </c>
    </row>
    <row r="438" spans="1:9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 s="2">
        <v>1785</v>
      </c>
      <c r="G438">
        <v>244.52</v>
      </c>
      <c r="H438" s="2">
        <f>Table1[[#This Row],[Profit]]/Table1[[#This Row],[Sales]]*100</f>
        <v>13.69859943977591</v>
      </c>
      <c r="I438" t="str">
        <f>IF(Table1[[#This Row],[Profit %]]&gt;20,"Excellent",IF(H438&gt;10.1,"Good","Low"))</f>
        <v>Good</v>
      </c>
    </row>
    <row r="439" spans="1:9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 s="2">
        <v>2952</v>
      </c>
      <c r="G439">
        <v>605.85</v>
      </c>
      <c r="H439" s="2">
        <f>Table1[[#This Row],[Profit]]/Table1[[#This Row],[Sales]]*100</f>
        <v>20.523373983739837</v>
      </c>
      <c r="I439" t="str">
        <f>IF(Table1[[#This Row],[Profit %]]&gt;20,"Excellent",IF(H439&gt;10.1,"Good","Low"))</f>
        <v>Excellent</v>
      </c>
    </row>
    <row r="440" spans="1:9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 s="2">
        <v>773</v>
      </c>
      <c r="G440">
        <v>181.52</v>
      </c>
      <c r="H440" s="2">
        <f>Table1[[#This Row],[Profit]]/Table1[[#This Row],[Sales]]*100</f>
        <v>23.482535575679172</v>
      </c>
      <c r="I440" t="str">
        <f>IF(Table1[[#This Row],[Profit %]]&gt;20,"Excellent",IF(H440&gt;10.1,"Good","Low"))</f>
        <v>Excellent</v>
      </c>
    </row>
    <row r="441" spans="1:9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 s="2">
        <v>1640</v>
      </c>
      <c r="G441">
        <v>361.48</v>
      </c>
      <c r="H441" s="2">
        <f>Table1[[#This Row],[Profit]]/Table1[[#This Row],[Sales]]*100</f>
        <v>22.041463414634148</v>
      </c>
      <c r="I441" t="str">
        <f>IF(Table1[[#This Row],[Profit %]]&gt;20,"Excellent",IF(H441&gt;10.1,"Good","Low"))</f>
        <v>Excellent</v>
      </c>
    </row>
    <row r="442" spans="1:9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 s="2">
        <v>1017</v>
      </c>
      <c r="G442">
        <v>69.33</v>
      </c>
      <c r="H442" s="2">
        <f>Table1[[#This Row],[Profit]]/Table1[[#This Row],[Sales]]*100</f>
        <v>6.8171091445427727</v>
      </c>
      <c r="I442" t="str">
        <f>IF(Table1[[#This Row],[Profit %]]&gt;20,"Excellent",IF(H442&gt;10.1,"Good","Low"))</f>
        <v>Low</v>
      </c>
    </row>
    <row r="443" spans="1:9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 s="2">
        <v>1964</v>
      </c>
      <c r="G443">
        <v>349.91</v>
      </c>
      <c r="H443" s="2">
        <f>Table1[[#This Row],[Profit]]/Table1[[#This Row],[Sales]]*100</f>
        <v>17.816191446028515</v>
      </c>
      <c r="I443" t="str">
        <f>IF(Table1[[#This Row],[Profit %]]&gt;20,"Excellent",IF(H443&gt;10.1,"Good","Low"))</f>
        <v>Good</v>
      </c>
    </row>
    <row r="444" spans="1:9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 s="2">
        <v>2994</v>
      </c>
      <c r="G444">
        <v>638.59</v>
      </c>
      <c r="H444" s="2">
        <f>Table1[[#This Row],[Profit]]/Table1[[#This Row],[Sales]]*100</f>
        <v>21.328991315965265</v>
      </c>
      <c r="I444" t="str">
        <f>IF(Table1[[#This Row],[Profit %]]&gt;20,"Excellent",IF(H444&gt;10.1,"Good","Low"))</f>
        <v>Excellent</v>
      </c>
    </row>
    <row r="445" spans="1:9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 s="2">
        <v>8046</v>
      </c>
      <c r="G445">
        <v>2210.33</v>
      </c>
      <c r="H445" s="2">
        <f>Table1[[#This Row],[Profit]]/Table1[[#This Row],[Sales]]*100</f>
        <v>27.471165796669151</v>
      </c>
      <c r="I445" t="str">
        <f>IF(Table1[[#This Row],[Profit %]]&gt;20,"Excellent",IF(H445&gt;10.1,"Good","Low"))</f>
        <v>Excellent</v>
      </c>
    </row>
    <row r="446" spans="1:9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 s="2">
        <v>1874</v>
      </c>
      <c r="G446">
        <v>271.5</v>
      </c>
      <c r="H446" s="2">
        <f>Table1[[#This Row],[Profit]]/Table1[[#This Row],[Sales]]*100</f>
        <v>14.487726787620064</v>
      </c>
      <c r="I446" t="str">
        <f>IF(Table1[[#This Row],[Profit %]]&gt;20,"Excellent",IF(H446&gt;10.1,"Good","Low"))</f>
        <v>Good</v>
      </c>
    </row>
    <row r="447" spans="1:9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 s="2">
        <v>6008</v>
      </c>
      <c r="G447">
        <v>871.76</v>
      </c>
      <c r="H447" s="2">
        <f>Table1[[#This Row],[Profit]]/Table1[[#This Row],[Sales]]*100</f>
        <v>14.509986684420772</v>
      </c>
      <c r="I447" t="str">
        <f>IF(Table1[[#This Row],[Profit %]]&gt;20,"Excellent",IF(H447&gt;10.1,"Good","Low"))</f>
        <v>Good</v>
      </c>
    </row>
    <row r="448" spans="1:9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 s="2">
        <v>7240</v>
      </c>
      <c r="G448">
        <v>411.19</v>
      </c>
      <c r="H448" s="2">
        <f>Table1[[#This Row],[Profit]]/Table1[[#This Row],[Sales]]*100</f>
        <v>5.6794198895027623</v>
      </c>
      <c r="I448" t="str">
        <f>IF(Table1[[#This Row],[Profit %]]&gt;20,"Excellent",IF(H448&gt;10.1,"Good","Low"))</f>
        <v>Low</v>
      </c>
    </row>
    <row r="449" spans="1:9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 s="2">
        <v>1188</v>
      </c>
      <c r="G449">
        <v>348.31</v>
      </c>
      <c r="H449" s="2">
        <f>Table1[[#This Row],[Profit]]/Table1[[#This Row],[Sales]]*100</f>
        <v>29.319023569023567</v>
      </c>
      <c r="I449" t="str">
        <f>IF(Table1[[#This Row],[Profit %]]&gt;20,"Excellent",IF(H449&gt;10.1,"Good","Low"))</f>
        <v>Excellent</v>
      </c>
    </row>
    <row r="450" spans="1:9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 s="2">
        <v>2997</v>
      </c>
      <c r="G450">
        <v>163.34</v>
      </c>
      <c r="H450" s="2">
        <f>Table1[[#This Row],[Profit]]/Table1[[#This Row],[Sales]]*100</f>
        <v>5.4501167834501167</v>
      </c>
      <c r="I450" t="str">
        <f>IF(Table1[[#This Row],[Profit %]]&gt;20,"Excellent",IF(H450&gt;10.1,"Good","Low"))</f>
        <v>Low</v>
      </c>
    </row>
    <row r="451" spans="1:9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 s="2">
        <v>7524</v>
      </c>
      <c r="G451">
        <v>2017.85</v>
      </c>
      <c r="H451" s="2">
        <f>Table1[[#This Row],[Profit]]/Table1[[#This Row],[Sales]]*100</f>
        <v>26.818846358320041</v>
      </c>
      <c r="I451" t="str">
        <f>IF(Table1[[#This Row],[Profit %]]&gt;20,"Excellent",IF(H451&gt;10.1,"Good","Low"))</f>
        <v>Excellent</v>
      </c>
    </row>
    <row r="452" spans="1:9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 s="2">
        <v>3625</v>
      </c>
      <c r="G452">
        <v>268.73</v>
      </c>
      <c r="H452" s="2">
        <f>Table1[[#This Row],[Profit]]/Table1[[#This Row],[Sales]]*100</f>
        <v>7.4132413793103451</v>
      </c>
      <c r="I452" t="str">
        <f>IF(Table1[[#This Row],[Profit %]]&gt;20,"Excellent",IF(H452&gt;10.1,"Good","Low"))</f>
        <v>Low</v>
      </c>
    </row>
    <row r="453" spans="1:9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 s="2">
        <v>6952</v>
      </c>
      <c r="G453">
        <v>871.2</v>
      </c>
      <c r="H453" s="2">
        <f>Table1[[#This Row],[Profit]]/Table1[[#This Row],[Sales]]*100</f>
        <v>12.531645569620252</v>
      </c>
      <c r="I453" t="str">
        <f>IF(Table1[[#This Row],[Profit %]]&gt;20,"Excellent",IF(H453&gt;10.1,"Good","Low"))</f>
        <v>Good</v>
      </c>
    </row>
    <row r="454" spans="1:9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 s="2">
        <v>1053</v>
      </c>
      <c r="G454">
        <v>283.58</v>
      </c>
      <c r="H454" s="2">
        <f>Table1[[#This Row],[Profit]]/Table1[[#This Row],[Sales]]*100</f>
        <v>26.9306742640076</v>
      </c>
      <c r="I454" t="str">
        <f>IF(Table1[[#This Row],[Profit %]]&gt;20,"Excellent",IF(H454&gt;10.1,"Good","Low"))</f>
        <v>Excellent</v>
      </c>
    </row>
    <row r="455" spans="1:9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 s="2">
        <v>6696</v>
      </c>
      <c r="G455">
        <v>1224.22</v>
      </c>
      <c r="H455" s="2">
        <f>Table1[[#This Row],[Profit]]/Table1[[#This Row],[Sales]]*100</f>
        <v>18.282855436081245</v>
      </c>
      <c r="I455" t="str">
        <f>IF(Table1[[#This Row],[Profit %]]&gt;20,"Excellent",IF(H455&gt;10.1,"Good","Low"))</f>
        <v>Good</v>
      </c>
    </row>
    <row r="456" spans="1:9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 s="2">
        <v>1420</v>
      </c>
      <c r="G456">
        <v>93.59</v>
      </c>
      <c r="H456" s="2">
        <f>Table1[[#This Row],[Profit]]/Table1[[#This Row],[Sales]]*100</f>
        <v>6.5908450704225352</v>
      </c>
      <c r="I456" t="str">
        <f>IF(Table1[[#This Row],[Profit %]]&gt;20,"Excellent",IF(H456&gt;10.1,"Good","Low"))</f>
        <v>Low</v>
      </c>
    </row>
    <row r="457" spans="1:9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 s="2">
        <v>9972</v>
      </c>
      <c r="G457">
        <v>2566.0100000000002</v>
      </c>
      <c r="H457" s="2">
        <f>Table1[[#This Row],[Profit]]/Table1[[#This Row],[Sales]]*100</f>
        <v>25.73215002005616</v>
      </c>
      <c r="I457" t="str">
        <f>IF(Table1[[#This Row],[Profit %]]&gt;20,"Excellent",IF(H457&gt;10.1,"Good","Low"))</f>
        <v>Excellent</v>
      </c>
    </row>
    <row r="458" spans="1:9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 s="2">
        <v>3136</v>
      </c>
      <c r="G458">
        <v>494.26</v>
      </c>
      <c r="H458" s="2">
        <f>Table1[[#This Row],[Profit]]/Table1[[#This Row],[Sales]]*100</f>
        <v>15.760841836734693</v>
      </c>
      <c r="I458" t="str">
        <f>IF(Table1[[#This Row],[Profit %]]&gt;20,"Excellent",IF(H458&gt;10.1,"Good","Low"))</f>
        <v>Good</v>
      </c>
    </row>
    <row r="459" spans="1:9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 s="2">
        <v>225</v>
      </c>
      <c r="G459">
        <v>20.52</v>
      </c>
      <c r="H459" s="2">
        <f>Table1[[#This Row],[Profit]]/Table1[[#This Row],[Sales]]*100</f>
        <v>9.120000000000001</v>
      </c>
      <c r="I459" t="str">
        <f>IF(Table1[[#This Row],[Profit %]]&gt;20,"Excellent",IF(H459&gt;10.1,"Good","Low"))</f>
        <v>Low</v>
      </c>
    </row>
    <row r="460" spans="1:9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 s="2">
        <v>1662</v>
      </c>
      <c r="G460">
        <v>375.04</v>
      </c>
      <c r="H460" s="2">
        <f>Table1[[#This Row],[Profit]]/Table1[[#This Row],[Sales]]*100</f>
        <v>22.565583634175692</v>
      </c>
      <c r="I460" t="str">
        <f>IF(Table1[[#This Row],[Profit %]]&gt;20,"Excellent",IF(H460&gt;10.1,"Good","Low"))</f>
        <v>Excellent</v>
      </c>
    </row>
    <row r="461" spans="1:9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 s="2">
        <v>500</v>
      </c>
      <c r="G461">
        <v>85.96</v>
      </c>
      <c r="H461" s="2">
        <f>Table1[[#This Row],[Profit]]/Table1[[#This Row],[Sales]]*100</f>
        <v>17.192</v>
      </c>
      <c r="I461" t="str">
        <f>IF(Table1[[#This Row],[Profit %]]&gt;20,"Excellent",IF(H461&gt;10.1,"Good","Low"))</f>
        <v>Good</v>
      </c>
    </row>
    <row r="462" spans="1:9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 s="2">
        <v>3168</v>
      </c>
      <c r="G462">
        <v>747.33</v>
      </c>
      <c r="H462" s="2">
        <f>Table1[[#This Row],[Profit]]/Table1[[#This Row],[Sales]]*100</f>
        <v>23.589962121212121</v>
      </c>
      <c r="I462" t="str">
        <f>IF(Table1[[#This Row],[Profit %]]&gt;20,"Excellent",IF(H462&gt;10.1,"Good","Low"))</f>
        <v>Excellent</v>
      </c>
    </row>
    <row r="463" spans="1:9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 s="2">
        <v>622</v>
      </c>
      <c r="G463">
        <v>104.57</v>
      </c>
      <c r="H463" s="2">
        <f>Table1[[#This Row],[Profit]]/Table1[[#This Row],[Sales]]*100</f>
        <v>16.811897106109324</v>
      </c>
      <c r="I463" t="str">
        <f>IF(Table1[[#This Row],[Profit %]]&gt;20,"Excellent",IF(H463&gt;10.1,"Good","Low"))</f>
        <v>Good</v>
      </c>
    </row>
    <row r="464" spans="1:9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 s="2">
        <v>1233</v>
      </c>
      <c r="G464">
        <v>361.12</v>
      </c>
      <c r="H464" s="2">
        <f>Table1[[#This Row],[Profit]]/Table1[[#This Row],[Sales]]*100</f>
        <v>29.28791565287916</v>
      </c>
      <c r="I464" t="str">
        <f>IF(Table1[[#This Row],[Profit %]]&gt;20,"Excellent",IF(H464&gt;10.1,"Good","Low"))</f>
        <v>Excellent</v>
      </c>
    </row>
    <row r="465" spans="1:9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 s="2">
        <v>573</v>
      </c>
      <c r="G465">
        <v>116.14</v>
      </c>
      <c r="H465" s="2">
        <f>Table1[[#This Row],[Profit]]/Table1[[#This Row],[Sales]]*100</f>
        <v>20.268760907504362</v>
      </c>
      <c r="I465" t="str">
        <f>IF(Table1[[#This Row],[Profit %]]&gt;20,"Excellent",IF(H465&gt;10.1,"Good","Low"))</f>
        <v>Excellent</v>
      </c>
    </row>
    <row r="466" spans="1:9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 s="2">
        <v>702</v>
      </c>
      <c r="G466">
        <v>129.34</v>
      </c>
      <c r="H466" s="2">
        <f>Table1[[#This Row],[Profit]]/Table1[[#This Row],[Sales]]*100</f>
        <v>18.424501424501425</v>
      </c>
      <c r="I466" t="str">
        <f>IF(Table1[[#This Row],[Profit %]]&gt;20,"Excellent",IF(H466&gt;10.1,"Good","Low"))</f>
        <v>Good</v>
      </c>
    </row>
    <row r="467" spans="1:9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 s="2">
        <v>4832</v>
      </c>
      <c r="G467">
        <v>1261.06</v>
      </c>
      <c r="H467" s="2">
        <f>Table1[[#This Row],[Profit]]/Table1[[#This Row],[Sales]]*100</f>
        <v>26.098096026490065</v>
      </c>
      <c r="I467" t="str">
        <f>IF(Table1[[#This Row],[Profit %]]&gt;20,"Excellent",IF(H467&gt;10.1,"Good","Low"))</f>
        <v>Excellent</v>
      </c>
    </row>
    <row r="468" spans="1:9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 s="2">
        <v>3765</v>
      </c>
      <c r="G468">
        <v>670.8</v>
      </c>
      <c r="H468" s="2">
        <f>Table1[[#This Row],[Profit]]/Table1[[#This Row],[Sales]]*100</f>
        <v>17.816733067729082</v>
      </c>
      <c r="I468" t="str">
        <f>IF(Table1[[#This Row],[Profit %]]&gt;20,"Excellent",IF(H468&gt;10.1,"Good","Low"))</f>
        <v>Good</v>
      </c>
    </row>
    <row r="469" spans="1:9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 s="2">
        <v>6928</v>
      </c>
      <c r="G469">
        <v>1415.16</v>
      </c>
      <c r="H469" s="2">
        <f>Table1[[#This Row],[Profit]]/Table1[[#This Row],[Sales]]*100</f>
        <v>20.426674364896076</v>
      </c>
      <c r="I469" t="str">
        <f>IF(Table1[[#This Row],[Profit %]]&gt;20,"Excellent",IF(H469&gt;10.1,"Good","Low"))</f>
        <v>Excellent</v>
      </c>
    </row>
    <row r="470" spans="1:9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 s="2">
        <v>1624</v>
      </c>
      <c r="G470">
        <v>436.13</v>
      </c>
      <c r="H470" s="2">
        <f>Table1[[#This Row],[Profit]]/Table1[[#This Row],[Sales]]*100</f>
        <v>26.855295566502463</v>
      </c>
      <c r="I470" t="str">
        <f>IF(Table1[[#This Row],[Profit %]]&gt;20,"Excellent",IF(H470&gt;10.1,"Good","Low"))</f>
        <v>Excellent</v>
      </c>
    </row>
    <row r="471" spans="1:9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 s="2">
        <v>68</v>
      </c>
      <c r="G471">
        <v>10.39</v>
      </c>
      <c r="H471" s="2">
        <f>Table1[[#This Row],[Profit]]/Table1[[#This Row],[Sales]]*100</f>
        <v>15.279411764705882</v>
      </c>
      <c r="I471" t="str">
        <f>IF(Table1[[#This Row],[Profit %]]&gt;20,"Excellent",IF(H471&gt;10.1,"Good","Low"))</f>
        <v>Good</v>
      </c>
    </row>
    <row r="472" spans="1:9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 s="2">
        <v>651</v>
      </c>
      <c r="G472">
        <v>187.99</v>
      </c>
      <c r="H472" s="2">
        <f>Table1[[#This Row],[Profit]]/Table1[[#This Row],[Sales]]*100</f>
        <v>28.877112135176652</v>
      </c>
      <c r="I472" t="str">
        <f>IF(Table1[[#This Row],[Profit %]]&gt;20,"Excellent",IF(H472&gt;10.1,"Good","Low"))</f>
        <v>Excellent</v>
      </c>
    </row>
    <row r="473" spans="1:9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 s="2">
        <v>6293</v>
      </c>
      <c r="G473">
        <v>718.49</v>
      </c>
      <c r="H473" s="2">
        <f>Table1[[#This Row],[Profit]]/Table1[[#This Row],[Sales]]*100</f>
        <v>11.417289051326872</v>
      </c>
      <c r="I473" t="str">
        <f>IF(Table1[[#This Row],[Profit %]]&gt;20,"Excellent",IF(H473&gt;10.1,"Good","Low"))</f>
        <v>Good</v>
      </c>
    </row>
    <row r="474" spans="1:9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 s="2">
        <v>1068</v>
      </c>
      <c r="G474">
        <v>85.71</v>
      </c>
      <c r="H474" s="2">
        <f>Table1[[#This Row],[Profit]]/Table1[[#This Row],[Sales]]*100</f>
        <v>8.0252808988764031</v>
      </c>
      <c r="I474" t="str">
        <f>IF(Table1[[#This Row],[Profit %]]&gt;20,"Excellent",IF(H474&gt;10.1,"Good","Low"))</f>
        <v>Low</v>
      </c>
    </row>
    <row r="475" spans="1:9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 s="2">
        <v>381</v>
      </c>
      <c r="G475">
        <v>26.69</v>
      </c>
      <c r="H475" s="2">
        <f>Table1[[#This Row],[Profit]]/Table1[[#This Row],[Sales]]*100</f>
        <v>7.0052493438320207</v>
      </c>
      <c r="I475" t="str">
        <f>IF(Table1[[#This Row],[Profit %]]&gt;20,"Excellent",IF(H475&gt;10.1,"Good","Low"))</f>
        <v>Low</v>
      </c>
    </row>
    <row r="476" spans="1:9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 s="2">
        <v>2016</v>
      </c>
      <c r="G476">
        <v>426.43</v>
      </c>
      <c r="H476" s="2">
        <f>Table1[[#This Row],[Profit]]/Table1[[#This Row],[Sales]]*100</f>
        <v>21.152281746031747</v>
      </c>
      <c r="I476" t="str">
        <f>IF(Table1[[#This Row],[Profit %]]&gt;20,"Excellent",IF(H476&gt;10.1,"Good","Low"))</f>
        <v>Excellent</v>
      </c>
    </row>
    <row r="477" spans="1:9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 s="2">
        <v>1224</v>
      </c>
      <c r="G477">
        <v>340.67</v>
      </c>
      <c r="H477" s="2">
        <f>Table1[[#This Row],[Profit]]/Table1[[#This Row],[Sales]]*100</f>
        <v>27.832516339869283</v>
      </c>
      <c r="I477" t="str">
        <f>IF(Table1[[#This Row],[Profit %]]&gt;20,"Excellent",IF(H477&gt;10.1,"Good","Low"))</f>
        <v>Excellent</v>
      </c>
    </row>
    <row r="478" spans="1:9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 s="2">
        <v>2180</v>
      </c>
      <c r="G478">
        <v>400.01</v>
      </c>
      <c r="H478" s="2">
        <f>Table1[[#This Row],[Profit]]/Table1[[#This Row],[Sales]]*100</f>
        <v>18.34908256880734</v>
      </c>
      <c r="I478" t="str">
        <f>IF(Table1[[#This Row],[Profit %]]&gt;20,"Excellent",IF(H478&gt;10.1,"Good","Low"))</f>
        <v>Good</v>
      </c>
    </row>
    <row r="479" spans="1:9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 s="2">
        <v>2853</v>
      </c>
      <c r="G479">
        <v>353.09</v>
      </c>
      <c r="H479" s="2">
        <f>Table1[[#This Row],[Profit]]/Table1[[#This Row],[Sales]]*100</f>
        <v>12.376095338240448</v>
      </c>
      <c r="I479" t="str">
        <f>IF(Table1[[#This Row],[Profit %]]&gt;20,"Excellent",IF(H479&gt;10.1,"Good","Low"))</f>
        <v>Good</v>
      </c>
    </row>
    <row r="480" spans="1:9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 s="2">
        <v>272</v>
      </c>
      <c r="G480">
        <v>45.33</v>
      </c>
      <c r="H480" s="2">
        <f>Table1[[#This Row],[Profit]]/Table1[[#This Row],[Sales]]*100</f>
        <v>16.665441176470587</v>
      </c>
      <c r="I480" t="str">
        <f>IF(Table1[[#This Row],[Profit %]]&gt;20,"Excellent",IF(H480&gt;10.1,"Good","Low"))</f>
        <v>Good</v>
      </c>
    </row>
    <row r="481" spans="1:9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 s="2">
        <v>2640</v>
      </c>
      <c r="G481">
        <v>183.23</v>
      </c>
      <c r="H481" s="2">
        <f>Table1[[#This Row],[Profit]]/Table1[[#This Row],[Sales]]*100</f>
        <v>6.9405303030303029</v>
      </c>
      <c r="I481" t="str">
        <f>IF(Table1[[#This Row],[Profit %]]&gt;20,"Excellent",IF(H481&gt;10.1,"Good","Low"))</f>
        <v>Low</v>
      </c>
    </row>
    <row r="482" spans="1:9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 s="2">
        <v>488</v>
      </c>
      <c r="G482">
        <v>129.02000000000001</v>
      </c>
      <c r="H482" s="2">
        <f>Table1[[#This Row],[Profit]]/Table1[[#This Row],[Sales]]*100</f>
        <v>26.438524590163937</v>
      </c>
      <c r="I482" t="str">
        <f>IF(Table1[[#This Row],[Profit %]]&gt;20,"Excellent",IF(H482&gt;10.1,"Good","Low"))</f>
        <v>Excellent</v>
      </c>
    </row>
    <row r="483" spans="1:9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 s="2">
        <v>9184</v>
      </c>
      <c r="G483">
        <v>1795.93</v>
      </c>
      <c r="H483" s="2">
        <f>Table1[[#This Row],[Profit]]/Table1[[#This Row],[Sales]]*100</f>
        <v>19.55498693379791</v>
      </c>
      <c r="I483" t="str">
        <f>IF(Table1[[#This Row],[Profit %]]&gt;20,"Excellent",IF(H483&gt;10.1,"Good","Low"))</f>
        <v>Good</v>
      </c>
    </row>
    <row r="484" spans="1:9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 s="2">
        <v>280</v>
      </c>
      <c r="G484">
        <v>23.98</v>
      </c>
      <c r="H484" s="2">
        <f>Table1[[#This Row],[Profit]]/Table1[[#This Row],[Sales]]*100</f>
        <v>8.5642857142857149</v>
      </c>
      <c r="I484" t="str">
        <f>IF(Table1[[#This Row],[Profit %]]&gt;20,"Excellent",IF(H484&gt;10.1,"Good","Low"))</f>
        <v>Low</v>
      </c>
    </row>
    <row r="485" spans="1:9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 s="2">
        <v>2889</v>
      </c>
      <c r="G485">
        <v>604.45000000000005</v>
      </c>
      <c r="H485" s="2">
        <f>Table1[[#This Row],[Profit]]/Table1[[#This Row],[Sales]]*100</f>
        <v>20.922464520595362</v>
      </c>
      <c r="I485" t="str">
        <f>IF(Table1[[#This Row],[Profit %]]&gt;20,"Excellent",IF(H485&gt;10.1,"Good","Low"))</f>
        <v>Excellent</v>
      </c>
    </row>
    <row r="486" spans="1:9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 s="2">
        <v>625</v>
      </c>
      <c r="G486">
        <v>125.9</v>
      </c>
      <c r="H486" s="2">
        <f>Table1[[#This Row],[Profit]]/Table1[[#This Row],[Sales]]*100</f>
        <v>20.144000000000002</v>
      </c>
      <c r="I486" t="str">
        <f>IF(Table1[[#This Row],[Profit %]]&gt;20,"Excellent",IF(H486&gt;10.1,"Good","Low"))</f>
        <v>Excellent</v>
      </c>
    </row>
    <row r="487" spans="1:9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 s="2">
        <v>7056</v>
      </c>
      <c r="G487">
        <v>538.48</v>
      </c>
      <c r="H487" s="2">
        <f>Table1[[#This Row],[Profit]]/Table1[[#This Row],[Sales]]*100</f>
        <v>7.6315192743764175</v>
      </c>
      <c r="I487" t="str">
        <f>IF(Table1[[#This Row],[Profit %]]&gt;20,"Excellent",IF(H487&gt;10.1,"Good","Low"))</f>
        <v>Low</v>
      </c>
    </row>
    <row r="488" spans="1:9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 s="2">
        <v>3936</v>
      </c>
      <c r="G488">
        <v>720.2</v>
      </c>
      <c r="H488" s="2">
        <f>Table1[[#This Row],[Profit]]/Table1[[#This Row],[Sales]]*100</f>
        <v>18.297764227642276</v>
      </c>
      <c r="I488" t="str">
        <f>IF(Table1[[#This Row],[Profit %]]&gt;20,"Excellent",IF(H488&gt;10.1,"Good","Low"))</f>
        <v>Good</v>
      </c>
    </row>
    <row r="489" spans="1:9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 s="2">
        <v>2472</v>
      </c>
      <c r="G489">
        <v>363.38</v>
      </c>
      <c r="H489" s="2">
        <f>Table1[[#This Row],[Profit]]/Table1[[#This Row],[Sales]]*100</f>
        <v>14.699838187702266</v>
      </c>
      <c r="I489" t="str">
        <f>IF(Table1[[#This Row],[Profit %]]&gt;20,"Excellent",IF(H489&gt;10.1,"Good","Low"))</f>
        <v>Good</v>
      </c>
    </row>
    <row r="490" spans="1:9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 s="2">
        <v>855</v>
      </c>
      <c r="G490">
        <v>67.569999999999993</v>
      </c>
      <c r="H490" s="2">
        <f>Table1[[#This Row],[Profit]]/Table1[[#This Row],[Sales]]*100</f>
        <v>7.9029239766081867</v>
      </c>
      <c r="I490" t="str">
        <f>IF(Table1[[#This Row],[Profit %]]&gt;20,"Excellent",IF(H490&gt;10.1,"Good","Low"))</f>
        <v>Low</v>
      </c>
    </row>
    <row r="491" spans="1:9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 s="2">
        <v>3480</v>
      </c>
      <c r="G491">
        <v>560.39</v>
      </c>
      <c r="H491" s="2">
        <f>Table1[[#This Row],[Profit]]/Table1[[#This Row],[Sales]]*100</f>
        <v>16.10316091954023</v>
      </c>
      <c r="I491" t="str">
        <f>IF(Table1[[#This Row],[Profit %]]&gt;20,"Excellent",IF(H491&gt;10.1,"Good","Low"))</f>
        <v>Good</v>
      </c>
    </row>
    <row r="492" spans="1:9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 s="2">
        <v>846</v>
      </c>
      <c r="G492">
        <v>103.3</v>
      </c>
      <c r="H492" s="2">
        <f>Table1[[#This Row],[Profit]]/Table1[[#This Row],[Sales]]*100</f>
        <v>12.210401891252955</v>
      </c>
      <c r="I492" t="str">
        <f>IF(Table1[[#This Row],[Profit %]]&gt;20,"Excellent",IF(H492&gt;10.1,"Good","Low"))</f>
        <v>Good</v>
      </c>
    </row>
    <row r="493" spans="1:9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 s="2">
        <v>158</v>
      </c>
      <c r="G493">
        <v>46.24</v>
      </c>
      <c r="H493" s="2">
        <f>Table1[[#This Row],[Profit]]/Table1[[#This Row],[Sales]]*100</f>
        <v>29.26582278481013</v>
      </c>
      <c r="I493" t="str">
        <f>IF(Table1[[#This Row],[Profit %]]&gt;20,"Excellent",IF(H493&gt;10.1,"Good","Low"))</f>
        <v>Excellent</v>
      </c>
    </row>
    <row r="494" spans="1:9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 s="2">
        <v>3186</v>
      </c>
      <c r="G494">
        <v>583.24</v>
      </c>
      <c r="H494" s="2">
        <f>Table1[[#This Row],[Profit]]/Table1[[#This Row],[Sales]]*100</f>
        <v>18.306340238543626</v>
      </c>
      <c r="I494" t="str">
        <f>IF(Table1[[#This Row],[Profit %]]&gt;20,"Excellent",IF(H494&gt;10.1,"Good","Low"))</f>
        <v>Good</v>
      </c>
    </row>
    <row r="495" spans="1:9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 s="2">
        <v>6972</v>
      </c>
      <c r="G495">
        <v>969.43</v>
      </c>
      <c r="H495" s="2">
        <f>Table1[[#This Row],[Profit]]/Table1[[#This Row],[Sales]]*100</f>
        <v>13.90461847389558</v>
      </c>
      <c r="I495" t="str">
        <f>IF(Table1[[#This Row],[Profit %]]&gt;20,"Excellent",IF(H495&gt;10.1,"Good","Low"))</f>
        <v>Good</v>
      </c>
    </row>
    <row r="496" spans="1:9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 s="2">
        <v>1745</v>
      </c>
      <c r="G496">
        <v>449.64</v>
      </c>
      <c r="H496" s="2">
        <f>Table1[[#This Row],[Profit]]/Table1[[#This Row],[Sales]]*100</f>
        <v>25.767335243553006</v>
      </c>
      <c r="I496" t="str">
        <f>IF(Table1[[#This Row],[Profit %]]&gt;20,"Excellent",IF(H496&gt;10.1,"Good","Low"))</f>
        <v>Excellent</v>
      </c>
    </row>
    <row r="497" spans="1:9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 s="2">
        <v>4256</v>
      </c>
      <c r="G497">
        <v>372.95</v>
      </c>
      <c r="H497" s="2">
        <f>Table1[[#This Row],[Profit]]/Table1[[#This Row],[Sales]]*100</f>
        <v>8.7629229323308273</v>
      </c>
      <c r="I497" t="str">
        <f>IF(Table1[[#This Row],[Profit %]]&gt;20,"Excellent",IF(H497&gt;10.1,"Good","Low"))</f>
        <v>Low</v>
      </c>
    </row>
    <row r="498" spans="1:9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 s="2">
        <v>1674</v>
      </c>
      <c r="G498">
        <v>499.63</v>
      </c>
      <c r="H498" s="2">
        <f>Table1[[#This Row],[Profit]]/Table1[[#This Row],[Sales]]*100</f>
        <v>29.846475507765831</v>
      </c>
      <c r="I498" t="str">
        <f>IF(Table1[[#This Row],[Profit %]]&gt;20,"Excellent",IF(H498&gt;10.1,"Good","Low"))</f>
        <v>Excellent</v>
      </c>
    </row>
    <row r="499" spans="1:9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 s="2">
        <v>6488</v>
      </c>
      <c r="G499">
        <v>1072.8599999999999</v>
      </c>
      <c r="H499" s="2">
        <f>Table1[[#This Row],[Profit]]/Table1[[#This Row],[Sales]]*100</f>
        <v>16.536066584463622</v>
      </c>
      <c r="I499" t="str">
        <f>IF(Table1[[#This Row],[Profit %]]&gt;20,"Excellent",IF(H499&gt;10.1,"Good","Low"))</f>
        <v>Good</v>
      </c>
    </row>
    <row r="500" spans="1:9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 s="2">
        <v>3530</v>
      </c>
      <c r="G500">
        <v>803.86</v>
      </c>
      <c r="H500" s="2">
        <f>Table1[[#This Row],[Profit]]/Table1[[#This Row],[Sales]]*100</f>
        <v>22.772237960339943</v>
      </c>
      <c r="I500" t="str">
        <f>IF(Table1[[#This Row],[Profit %]]&gt;20,"Excellent",IF(H500&gt;10.1,"Good","Low"))</f>
        <v>Excellent</v>
      </c>
    </row>
    <row r="501" spans="1:9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 s="2">
        <v>632</v>
      </c>
      <c r="G501">
        <v>87.45</v>
      </c>
      <c r="H501" s="2">
        <f>Table1[[#This Row],[Profit]]/Table1[[#This Row],[Sales]]*100</f>
        <v>13.837025316455698</v>
      </c>
      <c r="I501" t="str">
        <f>IF(Table1[[#This Row],[Profit %]]&gt;20,"Excellent",IF(H501&gt;10.1,"Good","Low"))</f>
        <v>Good</v>
      </c>
    </row>
    <row r="502" spans="1:9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 s="2">
        <v>3675</v>
      </c>
      <c r="G502">
        <v>236.8</v>
      </c>
      <c r="H502" s="2">
        <f>Table1[[#This Row],[Profit]]/Table1[[#This Row],[Sales]]*100</f>
        <v>6.443537414965987</v>
      </c>
      <c r="I502" t="str">
        <f>IF(Table1[[#This Row],[Profit %]]&gt;20,"Excellent",IF(H502&gt;10.1,"Good","Low"))</f>
        <v>Low</v>
      </c>
    </row>
    <row r="503" spans="1:9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 s="2">
        <v>5592</v>
      </c>
      <c r="G503">
        <v>926.42</v>
      </c>
      <c r="H503" s="2">
        <f>Table1[[#This Row],[Profit]]/Table1[[#This Row],[Sales]]*100</f>
        <v>16.566881258941343</v>
      </c>
      <c r="I503" t="str">
        <f>IF(Table1[[#This Row],[Profit %]]&gt;20,"Excellent",IF(H503&gt;10.1,"Good","Low"))</f>
        <v>Good</v>
      </c>
    </row>
    <row r="504" spans="1:9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 s="2">
        <v>6432</v>
      </c>
      <c r="G504">
        <v>807.94</v>
      </c>
      <c r="H504" s="2">
        <f>Table1[[#This Row],[Profit]]/Table1[[#This Row],[Sales]]*100</f>
        <v>12.561256218905474</v>
      </c>
      <c r="I504" t="str">
        <f>IF(Table1[[#This Row],[Profit %]]&gt;20,"Excellent",IF(H504&gt;10.1,"Good","Low"))</f>
        <v>Good</v>
      </c>
    </row>
    <row r="505" spans="1:9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 s="2">
        <v>3069</v>
      </c>
      <c r="G505">
        <v>503.3</v>
      </c>
      <c r="H505" s="2">
        <f>Table1[[#This Row],[Profit]]/Table1[[#This Row],[Sales]]*100</f>
        <v>16.399478657543174</v>
      </c>
      <c r="I505" t="str">
        <f>IF(Table1[[#This Row],[Profit %]]&gt;20,"Excellent",IF(H505&gt;10.1,"Good","Low"))</f>
        <v>Good</v>
      </c>
    </row>
    <row r="506" spans="1:9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 s="2">
        <v>2898</v>
      </c>
      <c r="G506">
        <v>490.11</v>
      </c>
      <c r="H506" s="2">
        <f>Table1[[#This Row],[Profit]]/Table1[[#This Row],[Sales]]*100</f>
        <v>16.912008281573499</v>
      </c>
      <c r="I506" t="str">
        <f>IF(Table1[[#This Row],[Profit %]]&gt;20,"Excellent",IF(H506&gt;10.1,"Good","Low"))</f>
        <v>Good</v>
      </c>
    </row>
    <row r="507" spans="1:9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 s="2">
        <v>3960</v>
      </c>
      <c r="G507">
        <v>632.76</v>
      </c>
      <c r="H507" s="2">
        <f>Table1[[#This Row],[Profit]]/Table1[[#This Row],[Sales]]*100</f>
        <v>15.978787878787879</v>
      </c>
      <c r="I507" t="str">
        <f>IF(Table1[[#This Row],[Profit %]]&gt;20,"Excellent",IF(H507&gt;10.1,"Good","Low"))</f>
        <v>Good</v>
      </c>
    </row>
    <row r="508" spans="1:9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 s="2">
        <v>1476</v>
      </c>
      <c r="G508">
        <v>85.16</v>
      </c>
      <c r="H508" s="2">
        <f>Table1[[#This Row],[Profit]]/Table1[[#This Row],[Sales]]*100</f>
        <v>5.7696476964769641</v>
      </c>
      <c r="I508" t="str">
        <f>IF(Table1[[#This Row],[Profit %]]&gt;20,"Excellent",IF(H508&gt;10.1,"Good","Low"))</f>
        <v>Low</v>
      </c>
    </row>
    <row r="509" spans="1:9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 s="2">
        <v>1058</v>
      </c>
      <c r="G509">
        <v>298.69</v>
      </c>
      <c r="H509" s="2">
        <f>Table1[[#This Row],[Profit]]/Table1[[#This Row],[Sales]]*100</f>
        <v>28.23156899810964</v>
      </c>
      <c r="I509" t="str">
        <f>IF(Table1[[#This Row],[Profit %]]&gt;20,"Excellent",IF(H509&gt;10.1,"Good","Low"))</f>
        <v>Excellent</v>
      </c>
    </row>
    <row r="510" spans="1:9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 s="2">
        <v>1215</v>
      </c>
      <c r="G510">
        <v>162.02000000000001</v>
      </c>
      <c r="H510" s="2">
        <f>Table1[[#This Row],[Profit]]/Table1[[#This Row],[Sales]]*100</f>
        <v>13.334979423868312</v>
      </c>
      <c r="I510" t="str">
        <f>IF(Table1[[#This Row],[Profit %]]&gt;20,"Excellent",IF(H510&gt;10.1,"Good","Low"))</f>
        <v>Good</v>
      </c>
    </row>
    <row r="511" spans="1:9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 s="2">
        <v>204</v>
      </c>
      <c r="G511">
        <v>20.43</v>
      </c>
      <c r="H511" s="2">
        <f>Table1[[#This Row],[Profit]]/Table1[[#This Row],[Sales]]*100</f>
        <v>10.01470588235294</v>
      </c>
      <c r="I511" t="str">
        <f>IF(Table1[[#This Row],[Profit %]]&gt;20,"Excellent",IF(H511&gt;10.1,"Good","Low"))</f>
        <v>Low</v>
      </c>
    </row>
    <row r="512" spans="1:9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 s="2">
        <v>4137</v>
      </c>
      <c r="G512">
        <v>221.66</v>
      </c>
      <c r="H512" s="2">
        <f>Table1[[#This Row],[Profit]]/Table1[[#This Row],[Sales]]*100</f>
        <v>5.3579888808315204</v>
      </c>
      <c r="I512" t="str">
        <f>IF(Table1[[#This Row],[Profit %]]&gt;20,"Excellent",IF(H512&gt;10.1,"Good","Low"))</f>
        <v>Low</v>
      </c>
    </row>
    <row r="513" spans="1:9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 s="2">
        <v>250</v>
      </c>
      <c r="G513">
        <v>16.809999999999999</v>
      </c>
      <c r="H513" s="2">
        <f>Table1[[#This Row],[Profit]]/Table1[[#This Row],[Sales]]*100</f>
        <v>6.7239999999999993</v>
      </c>
      <c r="I513" t="str">
        <f>IF(Table1[[#This Row],[Profit %]]&gt;20,"Excellent",IF(H513&gt;10.1,"Good","Low"))</f>
        <v>Low</v>
      </c>
    </row>
    <row r="514" spans="1:9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 s="2">
        <v>1185</v>
      </c>
      <c r="G514">
        <v>254.34</v>
      </c>
      <c r="H514" s="2">
        <f>Table1[[#This Row],[Profit]]/Table1[[#This Row],[Sales]]*100</f>
        <v>21.463291139240507</v>
      </c>
      <c r="I514" t="str">
        <f>IF(Table1[[#This Row],[Profit %]]&gt;20,"Excellent",IF(H514&gt;10.1,"Good","Low"))</f>
        <v>Excellent</v>
      </c>
    </row>
    <row r="515" spans="1:9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 s="2">
        <v>1504</v>
      </c>
      <c r="G515">
        <v>108.52</v>
      </c>
      <c r="H515" s="2">
        <f>Table1[[#This Row],[Profit]]/Table1[[#This Row],[Sales]]*100</f>
        <v>7.2154255319148932</v>
      </c>
      <c r="I515" t="str">
        <f>IF(Table1[[#This Row],[Profit %]]&gt;20,"Excellent",IF(H515&gt;10.1,"Good","Low"))</f>
        <v>Low</v>
      </c>
    </row>
    <row r="516" spans="1:9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 s="2">
        <v>6888</v>
      </c>
      <c r="G516">
        <v>945.07</v>
      </c>
      <c r="H516" s="2">
        <f>Table1[[#This Row],[Profit]]/Table1[[#This Row],[Sales]]*100</f>
        <v>13.720528455284553</v>
      </c>
      <c r="I516" t="str">
        <f>IF(Table1[[#This Row],[Profit %]]&gt;20,"Excellent",IF(H516&gt;10.1,"Good","Low"))</f>
        <v>Good</v>
      </c>
    </row>
    <row r="517" spans="1:9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 s="2">
        <v>3588</v>
      </c>
      <c r="G517">
        <v>958.84</v>
      </c>
      <c r="H517" s="2">
        <f>Table1[[#This Row],[Profit]]/Table1[[#This Row],[Sales]]*100</f>
        <v>26.723522853957636</v>
      </c>
      <c r="I517" t="str">
        <f>IF(Table1[[#This Row],[Profit %]]&gt;20,"Excellent",IF(H517&gt;10.1,"Good","Low"))</f>
        <v>Excellent</v>
      </c>
    </row>
    <row r="518" spans="1:9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 s="2">
        <v>1477</v>
      </c>
      <c r="G518">
        <v>367.22</v>
      </c>
      <c r="H518" s="2">
        <f>Table1[[#This Row],[Profit]]/Table1[[#This Row],[Sales]]*100</f>
        <v>24.862559241706165</v>
      </c>
      <c r="I518" t="str">
        <f>IF(Table1[[#This Row],[Profit %]]&gt;20,"Excellent",IF(H518&gt;10.1,"Good","Low"))</f>
        <v>Excellent</v>
      </c>
    </row>
    <row r="519" spans="1:9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 s="2">
        <v>1280</v>
      </c>
      <c r="G519">
        <v>131.56</v>
      </c>
      <c r="H519" s="2">
        <f>Table1[[#This Row],[Profit]]/Table1[[#This Row],[Sales]]*100</f>
        <v>10.278125000000001</v>
      </c>
      <c r="I519" t="str">
        <f>IF(Table1[[#This Row],[Profit %]]&gt;20,"Excellent",IF(H519&gt;10.1,"Good","Low"))</f>
        <v>Good</v>
      </c>
    </row>
    <row r="520" spans="1:9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 s="2">
        <v>7161</v>
      </c>
      <c r="G520">
        <v>630.76</v>
      </c>
      <c r="H520" s="2">
        <f>Table1[[#This Row],[Profit]]/Table1[[#This Row],[Sales]]*100</f>
        <v>8.8082670018153877</v>
      </c>
      <c r="I520" t="str">
        <f>IF(Table1[[#This Row],[Profit %]]&gt;20,"Excellent",IF(H520&gt;10.1,"Good","Low"))</f>
        <v>Low</v>
      </c>
    </row>
    <row r="521" spans="1:9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 s="2">
        <v>1850</v>
      </c>
      <c r="G521">
        <v>346.4</v>
      </c>
      <c r="H521" s="2">
        <f>Table1[[#This Row],[Profit]]/Table1[[#This Row],[Sales]]*100</f>
        <v>18.724324324324325</v>
      </c>
      <c r="I521" t="str">
        <f>IF(Table1[[#This Row],[Profit %]]&gt;20,"Excellent",IF(H521&gt;10.1,"Good","Low"))</f>
        <v>Good</v>
      </c>
    </row>
    <row r="522" spans="1:9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 s="2">
        <v>3378</v>
      </c>
      <c r="G522">
        <v>520.30999999999995</v>
      </c>
      <c r="H522" s="2">
        <f>Table1[[#This Row],[Profit]]/Table1[[#This Row],[Sales]]*100</f>
        <v>15.402901124925991</v>
      </c>
      <c r="I522" t="str">
        <f>IF(Table1[[#This Row],[Profit %]]&gt;20,"Excellent",IF(H522&gt;10.1,"Good","Low"))</f>
        <v>Good</v>
      </c>
    </row>
    <row r="523" spans="1:9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 s="2">
        <v>7672</v>
      </c>
      <c r="G523">
        <v>2046.38</v>
      </c>
      <c r="H523" s="2">
        <f>Table1[[#This Row],[Profit]]/Table1[[#This Row],[Sales]]*100</f>
        <v>26.673357664233578</v>
      </c>
      <c r="I523" t="str">
        <f>IF(Table1[[#This Row],[Profit %]]&gt;20,"Excellent",IF(H523&gt;10.1,"Good","Low"))</f>
        <v>Excellent</v>
      </c>
    </row>
    <row r="524" spans="1:9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 s="2">
        <v>4254</v>
      </c>
      <c r="G524">
        <v>938.66</v>
      </c>
      <c r="H524" s="2">
        <f>Table1[[#This Row],[Profit]]/Table1[[#This Row],[Sales]]*100</f>
        <v>22.06535025858016</v>
      </c>
      <c r="I524" t="str">
        <f>IF(Table1[[#This Row],[Profit %]]&gt;20,"Excellent",IF(H524&gt;10.1,"Good","Low"))</f>
        <v>Excellent</v>
      </c>
    </row>
    <row r="525" spans="1:9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 s="2">
        <v>2285</v>
      </c>
      <c r="G525">
        <v>279.89999999999998</v>
      </c>
      <c r="H525" s="2">
        <f>Table1[[#This Row],[Profit]]/Table1[[#This Row],[Sales]]*100</f>
        <v>12.249452954048138</v>
      </c>
      <c r="I525" t="str">
        <f>IF(Table1[[#This Row],[Profit %]]&gt;20,"Excellent",IF(H525&gt;10.1,"Good","Low"))</f>
        <v>Good</v>
      </c>
    </row>
    <row r="526" spans="1:9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 s="2">
        <v>5775</v>
      </c>
      <c r="G526">
        <v>680.6</v>
      </c>
      <c r="H526" s="2">
        <f>Table1[[#This Row],[Profit]]/Table1[[#This Row],[Sales]]*100</f>
        <v>11.785281385281387</v>
      </c>
      <c r="I526" t="str">
        <f>IF(Table1[[#This Row],[Profit %]]&gt;20,"Excellent",IF(H526&gt;10.1,"Good","Low"))</f>
        <v>Good</v>
      </c>
    </row>
    <row r="527" spans="1:9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 s="2">
        <v>9360</v>
      </c>
      <c r="G527">
        <v>910.35</v>
      </c>
      <c r="H527" s="2">
        <f>Table1[[#This Row],[Profit]]/Table1[[#This Row],[Sales]]*100</f>
        <v>9.7259615384615383</v>
      </c>
      <c r="I527" t="str">
        <f>IF(Table1[[#This Row],[Profit %]]&gt;20,"Excellent",IF(H527&gt;10.1,"Good","Low"))</f>
        <v>Low</v>
      </c>
    </row>
    <row r="528" spans="1:9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 s="2">
        <v>6936</v>
      </c>
      <c r="G528">
        <v>1156.52</v>
      </c>
      <c r="H528" s="2">
        <f>Table1[[#This Row],[Profit]]/Table1[[#This Row],[Sales]]*100</f>
        <v>16.674163783160324</v>
      </c>
      <c r="I528" t="str">
        <f>IF(Table1[[#This Row],[Profit %]]&gt;20,"Excellent",IF(H528&gt;10.1,"Good","Low"))</f>
        <v>Good</v>
      </c>
    </row>
    <row r="529" spans="1:9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 s="2">
        <v>5634</v>
      </c>
      <c r="G529">
        <v>464.71</v>
      </c>
      <c r="H529" s="2">
        <f>Table1[[#This Row],[Profit]]/Table1[[#This Row],[Sales]]*100</f>
        <v>8.2483138090166843</v>
      </c>
      <c r="I529" t="str">
        <f>IF(Table1[[#This Row],[Profit %]]&gt;20,"Excellent",IF(H529&gt;10.1,"Good","Low"))</f>
        <v>Low</v>
      </c>
    </row>
    <row r="530" spans="1:9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 s="2">
        <v>2644</v>
      </c>
      <c r="G530">
        <v>731.86</v>
      </c>
      <c r="H530" s="2">
        <f>Table1[[#This Row],[Profit]]/Table1[[#This Row],[Sales]]*100</f>
        <v>27.680030257186083</v>
      </c>
      <c r="I530" t="str">
        <f>IF(Table1[[#This Row],[Profit %]]&gt;20,"Excellent",IF(H530&gt;10.1,"Good","Low"))</f>
        <v>Excellent</v>
      </c>
    </row>
    <row r="531" spans="1:9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 s="2">
        <v>247</v>
      </c>
      <c r="G531">
        <v>35.65</v>
      </c>
      <c r="H531" s="2">
        <f>Table1[[#This Row],[Profit]]/Table1[[#This Row],[Sales]]*100</f>
        <v>14.4331983805668</v>
      </c>
      <c r="I531" t="str">
        <f>IF(Table1[[#This Row],[Profit %]]&gt;20,"Excellent",IF(H531&gt;10.1,"Good","Low"))</f>
        <v>Good</v>
      </c>
    </row>
    <row r="532" spans="1:9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 s="2">
        <v>1869</v>
      </c>
      <c r="G532">
        <v>357.27</v>
      </c>
      <c r="H532" s="2">
        <f>Table1[[#This Row],[Profit]]/Table1[[#This Row],[Sales]]*100</f>
        <v>19.115569823434992</v>
      </c>
      <c r="I532" t="str">
        <f>IF(Table1[[#This Row],[Profit %]]&gt;20,"Excellent",IF(H532&gt;10.1,"Good","Low"))</f>
        <v>Good</v>
      </c>
    </row>
    <row r="533" spans="1:9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 s="2">
        <v>1988</v>
      </c>
      <c r="G533">
        <v>430.59</v>
      </c>
      <c r="H533" s="2">
        <f>Table1[[#This Row],[Profit]]/Table1[[#This Row],[Sales]]*100</f>
        <v>21.659456740442653</v>
      </c>
      <c r="I533" t="str">
        <f>IF(Table1[[#This Row],[Profit %]]&gt;20,"Excellent",IF(H533&gt;10.1,"Good","Low"))</f>
        <v>Excellent</v>
      </c>
    </row>
    <row r="534" spans="1:9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 s="2">
        <v>1920</v>
      </c>
      <c r="G534">
        <v>549.11</v>
      </c>
      <c r="H534" s="2">
        <f>Table1[[#This Row],[Profit]]/Table1[[#This Row],[Sales]]*100</f>
        <v>28.599479166666669</v>
      </c>
      <c r="I534" t="str">
        <f>IF(Table1[[#This Row],[Profit %]]&gt;20,"Excellent",IF(H534&gt;10.1,"Good","Low"))</f>
        <v>Excellent</v>
      </c>
    </row>
    <row r="535" spans="1:9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 s="2">
        <v>2577</v>
      </c>
      <c r="G535">
        <v>196.37</v>
      </c>
      <c r="H535" s="2">
        <f>Table1[[#This Row],[Profit]]/Table1[[#This Row],[Sales]]*100</f>
        <v>7.6201008925106715</v>
      </c>
      <c r="I535" t="str">
        <f>IF(Table1[[#This Row],[Profit %]]&gt;20,"Excellent",IF(H535&gt;10.1,"Good","Low"))</f>
        <v>Low</v>
      </c>
    </row>
    <row r="536" spans="1:9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 s="2">
        <v>828</v>
      </c>
      <c r="G536">
        <v>117.95</v>
      </c>
      <c r="H536" s="2">
        <f>Table1[[#This Row],[Profit]]/Table1[[#This Row],[Sales]]*100</f>
        <v>14.245169082125605</v>
      </c>
      <c r="I536" t="str">
        <f>IF(Table1[[#This Row],[Profit %]]&gt;20,"Excellent",IF(H536&gt;10.1,"Good","Low"))</f>
        <v>Good</v>
      </c>
    </row>
    <row r="537" spans="1:9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 s="2">
        <v>1580</v>
      </c>
      <c r="G537">
        <v>403.76</v>
      </c>
      <c r="H537" s="2">
        <f>Table1[[#This Row],[Profit]]/Table1[[#This Row],[Sales]]*100</f>
        <v>25.554430379746833</v>
      </c>
      <c r="I537" t="str">
        <f>IF(Table1[[#This Row],[Profit %]]&gt;20,"Excellent",IF(H537&gt;10.1,"Good","Low"))</f>
        <v>Excellent</v>
      </c>
    </row>
    <row r="538" spans="1:9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 s="2">
        <v>9009</v>
      </c>
      <c r="G538">
        <v>1909.26</v>
      </c>
      <c r="H538" s="2">
        <f>Table1[[#This Row],[Profit]]/Table1[[#This Row],[Sales]]*100</f>
        <v>21.192807192807191</v>
      </c>
      <c r="I538" t="str">
        <f>IF(Table1[[#This Row],[Profit %]]&gt;20,"Excellent",IF(H538&gt;10.1,"Good","Low"))</f>
        <v>Excellent</v>
      </c>
    </row>
    <row r="539" spans="1:9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 s="2">
        <v>7425</v>
      </c>
      <c r="G539">
        <v>1580.86</v>
      </c>
      <c r="H539" s="2">
        <f>Table1[[#This Row],[Profit]]/Table1[[#This Row],[Sales]]*100</f>
        <v>21.291043771043768</v>
      </c>
      <c r="I539" t="str">
        <f>IF(Table1[[#This Row],[Profit %]]&gt;20,"Excellent",IF(H539&gt;10.1,"Good","Low"))</f>
        <v>Excellent</v>
      </c>
    </row>
    <row r="540" spans="1:9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 s="2">
        <v>2945</v>
      </c>
      <c r="G540">
        <v>672.35</v>
      </c>
      <c r="H540" s="2">
        <f>Table1[[#This Row],[Profit]]/Table1[[#This Row],[Sales]]*100</f>
        <v>22.830220713073004</v>
      </c>
      <c r="I540" t="str">
        <f>IF(Table1[[#This Row],[Profit %]]&gt;20,"Excellent",IF(H540&gt;10.1,"Good","Low"))</f>
        <v>Excellent</v>
      </c>
    </row>
    <row r="541" spans="1:9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 s="2">
        <v>294</v>
      </c>
      <c r="G541">
        <v>22.9</v>
      </c>
      <c r="H541" s="2">
        <f>Table1[[#This Row],[Profit]]/Table1[[#This Row],[Sales]]*100</f>
        <v>7.7891156462585025</v>
      </c>
      <c r="I541" t="str">
        <f>IF(Table1[[#This Row],[Profit %]]&gt;20,"Excellent",IF(H541&gt;10.1,"Good","Low"))</f>
        <v>Low</v>
      </c>
    </row>
    <row r="542" spans="1:9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 s="2">
        <v>5875</v>
      </c>
      <c r="G542">
        <v>789.23</v>
      </c>
      <c r="H542" s="2">
        <f>Table1[[#This Row],[Profit]]/Table1[[#This Row],[Sales]]*100</f>
        <v>13.433702127659576</v>
      </c>
      <c r="I542" t="str">
        <f>IF(Table1[[#This Row],[Profit %]]&gt;20,"Excellent",IF(H542&gt;10.1,"Good","Low"))</f>
        <v>Good</v>
      </c>
    </row>
    <row r="543" spans="1:9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 s="2">
        <v>1308</v>
      </c>
      <c r="G543">
        <v>197.6</v>
      </c>
      <c r="H543" s="2">
        <f>Table1[[#This Row],[Profit]]/Table1[[#This Row],[Sales]]*100</f>
        <v>15.107033639143729</v>
      </c>
      <c r="I543" t="str">
        <f>IF(Table1[[#This Row],[Profit %]]&gt;20,"Excellent",IF(H543&gt;10.1,"Good","Low"))</f>
        <v>Good</v>
      </c>
    </row>
    <row r="544" spans="1:9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 s="2">
        <v>2360</v>
      </c>
      <c r="G544">
        <v>391.82</v>
      </c>
      <c r="H544" s="2">
        <f>Table1[[#This Row],[Profit]]/Table1[[#This Row],[Sales]]*100</f>
        <v>16.602542372881356</v>
      </c>
      <c r="I544" t="str">
        <f>IF(Table1[[#This Row],[Profit %]]&gt;20,"Excellent",IF(H544&gt;10.1,"Good","Low"))</f>
        <v>Good</v>
      </c>
    </row>
    <row r="545" spans="1:9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 s="2">
        <v>1008</v>
      </c>
      <c r="G545">
        <v>245.45</v>
      </c>
      <c r="H545" s="2">
        <f>Table1[[#This Row],[Profit]]/Table1[[#This Row],[Sales]]*100</f>
        <v>24.350198412698411</v>
      </c>
      <c r="I545" t="str">
        <f>IF(Table1[[#This Row],[Profit %]]&gt;20,"Excellent",IF(H545&gt;10.1,"Good","Low"))</f>
        <v>Excellent</v>
      </c>
    </row>
    <row r="546" spans="1:9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 s="2">
        <v>1344</v>
      </c>
      <c r="G546">
        <v>338.4</v>
      </c>
      <c r="H546" s="2">
        <f>Table1[[#This Row],[Profit]]/Table1[[#This Row],[Sales]]*100</f>
        <v>25.178571428571427</v>
      </c>
      <c r="I546" t="str">
        <f>IF(Table1[[#This Row],[Profit %]]&gt;20,"Excellent",IF(H546&gt;10.1,"Good","Low"))</f>
        <v>Excellent</v>
      </c>
    </row>
    <row r="547" spans="1:9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 s="2">
        <v>5635</v>
      </c>
      <c r="G547">
        <v>1185.97</v>
      </c>
      <c r="H547" s="2">
        <f>Table1[[#This Row],[Profit]]/Table1[[#This Row],[Sales]]*100</f>
        <v>21.046495119787046</v>
      </c>
      <c r="I547" t="str">
        <f>IF(Table1[[#This Row],[Profit %]]&gt;20,"Excellent",IF(H547&gt;10.1,"Good","Low"))</f>
        <v>Excellent</v>
      </c>
    </row>
    <row r="548" spans="1:9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 s="2">
        <v>4088</v>
      </c>
      <c r="G548">
        <v>1200.03</v>
      </c>
      <c r="H548" s="2">
        <f>Table1[[#This Row],[Profit]]/Table1[[#This Row],[Sales]]*100</f>
        <v>29.354941291585124</v>
      </c>
      <c r="I548" t="str">
        <f>IF(Table1[[#This Row],[Profit %]]&gt;20,"Excellent",IF(H548&gt;10.1,"Good","Low"))</f>
        <v>Excellent</v>
      </c>
    </row>
    <row r="549" spans="1:9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 s="2">
        <v>2192</v>
      </c>
      <c r="G549">
        <v>441.77</v>
      </c>
      <c r="H549" s="2">
        <f>Table1[[#This Row],[Profit]]/Table1[[#This Row],[Sales]]*100</f>
        <v>20.153740875912408</v>
      </c>
      <c r="I549" t="str">
        <f>IF(Table1[[#This Row],[Profit %]]&gt;20,"Excellent",IF(H549&gt;10.1,"Good","Low"))</f>
        <v>Excellent</v>
      </c>
    </row>
    <row r="550" spans="1:9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 s="2">
        <v>1952</v>
      </c>
      <c r="G550">
        <v>444.15</v>
      </c>
      <c r="H550" s="2">
        <f>Table1[[#This Row],[Profit]]/Table1[[#This Row],[Sales]]*100</f>
        <v>22.753586065573771</v>
      </c>
      <c r="I550" t="str">
        <f>IF(Table1[[#This Row],[Profit %]]&gt;20,"Excellent",IF(H550&gt;10.1,"Good","Low"))</f>
        <v>Excellent</v>
      </c>
    </row>
    <row r="551" spans="1:9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 s="2">
        <v>3955</v>
      </c>
      <c r="G551">
        <v>1144.76</v>
      </c>
      <c r="H551" s="2">
        <f>Table1[[#This Row],[Profit]]/Table1[[#This Row],[Sales]]*100</f>
        <v>28.944627054361565</v>
      </c>
      <c r="I551" t="str">
        <f>IF(Table1[[#This Row],[Profit %]]&gt;20,"Excellent",IF(H551&gt;10.1,"Good","Low"))</f>
        <v>Excellent</v>
      </c>
    </row>
    <row r="552" spans="1:9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 s="2">
        <v>5256</v>
      </c>
      <c r="G552">
        <v>1118.1600000000001</v>
      </c>
      <c r="H552" s="2">
        <f>Table1[[#This Row],[Profit]]/Table1[[#This Row],[Sales]]*100</f>
        <v>21.273972602739725</v>
      </c>
      <c r="I552" t="str">
        <f>IF(Table1[[#This Row],[Profit %]]&gt;20,"Excellent",IF(H552&gt;10.1,"Good","Low"))</f>
        <v>Excellent</v>
      </c>
    </row>
    <row r="553" spans="1:9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 s="2">
        <v>1163</v>
      </c>
      <c r="G553">
        <v>115.09</v>
      </c>
      <c r="H553" s="2">
        <f>Table1[[#This Row],[Profit]]/Table1[[#This Row],[Sales]]*100</f>
        <v>9.895958727429063</v>
      </c>
      <c r="I553" t="str">
        <f>IF(Table1[[#This Row],[Profit %]]&gt;20,"Excellent",IF(H553&gt;10.1,"Good","Low"))</f>
        <v>Low</v>
      </c>
    </row>
    <row r="554" spans="1:9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 s="2">
        <v>5004</v>
      </c>
      <c r="G554">
        <v>973.65</v>
      </c>
      <c r="H554" s="2">
        <f>Table1[[#This Row],[Profit]]/Table1[[#This Row],[Sales]]*100</f>
        <v>19.457434052757794</v>
      </c>
      <c r="I554" t="str">
        <f>IF(Table1[[#This Row],[Profit %]]&gt;20,"Excellent",IF(H554&gt;10.1,"Good","Low"))</f>
        <v>Good</v>
      </c>
    </row>
    <row r="555" spans="1:9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 s="2">
        <v>9128</v>
      </c>
      <c r="G555">
        <v>1342.19</v>
      </c>
      <c r="H555" s="2">
        <f>Table1[[#This Row],[Profit]]/Table1[[#This Row],[Sales]]*100</f>
        <v>14.704097283085012</v>
      </c>
      <c r="I555" t="str">
        <f>IF(Table1[[#This Row],[Profit %]]&gt;20,"Excellent",IF(H555&gt;10.1,"Good","Low"))</f>
        <v>Good</v>
      </c>
    </row>
    <row r="556" spans="1:9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 s="2">
        <v>4700</v>
      </c>
      <c r="G556">
        <v>576.34</v>
      </c>
      <c r="H556" s="2">
        <f>Table1[[#This Row],[Profit]]/Table1[[#This Row],[Sales]]*100</f>
        <v>12.262553191489364</v>
      </c>
      <c r="I556" t="str">
        <f>IF(Table1[[#This Row],[Profit %]]&gt;20,"Excellent",IF(H556&gt;10.1,"Good","Low"))</f>
        <v>Good</v>
      </c>
    </row>
    <row r="557" spans="1:9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 s="2">
        <v>1686</v>
      </c>
      <c r="G557">
        <v>146.38999999999999</v>
      </c>
      <c r="H557" s="2">
        <f>Table1[[#This Row],[Profit]]/Table1[[#This Row],[Sales]]*100</f>
        <v>8.6826809015421116</v>
      </c>
      <c r="I557" t="str">
        <f>IF(Table1[[#This Row],[Profit %]]&gt;20,"Excellent",IF(H557&gt;10.1,"Good","Low"))</f>
        <v>Low</v>
      </c>
    </row>
    <row r="558" spans="1:9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 s="2">
        <v>4572</v>
      </c>
      <c r="G558">
        <v>279.54000000000002</v>
      </c>
      <c r="H558" s="2">
        <f>Table1[[#This Row],[Profit]]/Table1[[#This Row],[Sales]]*100</f>
        <v>6.1141732283464565</v>
      </c>
      <c r="I558" t="str">
        <f>IF(Table1[[#This Row],[Profit %]]&gt;20,"Excellent",IF(H558&gt;10.1,"Good","Low"))</f>
        <v>Low</v>
      </c>
    </row>
    <row r="559" spans="1:9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 s="2">
        <v>2510</v>
      </c>
      <c r="G559">
        <v>515.12</v>
      </c>
      <c r="H559" s="2">
        <f>Table1[[#This Row],[Profit]]/Table1[[#This Row],[Sales]]*100</f>
        <v>20.522709163346615</v>
      </c>
      <c r="I559" t="str">
        <f>IF(Table1[[#This Row],[Profit %]]&gt;20,"Excellent",IF(H559&gt;10.1,"Good","Low"))</f>
        <v>Excellent</v>
      </c>
    </row>
    <row r="560" spans="1:9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 s="2">
        <v>3117</v>
      </c>
      <c r="G560">
        <v>829.09</v>
      </c>
      <c r="H560" s="2">
        <f>Table1[[#This Row],[Profit]]/Table1[[#This Row],[Sales]]*100</f>
        <v>26.598973371831892</v>
      </c>
      <c r="I560" t="str">
        <f>IF(Table1[[#This Row],[Profit %]]&gt;20,"Excellent",IF(H560&gt;10.1,"Good","Low"))</f>
        <v>Excellent</v>
      </c>
    </row>
    <row r="561" spans="1:9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 s="2">
        <v>380</v>
      </c>
      <c r="G561">
        <v>94.35</v>
      </c>
      <c r="H561" s="2">
        <f>Table1[[#This Row],[Profit]]/Table1[[#This Row],[Sales]]*100</f>
        <v>24.828947368421051</v>
      </c>
      <c r="I561" t="str">
        <f>IF(Table1[[#This Row],[Profit %]]&gt;20,"Excellent",IF(H561&gt;10.1,"Good","Low"))</f>
        <v>Excellent</v>
      </c>
    </row>
    <row r="562" spans="1:9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 s="2">
        <v>2889</v>
      </c>
      <c r="G562">
        <v>604.19000000000005</v>
      </c>
      <c r="H562" s="2">
        <f>Table1[[#This Row],[Profit]]/Table1[[#This Row],[Sales]]*100</f>
        <v>20.913464866735897</v>
      </c>
      <c r="I562" t="str">
        <f>IF(Table1[[#This Row],[Profit %]]&gt;20,"Excellent",IF(H562&gt;10.1,"Good","Low"))</f>
        <v>Excellent</v>
      </c>
    </row>
    <row r="563" spans="1:9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 s="2">
        <v>3654</v>
      </c>
      <c r="G563">
        <v>581.9</v>
      </c>
      <c r="H563" s="2">
        <f>Table1[[#This Row],[Profit]]/Table1[[#This Row],[Sales]]*100</f>
        <v>15.925013683634374</v>
      </c>
      <c r="I563" t="str">
        <f>IF(Table1[[#This Row],[Profit %]]&gt;20,"Excellent",IF(H563&gt;10.1,"Good","Low"))</f>
        <v>Good</v>
      </c>
    </row>
    <row r="564" spans="1:9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 s="2">
        <v>5610</v>
      </c>
      <c r="G564">
        <v>298.77</v>
      </c>
      <c r="H564" s="2">
        <f>Table1[[#This Row],[Profit]]/Table1[[#This Row],[Sales]]*100</f>
        <v>5.3256684491978605</v>
      </c>
      <c r="I564" t="str">
        <f>IF(Table1[[#This Row],[Profit %]]&gt;20,"Excellent",IF(H564&gt;10.1,"Good","Low"))</f>
        <v>Low</v>
      </c>
    </row>
    <row r="565" spans="1:9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 s="2">
        <v>668</v>
      </c>
      <c r="G565">
        <v>99.4</v>
      </c>
      <c r="H565" s="2">
        <f>Table1[[#This Row],[Profit]]/Table1[[#This Row],[Sales]]*100</f>
        <v>14.880239520958085</v>
      </c>
      <c r="I565" t="str">
        <f>IF(Table1[[#This Row],[Profit %]]&gt;20,"Excellent",IF(H565&gt;10.1,"Good","Low"))</f>
        <v>Good</v>
      </c>
    </row>
    <row r="566" spans="1:9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 s="2">
        <v>3983</v>
      </c>
      <c r="G566">
        <v>360.13</v>
      </c>
      <c r="H566" s="2">
        <f>Table1[[#This Row],[Profit]]/Table1[[#This Row],[Sales]]*100</f>
        <v>9.0416771277931218</v>
      </c>
      <c r="I566" t="str">
        <f>IF(Table1[[#This Row],[Profit %]]&gt;20,"Excellent",IF(H566&gt;10.1,"Good","Low"))</f>
        <v>Low</v>
      </c>
    </row>
    <row r="567" spans="1:9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 s="2">
        <v>1112</v>
      </c>
      <c r="G567">
        <v>272.81</v>
      </c>
      <c r="H567" s="2">
        <f>Table1[[#This Row],[Profit]]/Table1[[#This Row],[Sales]]*100</f>
        <v>24.533273381294965</v>
      </c>
      <c r="I567" t="str">
        <f>IF(Table1[[#This Row],[Profit %]]&gt;20,"Excellent",IF(H567&gt;10.1,"Good","Low"))</f>
        <v>Excellent</v>
      </c>
    </row>
    <row r="568" spans="1:9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 s="2">
        <v>4230</v>
      </c>
      <c r="G568">
        <v>221.06</v>
      </c>
      <c r="H568" s="2">
        <f>Table1[[#This Row],[Profit]]/Table1[[#This Row],[Sales]]*100</f>
        <v>5.2260047281323878</v>
      </c>
      <c r="I568" t="str">
        <f>IF(Table1[[#This Row],[Profit %]]&gt;20,"Excellent",IF(H568&gt;10.1,"Good","Low"))</f>
        <v>Low</v>
      </c>
    </row>
    <row r="569" spans="1:9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 s="2">
        <v>2968</v>
      </c>
      <c r="G569">
        <v>530.29999999999995</v>
      </c>
      <c r="H569" s="2">
        <f>Table1[[#This Row],[Profit]]/Table1[[#This Row],[Sales]]*100</f>
        <v>17.867250673854446</v>
      </c>
      <c r="I569" t="str">
        <f>IF(Table1[[#This Row],[Profit %]]&gt;20,"Excellent",IF(H569&gt;10.1,"Good","Low"))</f>
        <v>Good</v>
      </c>
    </row>
    <row r="570" spans="1:9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 s="2">
        <v>4690</v>
      </c>
      <c r="G570">
        <v>706.74</v>
      </c>
      <c r="H570" s="2">
        <f>Table1[[#This Row],[Profit]]/Table1[[#This Row],[Sales]]*100</f>
        <v>15.06908315565032</v>
      </c>
      <c r="I570" t="str">
        <f>IF(Table1[[#This Row],[Profit %]]&gt;20,"Excellent",IF(H570&gt;10.1,"Good","Low"))</f>
        <v>Good</v>
      </c>
    </row>
    <row r="571" spans="1:9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 s="2">
        <v>4296</v>
      </c>
      <c r="G571">
        <v>1240.31</v>
      </c>
      <c r="H571" s="2">
        <f>Table1[[#This Row],[Profit]]/Table1[[#This Row],[Sales]]*100</f>
        <v>28.871275605214151</v>
      </c>
      <c r="I571" t="str">
        <f>IF(Table1[[#This Row],[Profit %]]&gt;20,"Excellent",IF(H571&gt;10.1,"Good","Low"))</f>
        <v>Excellent</v>
      </c>
    </row>
    <row r="572" spans="1:9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 s="2">
        <v>7203</v>
      </c>
      <c r="G572">
        <v>523.52</v>
      </c>
      <c r="H572" s="2">
        <f>Table1[[#This Row],[Profit]]/Table1[[#This Row],[Sales]]*100</f>
        <v>7.2680827433014015</v>
      </c>
      <c r="I572" t="str">
        <f>IF(Table1[[#This Row],[Profit %]]&gt;20,"Excellent",IF(H572&gt;10.1,"Good","Low"))</f>
        <v>Low</v>
      </c>
    </row>
    <row r="573" spans="1:9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 s="2">
        <v>3640</v>
      </c>
      <c r="G573">
        <v>695.31</v>
      </c>
      <c r="H573" s="2">
        <f>Table1[[#This Row],[Profit]]/Table1[[#This Row],[Sales]]*100</f>
        <v>19.101923076923075</v>
      </c>
      <c r="I573" t="str">
        <f>IF(Table1[[#This Row],[Profit %]]&gt;20,"Excellent",IF(H573&gt;10.1,"Good","Low"))</f>
        <v>Good</v>
      </c>
    </row>
    <row r="574" spans="1:9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 s="2">
        <v>1131</v>
      </c>
      <c r="G574">
        <v>304.62</v>
      </c>
      <c r="H574" s="2">
        <f>Table1[[#This Row],[Profit]]/Table1[[#This Row],[Sales]]*100</f>
        <v>26.933687002652519</v>
      </c>
      <c r="I574" t="str">
        <f>IF(Table1[[#This Row],[Profit %]]&gt;20,"Excellent",IF(H574&gt;10.1,"Good","Low"))</f>
        <v>Excellent</v>
      </c>
    </row>
    <row r="575" spans="1:9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 s="2">
        <v>3627</v>
      </c>
      <c r="G575">
        <v>797.53</v>
      </c>
      <c r="H575" s="2">
        <f>Table1[[#This Row],[Profit]]/Table1[[#This Row],[Sales]]*100</f>
        <v>21.988695891921697</v>
      </c>
      <c r="I575" t="str">
        <f>IF(Table1[[#This Row],[Profit %]]&gt;20,"Excellent",IF(H575&gt;10.1,"Good","Low"))</f>
        <v>Excellent</v>
      </c>
    </row>
    <row r="576" spans="1:9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 s="2">
        <v>7968</v>
      </c>
      <c r="G576">
        <v>1249.98</v>
      </c>
      <c r="H576" s="2">
        <f>Table1[[#This Row],[Profit]]/Table1[[#This Row],[Sales]]*100</f>
        <v>15.687500000000002</v>
      </c>
      <c r="I576" t="str">
        <f>IF(Table1[[#This Row],[Profit %]]&gt;20,"Excellent",IF(H576&gt;10.1,"Good","Low"))</f>
        <v>Good</v>
      </c>
    </row>
    <row r="577" spans="1:9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 s="2">
        <v>3546</v>
      </c>
      <c r="G577">
        <v>490.28</v>
      </c>
      <c r="H577" s="2">
        <f>Table1[[#This Row],[Profit]]/Table1[[#This Row],[Sales]]*100</f>
        <v>13.826283135927806</v>
      </c>
      <c r="I577" t="str">
        <f>IF(Table1[[#This Row],[Profit %]]&gt;20,"Excellent",IF(H577&gt;10.1,"Good","Low"))</f>
        <v>Good</v>
      </c>
    </row>
    <row r="578" spans="1:9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 s="2">
        <v>2270</v>
      </c>
      <c r="G578">
        <v>546.55999999999995</v>
      </c>
      <c r="H578" s="2">
        <f>Table1[[#This Row],[Profit]]/Table1[[#This Row],[Sales]]*100</f>
        <v>24.077533039647577</v>
      </c>
      <c r="I578" t="str">
        <f>IF(Table1[[#This Row],[Profit %]]&gt;20,"Excellent",IF(H578&gt;10.1,"Good","Low"))</f>
        <v>Excellent</v>
      </c>
    </row>
    <row r="579" spans="1:9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 s="2">
        <v>1354</v>
      </c>
      <c r="G579">
        <v>136.91</v>
      </c>
      <c r="H579" s="2">
        <f>Table1[[#This Row],[Profit]]/Table1[[#This Row],[Sales]]*100</f>
        <v>10.111521418020679</v>
      </c>
      <c r="I579" t="str">
        <f>IF(Table1[[#This Row],[Profit %]]&gt;20,"Excellent",IF(H579&gt;10.1,"Good","Low"))</f>
        <v>Good</v>
      </c>
    </row>
    <row r="580" spans="1:9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 s="2">
        <v>6811</v>
      </c>
      <c r="G580">
        <v>1423.57</v>
      </c>
      <c r="H580" s="2">
        <f>Table1[[#This Row],[Profit]]/Table1[[#This Row],[Sales]]*100</f>
        <v>20.901042431361034</v>
      </c>
      <c r="I580" t="str">
        <f>IF(Table1[[#This Row],[Profit %]]&gt;20,"Excellent",IF(H580&gt;10.1,"Good","Low"))</f>
        <v>Excellent</v>
      </c>
    </row>
    <row r="581" spans="1:9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 s="2">
        <v>1410</v>
      </c>
      <c r="G581">
        <v>232.65</v>
      </c>
      <c r="H581" s="2">
        <f>Table1[[#This Row],[Profit]]/Table1[[#This Row],[Sales]]*100</f>
        <v>16.5</v>
      </c>
      <c r="I581" t="str">
        <f>IF(Table1[[#This Row],[Profit %]]&gt;20,"Excellent",IF(H581&gt;10.1,"Good","Low"))</f>
        <v>Good</v>
      </c>
    </row>
    <row r="582" spans="1:9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 s="2">
        <v>1170</v>
      </c>
      <c r="G582">
        <v>249.99</v>
      </c>
      <c r="H582" s="2">
        <f>Table1[[#This Row],[Profit]]/Table1[[#This Row],[Sales]]*100</f>
        <v>21.366666666666667</v>
      </c>
      <c r="I582" t="str">
        <f>IF(Table1[[#This Row],[Profit %]]&gt;20,"Excellent",IF(H582&gt;10.1,"Good","Low"))</f>
        <v>Excellent</v>
      </c>
    </row>
    <row r="583" spans="1:9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 s="2">
        <v>4739</v>
      </c>
      <c r="G583">
        <v>740.74</v>
      </c>
      <c r="H583" s="2">
        <f>Table1[[#This Row],[Profit]]/Table1[[#This Row],[Sales]]*100</f>
        <v>15.630723781388479</v>
      </c>
      <c r="I583" t="str">
        <f>IF(Table1[[#This Row],[Profit %]]&gt;20,"Excellent",IF(H583&gt;10.1,"Good","Low"))</f>
        <v>Good</v>
      </c>
    </row>
    <row r="584" spans="1:9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 s="2">
        <v>7866</v>
      </c>
      <c r="G584">
        <v>1554.38</v>
      </c>
      <c r="H584" s="2">
        <f>Table1[[#This Row],[Profit]]/Table1[[#This Row],[Sales]]*100</f>
        <v>19.760742435799646</v>
      </c>
      <c r="I584" t="str">
        <f>IF(Table1[[#This Row],[Profit %]]&gt;20,"Excellent",IF(H584&gt;10.1,"Good","Low"))</f>
        <v>Good</v>
      </c>
    </row>
    <row r="585" spans="1:9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 s="2">
        <v>3645</v>
      </c>
      <c r="G585">
        <v>388.31</v>
      </c>
      <c r="H585" s="2">
        <f>Table1[[#This Row],[Profit]]/Table1[[#This Row],[Sales]]*100</f>
        <v>10.653223593964336</v>
      </c>
      <c r="I585" t="str">
        <f>IF(Table1[[#This Row],[Profit %]]&gt;20,"Excellent",IF(H585&gt;10.1,"Good","Low"))</f>
        <v>Good</v>
      </c>
    </row>
    <row r="586" spans="1:9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 s="2">
        <v>5358</v>
      </c>
      <c r="G586">
        <v>568.34</v>
      </c>
      <c r="H586" s="2">
        <f>Table1[[#This Row],[Profit]]/Table1[[#This Row],[Sales]]*100</f>
        <v>10.607316162747296</v>
      </c>
      <c r="I586" t="str">
        <f>IF(Table1[[#This Row],[Profit %]]&gt;20,"Excellent",IF(H586&gt;10.1,"Good","Low"))</f>
        <v>Good</v>
      </c>
    </row>
    <row r="587" spans="1:9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 s="2">
        <v>1775</v>
      </c>
      <c r="G587">
        <v>486.37</v>
      </c>
      <c r="H587" s="2">
        <f>Table1[[#This Row],[Profit]]/Table1[[#This Row],[Sales]]*100</f>
        <v>27.401126760563383</v>
      </c>
      <c r="I587" t="str">
        <f>IF(Table1[[#This Row],[Profit %]]&gt;20,"Excellent",IF(H587&gt;10.1,"Good","Low"))</f>
        <v>Excellent</v>
      </c>
    </row>
    <row r="588" spans="1:9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 s="2">
        <v>4905</v>
      </c>
      <c r="G588">
        <v>1351.25</v>
      </c>
      <c r="H588" s="2">
        <f>Table1[[#This Row],[Profit]]/Table1[[#This Row],[Sales]]*100</f>
        <v>27.548419979612643</v>
      </c>
      <c r="I588" t="str">
        <f>IF(Table1[[#This Row],[Profit %]]&gt;20,"Excellent",IF(H588&gt;10.1,"Good","Low"))</f>
        <v>Excellent</v>
      </c>
    </row>
    <row r="589" spans="1:9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 s="2">
        <v>4260</v>
      </c>
      <c r="G589">
        <v>372.33</v>
      </c>
      <c r="H589" s="2">
        <f>Table1[[#This Row],[Profit]]/Table1[[#This Row],[Sales]]*100</f>
        <v>8.7401408450704228</v>
      </c>
      <c r="I589" t="str">
        <f>IF(Table1[[#This Row],[Profit %]]&gt;20,"Excellent",IF(H589&gt;10.1,"Good","Low"))</f>
        <v>Low</v>
      </c>
    </row>
    <row r="590" spans="1:9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 s="2">
        <v>1632</v>
      </c>
      <c r="G590">
        <v>292.77999999999997</v>
      </c>
      <c r="H590" s="2">
        <f>Table1[[#This Row],[Profit]]/Table1[[#This Row],[Sales]]*100</f>
        <v>17.939950980392155</v>
      </c>
      <c r="I590" t="str">
        <f>IF(Table1[[#This Row],[Profit %]]&gt;20,"Excellent",IF(H590&gt;10.1,"Good","Low"))</f>
        <v>Good</v>
      </c>
    </row>
    <row r="591" spans="1:9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 s="2">
        <v>3324</v>
      </c>
      <c r="G591">
        <v>466.78</v>
      </c>
      <c r="H591" s="2">
        <f>Table1[[#This Row],[Profit]]/Table1[[#This Row],[Sales]]*100</f>
        <v>14.042719614921781</v>
      </c>
      <c r="I591" t="str">
        <f>IF(Table1[[#This Row],[Profit %]]&gt;20,"Excellent",IF(H591&gt;10.1,"Good","Low"))</f>
        <v>Good</v>
      </c>
    </row>
    <row r="592" spans="1:9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 s="2">
        <v>4590</v>
      </c>
      <c r="G592">
        <v>347.14</v>
      </c>
      <c r="H592" s="2">
        <f>Table1[[#This Row],[Profit]]/Table1[[#This Row],[Sales]]*100</f>
        <v>7.5629629629629633</v>
      </c>
      <c r="I592" t="str">
        <f>IF(Table1[[#This Row],[Profit %]]&gt;20,"Excellent",IF(H592&gt;10.1,"Good","Low"))</f>
        <v>Low</v>
      </c>
    </row>
    <row r="593" spans="1:9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 s="2">
        <v>8496</v>
      </c>
      <c r="G593">
        <v>2182.42</v>
      </c>
      <c r="H593" s="2">
        <f>Table1[[#This Row],[Profit]]/Table1[[#This Row],[Sales]]*100</f>
        <v>25.687617702448211</v>
      </c>
      <c r="I593" t="str">
        <f>IF(Table1[[#This Row],[Profit %]]&gt;20,"Excellent",IF(H593&gt;10.1,"Good","Low"))</f>
        <v>Excellent</v>
      </c>
    </row>
    <row r="594" spans="1:9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 s="2">
        <v>6444</v>
      </c>
      <c r="G594">
        <v>518.79</v>
      </c>
      <c r="H594" s="2">
        <f>Table1[[#This Row],[Profit]]/Table1[[#This Row],[Sales]]*100</f>
        <v>8.0507448789571701</v>
      </c>
      <c r="I594" t="str">
        <f>IF(Table1[[#This Row],[Profit %]]&gt;20,"Excellent",IF(H594&gt;10.1,"Good","Low"))</f>
        <v>Low</v>
      </c>
    </row>
    <row r="595" spans="1:9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 s="2">
        <v>812</v>
      </c>
      <c r="G595">
        <v>51.13</v>
      </c>
      <c r="H595" s="2">
        <f>Table1[[#This Row],[Profit]]/Table1[[#This Row],[Sales]]*100</f>
        <v>6.2967980295566512</v>
      </c>
      <c r="I595" t="str">
        <f>IF(Table1[[#This Row],[Profit %]]&gt;20,"Excellent",IF(H595&gt;10.1,"Good","Low"))</f>
        <v>Low</v>
      </c>
    </row>
    <row r="596" spans="1:9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 s="2">
        <v>1764</v>
      </c>
      <c r="G596">
        <v>465.93</v>
      </c>
      <c r="H596" s="2">
        <f>Table1[[#This Row],[Profit]]/Table1[[#This Row],[Sales]]*100</f>
        <v>26.413265306122451</v>
      </c>
      <c r="I596" t="str">
        <f>IF(Table1[[#This Row],[Profit %]]&gt;20,"Excellent",IF(H596&gt;10.1,"Good","Low"))</f>
        <v>Excellent</v>
      </c>
    </row>
    <row r="597" spans="1:9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 s="2">
        <v>1012</v>
      </c>
      <c r="G597">
        <v>172.67</v>
      </c>
      <c r="H597" s="2">
        <f>Table1[[#This Row],[Profit]]/Table1[[#This Row],[Sales]]*100</f>
        <v>17.062252964426879</v>
      </c>
      <c r="I597" t="str">
        <f>IF(Table1[[#This Row],[Profit %]]&gt;20,"Excellent",IF(H597&gt;10.1,"Good","Low"))</f>
        <v>Good</v>
      </c>
    </row>
    <row r="598" spans="1:9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 s="2">
        <v>836</v>
      </c>
      <c r="G598">
        <v>47.07</v>
      </c>
      <c r="H598" s="2">
        <f>Table1[[#This Row],[Profit]]/Table1[[#This Row],[Sales]]*100</f>
        <v>5.6303827751196174</v>
      </c>
      <c r="I598" t="str">
        <f>IF(Table1[[#This Row],[Profit %]]&gt;20,"Excellent",IF(H598&gt;10.1,"Good","Low"))</f>
        <v>Low</v>
      </c>
    </row>
    <row r="599" spans="1:9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 s="2">
        <v>723</v>
      </c>
      <c r="G599">
        <v>115.26</v>
      </c>
      <c r="H599" s="2">
        <f>Table1[[#This Row],[Profit]]/Table1[[#This Row],[Sales]]*100</f>
        <v>15.941908713692946</v>
      </c>
      <c r="I599" t="str">
        <f>IF(Table1[[#This Row],[Profit %]]&gt;20,"Excellent",IF(H599&gt;10.1,"Good","Low"))</f>
        <v>Good</v>
      </c>
    </row>
    <row r="600" spans="1:9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 s="2">
        <v>5628</v>
      </c>
      <c r="G600">
        <v>1033.1500000000001</v>
      </c>
      <c r="H600" s="2">
        <f>Table1[[#This Row],[Profit]]/Table1[[#This Row],[Sales]]*100</f>
        <v>18.357320540156362</v>
      </c>
      <c r="I600" t="str">
        <f>IF(Table1[[#This Row],[Profit %]]&gt;20,"Excellent",IF(H600&gt;10.1,"Good","Low"))</f>
        <v>Good</v>
      </c>
    </row>
    <row r="601" spans="1:9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 s="2">
        <v>1660</v>
      </c>
      <c r="G601">
        <v>283.14</v>
      </c>
      <c r="H601" s="2">
        <f>Table1[[#This Row],[Profit]]/Table1[[#This Row],[Sales]]*100</f>
        <v>17.056626506024095</v>
      </c>
      <c r="I601" t="str">
        <f>IF(Table1[[#This Row],[Profit %]]&gt;20,"Excellent",IF(H601&gt;10.1,"Good","Low"))</f>
        <v>Good</v>
      </c>
    </row>
    <row r="602" spans="1:9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 s="2">
        <v>2295</v>
      </c>
      <c r="G602">
        <v>244.83</v>
      </c>
      <c r="H602" s="2">
        <f>Table1[[#This Row],[Profit]]/Table1[[#This Row],[Sales]]*100</f>
        <v>10.667973856209152</v>
      </c>
      <c r="I602" t="str">
        <f>IF(Table1[[#This Row],[Profit %]]&gt;20,"Excellent",IF(H602&gt;10.1,"Good","Low"))</f>
        <v>Good</v>
      </c>
    </row>
    <row r="603" spans="1:9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 s="2">
        <v>2190</v>
      </c>
      <c r="G603">
        <v>477.8</v>
      </c>
      <c r="H603" s="2">
        <f>Table1[[#This Row],[Profit]]/Table1[[#This Row],[Sales]]*100</f>
        <v>21.817351598173516</v>
      </c>
      <c r="I603" t="str">
        <f>IF(Table1[[#This Row],[Profit %]]&gt;20,"Excellent",IF(H603&gt;10.1,"Good","Low"))</f>
        <v>Excellent</v>
      </c>
    </row>
    <row r="604" spans="1:9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 s="2">
        <v>3500</v>
      </c>
      <c r="G604">
        <v>919.35</v>
      </c>
      <c r="H604" s="2">
        <f>Table1[[#This Row],[Profit]]/Table1[[#This Row],[Sales]]*100</f>
        <v>26.267142857142854</v>
      </c>
      <c r="I604" t="str">
        <f>IF(Table1[[#This Row],[Profit %]]&gt;20,"Excellent",IF(H604&gt;10.1,"Good","Low"))</f>
        <v>Excellent</v>
      </c>
    </row>
    <row r="605" spans="1:9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 s="2">
        <v>1098</v>
      </c>
      <c r="G605">
        <v>239.92</v>
      </c>
      <c r="H605" s="2">
        <f>Table1[[#This Row],[Profit]]/Table1[[#This Row],[Sales]]*100</f>
        <v>21.850637522768672</v>
      </c>
      <c r="I605" t="str">
        <f>IF(Table1[[#This Row],[Profit %]]&gt;20,"Excellent",IF(H605&gt;10.1,"Good","Low"))</f>
        <v>Excellent</v>
      </c>
    </row>
    <row r="606" spans="1:9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 s="2">
        <v>945</v>
      </c>
      <c r="G606">
        <v>194.03</v>
      </c>
      <c r="H606" s="2">
        <f>Table1[[#This Row],[Profit]]/Table1[[#This Row],[Sales]]*100</f>
        <v>20.532275132275132</v>
      </c>
      <c r="I606" t="str">
        <f>IF(Table1[[#This Row],[Profit %]]&gt;20,"Excellent",IF(H606&gt;10.1,"Good","Low"))</f>
        <v>Excellent</v>
      </c>
    </row>
    <row r="607" spans="1:9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 s="2">
        <v>5622</v>
      </c>
      <c r="G607">
        <v>1382.67</v>
      </c>
      <c r="H607" s="2">
        <f>Table1[[#This Row],[Profit]]/Table1[[#This Row],[Sales]]*100</f>
        <v>24.59391675560299</v>
      </c>
      <c r="I607" t="str">
        <f>IF(Table1[[#This Row],[Profit %]]&gt;20,"Excellent",IF(H607&gt;10.1,"Good","Low"))</f>
        <v>Excellent</v>
      </c>
    </row>
    <row r="608" spans="1:9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 s="2">
        <v>2325</v>
      </c>
      <c r="G608">
        <v>309.49</v>
      </c>
      <c r="H608" s="2">
        <f>Table1[[#This Row],[Profit]]/Table1[[#This Row],[Sales]]*100</f>
        <v>13.311397849462367</v>
      </c>
      <c r="I608" t="str">
        <f>IF(Table1[[#This Row],[Profit %]]&gt;20,"Excellent",IF(H608&gt;10.1,"Good","Low"))</f>
        <v>Good</v>
      </c>
    </row>
    <row r="609" spans="1:9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 s="2">
        <v>1157</v>
      </c>
      <c r="G609">
        <v>252.08</v>
      </c>
      <c r="H609" s="2">
        <f>Table1[[#This Row],[Profit]]/Table1[[#This Row],[Sales]]*100</f>
        <v>21.787381158167676</v>
      </c>
      <c r="I609" t="str">
        <f>IF(Table1[[#This Row],[Profit %]]&gt;20,"Excellent",IF(H609&gt;10.1,"Good","Low"))</f>
        <v>Excellent</v>
      </c>
    </row>
    <row r="610" spans="1:9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 s="2">
        <v>531</v>
      </c>
      <c r="G610">
        <v>126.24</v>
      </c>
      <c r="H610" s="2">
        <f>Table1[[#This Row],[Profit]]/Table1[[#This Row],[Sales]]*100</f>
        <v>23.774011299435028</v>
      </c>
      <c r="I610" t="str">
        <f>IF(Table1[[#This Row],[Profit %]]&gt;20,"Excellent",IF(H610&gt;10.1,"Good","Low"))</f>
        <v>Excellent</v>
      </c>
    </row>
    <row r="611" spans="1:9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 s="2">
        <v>1760</v>
      </c>
      <c r="G611">
        <v>278.08999999999997</v>
      </c>
      <c r="H611" s="2">
        <f>Table1[[#This Row],[Profit]]/Table1[[#This Row],[Sales]]*100</f>
        <v>15.80056818181818</v>
      </c>
      <c r="I611" t="str">
        <f>IF(Table1[[#This Row],[Profit %]]&gt;20,"Excellent",IF(H611&gt;10.1,"Good","Low"))</f>
        <v>Good</v>
      </c>
    </row>
    <row r="612" spans="1:9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 s="2">
        <v>371</v>
      </c>
      <c r="G612">
        <v>108.58</v>
      </c>
      <c r="H612" s="2">
        <f>Table1[[#This Row],[Profit]]/Table1[[#This Row],[Sales]]*100</f>
        <v>29.266846361185983</v>
      </c>
      <c r="I612" t="str">
        <f>IF(Table1[[#This Row],[Profit %]]&gt;20,"Excellent",IF(H612&gt;10.1,"Good","Low"))</f>
        <v>Excellent</v>
      </c>
    </row>
    <row r="613" spans="1:9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 s="2">
        <v>1896</v>
      </c>
      <c r="G613">
        <v>191.7</v>
      </c>
      <c r="H613" s="2">
        <f>Table1[[#This Row],[Profit]]/Table1[[#This Row],[Sales]]*100</f>
        <v>10.110759493670885</v>
      </c>
      <c r="I613" t="str">
        <f>IF(Table1[[#This Row],[Profit %]]&gt;20,"Excellent",IF(H613&gt;10.1,"Good","Low"))</f>
        <v>Good</v>
      </c>
    </row>
    <row r="614" spans="1:9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 s="2">
        <v>514</v>
      </c>
      <c r="G614">
        <v>106.75</v>
      </c>
      <c r="H614" s="2">
        <f>Table1[[#This Row],[Profit]]/Table1[[#This Row],[Sales]]*100</f>
        <v>20.768482490272376</v>
      </c>
      <c r="I614" t="str">
        <f>IF(Table1[[#This Row],[Profit %]]&gt;20,"Excellent",IF(H614&gt;10.1,"Good","Low"))</f>
        <v>Excellent</v>
      </c>
    </row>
    <row r="615" spans="1:9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 s="2">
        <v>1876</v>
      </c>
      <c r="G615">
        <v>129.25</v>
      </c>
      <c r="H615" s="2">
        <f>Table1[[#This Row],[Profit]]/Table1[[#This Row],[Sales]]*100</f>
        <v>6.8896588486140722</v>
      </c>
      <c r="I615" t="str">
        <f>IF(Table1[[#This Row],[Profit %]]&gt;20,"Excellent",IF(H615&gt;10.1,"Good","Low"))</f>
        <v>Low</v>
      </c>
    </row>
    <row r="616" spans="1:9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 s="2">
        <v>1182</v>
      </c>
      <c r="G616">
        <v>236.12</v>
      </c>
      <c r="H616" s="2">
        <f>Table1[[#This Row],[Profit]]/Table1[[#This Row],[Sales]]*100</f>
        <v>19.97631133671743</v>
      </c>
      <c r="I616" t="str">
        <f>IF(Table1[[#This Row],[Profit %]]&gt;20,"Excellent",IF(H616&gt;10.1,"Good","Low"))</f>
        <v>Good</v>
      </c>
    </row>
    <row r="617" spans="1:9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 s="2">
        <v>4255</v>
      </c>
      <c r="G617">
        <v>961.41</v>
      </c>
      <c r="H617" s="2">
        <f>Table1[[#This Row],[Profit]]/Table1[[#This Row],[Sales]]*100</f>
        <v>22.594829612220916</v>
      </c>
      <c r="I617" t="str">
        <f>IF(Table1[[#This Row],[Profit %]]&gt;20,"Excellent",IF(H617&gt;10.1,"Good","Low"))</f>
        <v>Excellent</v>
      </c>
    </row>
    <row r="618" spans="1:9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 s="2">
        <v>1341</v>
      </c>
      <c r="G618">
        <v>150.69999999999999</v>
      </c>
      <c r="H618" s="2">
        <f>Table1[[#This Row],[Profit]]/Table1[[#This Row],[Sales]]*100</f>
        <v>11.237882177479493</v>
      </c>
      <c r="I618" t="str">
        <f>IF(Table1[[#This Row],[Profit %]]&gt;20,"Excellent",IF(H618&gt;10.1,"Good","Low"))</f>
        <v>Good</v>
      </c>
    </row>
    <row r="619" spans="1:9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 s="2">
        <v>644</v>
      </c>
      <c r="G619">
        <v>49.25</v>
      </c>
      <c r="H619" s="2">
        <f>Table1[[#This Row],[Profit]]/Table1[[#This Row],[Sales]]*100</f>
        <v>7.6475155279503104</v>
      </c>
      <c r="I619" t="str">
        <f>IF(Table1[[#This Row],[Profit %]]&gt;20,"Excellent",IF(H619&gt;10.1,"Good","Low"))</f>
        <v>Low</v>
      </c>
    </row>
    <row r="620" spans="1:9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 s="2">
        <v>1827</v>
      </c>
      <c r="G620">
        <v>94.4</v>
      </c>
      <c r="H620" s="2">
        <f>Table1[[#This Row],[Profit]]/Table1[[#This Row],[Sales]]*100</f>
        <v>5.1669403393541327</v>
      </c>
      <c r="I620" t="str">
        <f>IF(Table1[[#This Row],[Profit %]]&gt;20,"Excellent",IF(H620&gt;10.1,"Good","Low"))</f>
        <v>Low</v>
      </c>
    </row>
    <row r="621" spans="1:9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 s="2">
        <v>930</v>
      </c>
      <c r="G621">
        <v>136.16</v>
      </c>
      <c r="H621" s="2">
        <f>Table1[[#This Row],[Profit]]/Table1[[#This Row],[Sales]]*100</f>
        <v>14.640860215053763</v>
      </c>
      <c r="I621" t="str">
        <f>IF(Table1[[#This Row],[Profit %]]&gt;20,"Excellent",IF(H621&gt;10.1,"Good","Low"))</f>
        <v>Good</v>
      </c>
    </row>
    <row r="622" spans="1:9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 s="2">
        <v>528</v>
      </c>
      <c r="G622">
        <v>152.80000000000001</v>
      </c>
      <c r="H622" s="2">
        <f>Table1[[#This Row],[Profit]]/Table1[[#This Row],[Sales]]*100</f>
        <v>28.939393939393941</v>
      </c>
      <c r="I622" t="str">
        <f>IF(Table1[[#This Row],[Profit %]]&gt;20,"Excellent",IF(H622&gt;10.1,"Good","Low"))</f>
        <v>Excellent</v>
      </c>
    </row>
    <row r="623" spans="1:9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 s="2">
        <v>4236</v>
      </c>
      <c r="G623">
        <v>739.22</v>
      </c>
      <c r="H623" s="2">
        <f>Table1[[#This Row],[Profit]]/Table1[[#This Row],[Sales]]*100</f>
        <v>17.450897072710102</v>
      </c>
      <c r="I623" t="str">
        <f>IF(Table1[[#This Row],[Profit %]]&gt;20,"Excellent",IF(H623&gt;10.1,"Good","Low"))</f>
        <v>Good</v>
      </c>
    </row>
    <row r="624" spans="1:9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 s="2">
        <v>1664</v>
      </c>
      <c r="G624">
        <v>190.82</v>
      </c>
      <c r="H624" s="2">
        <f>Table1[[#This Row],[Profit]]/Table1[[#This Row],[Sales]]*100</f>
        <v>11.467548076923077</v>
      </c>
      <c r="I624" t="str">
        <f>IF(Table1[[#This Row],[Profit %]]&gt;20,"Excellent",IF(H624&gt;10.1,"Good","Low"))</f>
        <v>Good</v>
      </c>
    </row>
    <row r="625" spans="1:9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 s="2">
        <v>2727</v>
      </c>
      <c r="G625">
        <v>554.46</v>
      </c>
      <c r="H625" s="2">
        <f>Table1[[#This Row],[Profit]]/Table1[[#This Row],[Sales]]*100</f>
        <v>20.332233223322334</v>
      </c>
      <c r="I625" t="str">
        <f>IF(Table1[[#This Row],[Profit %]]&gt;20,"Excellent",IF(H625&gt;10.1,"Good","Low"))</f>
        <v>Excellent</v>
      </c>
    </row>
    <row r="626" spans="1:9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 s="2">
        <v>522</v>
      </c>
      <c r="G626">
        <v>52.73</v>
      </c>
      <c r="H626" s="2">
        <f>Table1[[#This Row],[Profit]]/Table1[[#This Row],[Sales]]*100</f>
        <v>10.101532567049807</v>
      </c>
      <c r="I626" t="str">
        <f>IF(Table1[[#This Row],[Profit %]]&gt;20,"Excellent",IF(H626&gt;10.1,"Good","Low"))</f>
        <v>Good</v>
      </c>
    </row>
    <row r="627" spans="1:9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 s="2">
        <v>8288</v>
      </c>
      <c r="G627">
        <v>1945.03</v>
      </c>
      <c r="H627" s="2">
        <f>Table1[[#This Row],[Profit]]/Table1[[#This Row],[Sales]]*100</f>
        <v>23.468026061776062</v>
      </c>
      <c r="I627" t="str">
        <f>IF(Table1[[#This Row],[Profit %]]&gt;20,"Excellent",IF(H627&gt;10.1,"Good","Low"))</f>
        <v>Excellent</v>
      </c>
    </row>
    <row r="628" spans="1:9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 s="2">
        <v>1062</v>
      </c>
      <c r="G628">
        <v>73.58</v>
      </c>
      <c r="H628" s="2">
        <f>Table1[[#This Row],[Profit]]/Table1[[#This Row],[Sales]]*100</f>
        <v>6.9284369114877595</v>
      </c>
      <c r="I628" t="str">
        <f>IF(Table1[[#This Row],[Profit %]]&gt;20,"Excellent",IF(H628&gt;10.1,"Good","Low"))</f>
        <v>Low</v>
      </c>
    </row>
    <row r="629" spans="1:9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 s="2">
        <v>1140</v>
      </c>
      <c r="G629">
        <v>226.52</v>
      </c>
      <c r="H629" s="2">
        <f>Table1[[#This Row],[Profit]]/Table1[[#This Row],[Sales]]*100</f>
        <v>19.870175438596494</v>
      </c>
      <c r="I629" t="str">
        <f>IF(Table1[[#This Row],[Profit %]]&gt;20,"Excellent",IF(H629&gt;10.1,"Good","Low"))</f>
        <v>Good</v>
      </c>
    </row>
    <row r="630" spans="1:9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 s="2">
        <v>3488</v>
      </c>
      <c r="G630">
        <v>712.24</v>
      </c>
      <c r="H630" s="2">
        <f>Table1[[#This Row],[Profit]]/Table1[[#This Row],[Sales]]*100</f>
        <v>20.419724770642205</v>
      </c>
      <c r="I630" t="str">
        <f>IF(Table1[[#This Row],[Profit %]]&gt;20,"Excellent",IF(H630&gt;10.1,"Good","Low"))</f>
        <v>Excellent</v>
      </c>
    </row>
    <row r="631" spans="1:9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 s="2">
        <v>5920</v>
      </c>
      <c r="G631">
        <v>1436.7</v>
      </c>
      <c r="H631" s="2">
        <f>Table1[[#This Row],[Profit]]/Table1[[#This Row],[Sales]]*100</f>
        <v>24.268581081081081</v>
      </c>
      <c r="I631" t="str">
        <f>IF(Table1[[#This Row],[Profit %]]&gt;20,"Excellent",IF(H631&gt;10.1,"Good","Low"))</f>
        <v>Excellent</v>
      </c>
    </row>
    <row r="632" spans="1:9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 s="2">
        <v>3096</v>
      </c>
      <c r="G632">
        <v>362.89</v>
      </c>
      <c r="H632" s="2">
        <f>Table1[[#This Row],[Profit]]/Table1[[#This Row],[Sales]]*100</f>
        <v>11.72125322997416</v>
      </c>
      <c r="I632" t="str">
        <f>IF(Table1[[#This Row],[Profit %]]&gt;20,"Excellent",IF(H632&gt;10.1,"Good","Low"))</f>
        <v>Good</v>
      </c>
    </row>
    <row r="633" spans="1:9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 s="2">
        <v>3490</v>
      </c>
      <c r="G633">
        <v>205.04</v>
      </c>
      <c r="H633" s="2">
        <f>Table1[[#This Row],[Profit]]/Table1[[#This Row],[Sales]]*100</f>
        <v>5.8750716332378223</v>
      </c>
      <c r="I633" t="str">
        <f>IF(Table1[[#This Row],[Profit %]]&gt;20,"Excellent",IF(H633&gt;10.1,"Good","Low"))</f>
        <v>Low</v>
      </c>
    </row>
    <row r="634" spans="1:9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 s="2">
        <v>4374</v>
      </c>
      <c r="G634">
        <v>702.62</v>
      </c>
      <c r="H634" s="2">
        <f>Table1[[#This Row],[Profit]]/Table1[[#This Row],[Sales]]*100</f>
        <v>16.063557384545039</v>
      </c>
      <c r="I634" t="str">
        <f>IF(Table1[[#This Row],[Profit %]]&gt;20,"Excellent",IF(H634&gt;10.1,"Good","Low"))</f>
        <v>Good</v>
      </c>
    </row>
    <row r="635" spans="1:9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 s="2">
        <v>3366</v>
      </c>
      <c r="G635">
        <v>541.86</v>
      </c>
      <c r="H635" s="2">
        <f>Table1[[#This Row],[Profit]]/Table1[[#This Row],[Sales]]*100</f>
        <v>16.098039215686274</v>
      </c>
      <c r="I635" t="str">
        <f>IF(Table1[[#This Row],[Profit %]]&gt;20,"Excellent",IF(H635&gt;10.1,"Good","Low"))</f>
        <v>Good</v>
      </c>
    </row>
    <row r="636" spans="1:9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 s="2">
        <v>822</v>
      </c>
      <c r="G636">
        <v>231.62</v>
      </c>
      <c r="H636" s="2">
        <f>Table1[[#This Row],[Profit]]/Table1[[#This Row],[Sales]]*100</f>
        <v>28.177615571776155</v>
      </c>
      <c r="I636" t="str">
        <f>IF(Table1[[#This Row],[Profit %]]&gt;20,"Excellent",IF(H636&gt;10.1,"Good","Low"))</f>
        <v>Excellent</v>
      </c>
    </row>
    <row r="637" spans="1:9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 s="2">
        <v>340</v>
      </c>
      <c r="G637">
        <v>39.119999999999997</v>
      </c>
      <c r="H637" s="2">
        <f>Table1[[#This Row],[Profit]]/Table1[[#This Row],[Sales]]*100</f>
        <v>11.505882352941175</v>
      </c>
      <c r="I637" t="str">
        <f>IF(Table1[[#This Row],[Profit %]]&gt;20,"Excellent",IF(H637&gt;10.1,"Good","Low"))</f>
        <v>Good</v>
      </c>
    </row>
    <row r="638" spans="1:9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 s="2">
        <v>763</v>
      </c>
      <c r="G638">
        <v>217.94</v>
      </c>
      <c r="H638" s="2">
        <f>Table1[[#This Row],[Profit]]/Table1[[#This Row],[Sales]]*100</f>
        <v>28.563564875491483</v>
      </c>
      <c r="I638" t="str">
        <f>IF(Table1[[#This Row],[Profit %]]&gt;20,"Excellent",IF(H638&gt;10.1,"Good","Low"))</f>
        <v>Excellent</v>
      </c>
    </row>
    <row r="639" spans="1:9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 s="2">
        <v>3408</v>
      </c>
      <c r="G639">
        <v>856.98</v>
      </c>
      <c r="H639" s="2">
        <f>Table1[[#This Row],[Profit]]/Table1[[#This Row],[Sales]]*100</f>
        <v>25.14612676056338</v>
      </c>
      <c r="I639" t="str">
        <f>IF(Table1[[#This Row],[Profit %]]&gt;20,"Excellent",IF(H639&gt;10.1,"Good","Low"))</f>
        <v>Excellent</v>
      </c>
    </row>
    <row r="640" spans="1:9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 s="2">
        <v>2282</v>
      </c>
      <c r="G640">
        <v>537.71</v>
      </c>
      <c r="H640" s="2">
        <f>Table1[[#This Row],[Profit]]/Table1[[#This Row],[Sales]]*100</f>
        <v>23.563102541630151</v>
      </c>
      <c r="I640" t="str">
        <f>IF(Table1[[#This Row],[Profit %]]&gt;20,"Excellent",IF(H640&gt;10.1,"Good","Low"))</f>
        <v>Excellent</v>
      </c>
    </row>
    <row r="641" spans="1:9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 s="2">
        <v>4151</v>
      </c>
      <c r="G641">
        <v>1047.43</v>
      </c>
      <c r="H641" s="2">
        <f>Table1[[#This Row],[Profit]]/Table1[[#This Row],[Sales]]*100</f>
        <v>25.233196820043364</v>
      </c>
      <c r="I641" t="str">
        <f>IF(Table1[[#This Row],[Profit %]]&gt;20,"Excellent",IF(H641&gt;10.1,"Good","Low"))</f>
        <v>Excellent</v>
      </c>
    </row>
    <row r="642" spans="1:9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 s="2">
        <v>6279</v>
      </c>
      <c r="G642">
        <v>1689.55</v>
      </c>
      <c r="H642" s="2">
        <f>Table1[[#This Row],[Profit]]/Table1[[#This Row],[Sales]]*100</f>
        <v>26.907947125338428</v>
      </c>
      <c r="I642" t="str">
        <f>IF(Table1[[#This Row],[Profit %]]&gt;20,"Excellent",IF(H642&gt;10.1,"Good","Low"))</f>
        <v>Excellent</v>
      </c>
    </row>
    <row r="643" spans="1:9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 s="2">
        <v>474</v>
      </c>
      <c r="G643">
        <v>83.32</v>
      </c>
      <c r="H643" s="2">
        <f>Table1[[#This Row],[Profit]]/Table1[[#This Row],[Sales]]*100</f>
        <v>17.578059071729957</v>
      </c>
      <c r="I643" t="str">
        <f>IF(Table1[[#This Row],[Profit %]]&gt;20,"Excellent",IF(H643&gt;10.1,"Good","Low"))</f>
        <v>Good</v>
      </c>
    </row>
    <row r="644" spans="1:9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 s="2">
        <v>680</v>
      </c>
      <c r="G644">
        <v>176.44</v>
      </c>
      <c r="H644" s="2">
        <f>Table1[[#This Row],[Profit]]/Table1[[#This Row],[Sales]]*100</f>
        <v>25.94705882352941</v>
      </c>
      <c r="I644" t="str">
        <f>IF(Table1[[#This Row],[Profit %]]&gt;20,"Excellent",IF(H644&gt;10.1,"Good","Low"))</f>
        <v>Excellent</v>
      </c>
    </row>
    <row r="645" spans="1:9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 s="2">
        <v>8496</v>
      </c>
      <c r="G645">
        <v>1721.6</v>
      </c>
      <c r="H645" s="2">
        <f>Table1[[#This Row],[Profit]]/Table1[[#This Row],[Sales]]*100</f>
        <v>20.263653483992467</v>
      </c>
      <c r="I645" t="str">
        <f>IF(Table1[[#This Row],[Profit %]]&gt;20,"Excellent",IF(H645&gt;10.1,"Good","Low"))</f>
        <v>Excellent</v>
      </c>
    </row>
    <row r="646" spans="1:9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 s="2">
        <v>7826</v>
      </c>
      <c r="G646">
        <v>714.68</v>
      </c>
      <c r="H646" s="2">
        <f>Table1[[#This Row],[Profit]]/Table1[[#This Row],[Sales]]*100</f>
        <v>9.1321236902632243</v>
      </c>
      <c r="I646" t="str">
        <f>IF(Table1[[#This Row],[Profit %]]&gt;20,"Excellent",IF(H646&gt;10.1,"Good","Low"))</f>
        <v>Low</v>
      </c>
    </row>
    <row r="647" spans="1:9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 s="2">
        <v>4014</v>
      </c>
      <c r="G647">
        <v>717.44</v>
      </c>
      <c r="H647" s="2">
        <f>Table1[[#This Row],[Profit]]/Table1[[#This Row],[Sales]]*100</f>
        <v>17.873442949676136</v>
      </c>
      <c r="I647" t="str">
        <f>IF(Table1[[#This Row],[Profit %]]&gt;20,"Excellent",IF(H647&gt;10.1,"Good","Low"))</f>
        <v>Good</v>
      </c>
    </row>
    <row r="648" spans="1:9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 s="2">
        <v>687</v>
      </c>
      <c r="G648">
        <v>62.82</v>
      </c>
      <c r="H648" s="2">
        <f>Table1[[#This Row],[Profit]]/Table1[[#This Row],[Sales]]*100</f>
        <v>9.14410480349345</v>
      </c>
      <c r="I648" t="str">
        <f>IF(Table1[[#This Row],[Profit %]]&gt;20,"Excellent",IF(H648&gt;10.1,"Good","Low"))</f>
        <v>Low</v>
      </c>
    </row>
    <row r="649" spans="1:9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 s="2">
        <v>2943</v>
      </c>
      <c r="G649">
        <v>234.27</v>
      </c>
      <c r="H649" s="2">
        <f>Table1[[#This Row],[Profit]]/Table1[[#This Row],[Sales]]*100</f>
        <v>7.9602446483180431</v>
      </c>
      <c r="I649" t="str">
        <f>IF(Table1[[#This Row],[Profit %]]&gt;20,"Excellent",IF(H649&gt;10.1,"Good","Low"))</f>
        <v>Low</v>
      </c>
    </row>
    <row r="650" spans="1:9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 s="2">
        <v>5649</v>
      </c>
      <c r="G650">
        <v>660.37</v>
      </c>
      <c r="H650" s="2">
        <f>Table1[[#This Row],[Profit]]/Table1[[#This Row],[Sales]]*100</f>
        <v>11.690033634271552</v>
      </c>
      <c r="I650" t="str">
        <f>IF(Table1[[#This Row],[Profit %]]&gt;20,"Excellent",IF(H650&gt;10.1,"Good","Low"))</f>
        <v>Good</v>
      </c>
    </row>
    <row r="651" spans="1:9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 s="2">
        <v>3296</v>
      </c>
      <c r="G651">
        <v>623.66999999999996</v>
      </c>
      <c r="H651" s="2">
        <f>Table1[[#This Row],[Profit]]/Table1[[#This Row],[Sales]]*100</f>
        <v>18.922026699029125</v>
      </c>
      <c r="I651" t="str">
        <f>IF(Table1[[#This Row],[Profit %]]&gt;20,"Excellent",IF(H651&gt;10.1,"Good","Low"))</f>
        <v>Good</v>
      </c>
    </row>
    <row r="652" spans="1:9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 s="2">
        <v>1137</v>
      </c>
      <c r="G652">
        <v>173.92</v>
      </c>
      <c r="H652" s="2">
        <f>Table1[[#This Row],[Profit]]/Table1[[#This Row],[Sales]]*100</f>
        <v>15.296394019349163</v>
      </c>
      <c r="I652" t="str">
        <f>IF(Table1[[#This Row],[Profit %]]&gt;20,"Excellent",IF(H652&gt;10.1,"Good","Low"))</f>
        <v>Good</v>
      </c>
    </row>
    <row r="653" spans="1:9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 s="2">
        <v>380</v>
      </c>
      <c r="G653">
        <v>101.7</v>
      </c>
      <c r="H653" s="2">
        <f>Table1[[#This Row],[Profit]]/Table1[[#This Row],[Sales]]*100</f>
        <v>26.763157894736842</v>
      </c>
      <c r="I653" t="str">
        <f>IF(Table1[[#This Row],[Profit %]]&gt;20,"Excellent",IF(H653&gt;10.1,"Good","Low"))</f>
        <v>Excellent</v>
      </c>
    </row>
    <row r="654" spans="1:9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 s="2">
        <v>4405</v>
      </c>
      <c r="G654">
        <v>1247.8599999999999</v>
      </c>
      <c r="H654" s="2">
        <f>Table1[[#This Row],[Profit]]/Table1[[#This Row],[Sales]]*100</f>
        <v>28.328263337116908</v>
      </c>
      <c r="I654" t="str">
        <f>IF(Table1[[#This Row],[Profit %]]&gt;20,"Excellent",IF(H654&gt;10.1,"Good","Low"))</f>
        <v>Excellent</v>
      </c>
    </row>
    <row r="655" spans="1:9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 s="2">
        <v>120</v>
      </c>
      <c r="G655">
        <v>9.43</v>
      </c>
      <c r="H655" s="2">
        <f>Table1[[#This Row],[Profit]]/Table1[[#This Row],[Sales]]*100</f>
        <v>7.8583333333333325</v>
      </c>
      <c r="I655" t="str">
        <f>IF(Table1[[#This Row],[Profit %]]&gt;20,"Excellent",IF(H655&gt;10.1,"Good","Low"))</f>
        <v>Low</v>
      </c>
    </row>
    <row r="656" spans="1:9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 s="2">
        <v>1176</v>
      </c>
      <c r="G656">
        <v>182.07</v>
      </c>
      <c r="H656" s="2">
        <f>Table1[[#This Row],[Profit]]/Table1[[#This Row],[Sales]]*100</f>
        <v>15.482142857142856</v>
      </c>
      <c r="I656" t="str">
        <f>IF(Table1[[#This Row],[Profit %]]&gt;20,"Excellent",IF(H656&gt;10.1,"Good","Low"))</f>
        <v>Good</v>
      </c>
    </row>
    <row r="657" spans="1:9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 s="2">
        <v>1770</v>
      </c>
      <c r="G657">
        <v>366.58</v>
      </c>
      <c r="H657" s="2">
        <f>Table1[[#This Row],[Profit]]/Table1[[#This Row],[Sales]]*100</f>
        <v>20.710734463276836</v>
      </c>
      <c r="I657" t="str">
        <f>IF(Table1[[#This Row],[Profit %]]&gt;20,"Excellent",IF(H657&gt;10.1,"Good","Low"))</f>
        <v>Excellent</v>
      </c>
    </row>
    <row r="658" spans="1:9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 s="2">
        <v>4302</v>
      </c>
      <c r="G658">
        <v>965.02</v>
      </c>
      <c r="H658" s="2">
        <f>Table1[[#This Row],[Profit]]/Table1[[#This Row],[Sales]]*100</f>
        <v>22.431892143189213</v>
      </c>
      <c r="I658" t="str">
        <f>IF(Table1[[#This Row],[Profit %]]&gt;20,"Excellent",IF(H658&gt;10.1,"Good","Low"))</f>
        <v>Excellent</v>
      </c>
    </row>
    <row r="659" spans="1:9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 s="2">
        <v>2988</v>
      </c>
      <c r="G659">
        <v>362.68</v>
      </c>
      <c r="H659" s="2">
        <f>Table1[[#This Row],[Profit]]/Table1[[#This Row],[Sales]]*100</f>
        <v>12.137884872824632</v>
      </c>
      <c r="I659" t="str">
        <f>IF(Table1[[#This Row],[Profit %]]&gt;20,"Excellent",IF(H659&gt;10.1,"Good","Low"))</f>
        <v>Good</v>
      </c>
    </row>
    <row r="660" spans="1:9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 s="2">
        <v>3033</v>
      </c>
      <c r="G660">
        <v>458.41</v>
      </c>
      <c r="H660" s="2">
        <f>Table1[[#This Row],[Profit]]/Table1[[#This Row],[Sales]]*100</f>
        <v>15.114078470161557</v>
      </c>
      <c r="I660" t="str">
        <f>IF(Table1[[#This Row],[Profit %]]&gt;20,"Excellent",IF(H660&gt;10.1,"Good","Low"))</f>
        <v>Good</v>
      </c>
    </row>
    <row r="661" spans="1:9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 s="2">
        <v>6363</v>
      </c>
      <c r="G661">
        <v>1752.65</v>
      </c>
      <c r="H661" s="2">
        <f>Table1[[#This Row],[Profit]]/Table1[[#This Row],[Sales]]*100</f>
        <v>27.544397296872546</v>
      </c>
      <c r="I661" t="str">
        <f>IF(Table1[[#This Row],[Profit %]]&gt;20,"Excellent",IF(H661&gt;10.1,"Good","Low"))</f>
        <v>Excellent</v>
      </c>
    </row>
    <row r="662" spans="1:9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 s="2">
        <v>3402</v>
      </c>
      <c r="G662">
        <v>501.29</v>
      </c>
      <c r="H662" s="2">
        <f>Table1[[#This Row],[Profit]]/Table1[[#This Row],[Sales]]*100</f>
        <v>14.735155790711346</v>
      </c>
      <c r="I662" t="str">
        <f>IF(Table1[[#This Row],[Profit %]]&gt;20,"Excellent",IF(H662&gt;10.1,"Good","Low"))</f>
        <v>Good</v>
      </c>
    </row>
    <row r="663" spans="1:9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 s="2">
        <v>3496</v>
      </c>
      <c r="G663">
        <v>1032.81</v>
      </c>
      <c r="H663" s="2">
        <f>Table1[[#This Row],[Profit]]/Table1[[#This Row],[Sales]]*100</f>
        <v>29.542620137299767</v>
      </c>
      <c r="I663" t="str">
        <f>IF(Table1[[#This Row],[Profit %]]&gt;20,"Excellent",IF(H663&gt;10.1,"Good","Low"))</f>
        <v>Excellent</v>
      </c>
    </row>
    <row r="664" spans="1:9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 s="2">
        <v>1080</v>
      </c>
      <c r="G664">
        <v>204.95</v>
      </c>
      <c r="H664" s="2">
        <f>Table1[[#This Row],[Profit]]/Table1[[#This Row],[Sales]]*100</f>
        <v>18.976851851851851</v>
      </c>
      <c r="I664" t="str">
        <f>IF(Table1[[#This Row],[Profit %]]&gt;20,"Excellent",IF(H664&gt;10.1,"Good","Low"))</f>
        <v>Good</v>
      </c>
    </row>
    <row r="665" spans="1:9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 s="2">
        <v>1530</v>
      </c>
      <c r="G665">
        <v>218.99</v>
      </c>
      <c r="H665" s="2">
        <f>Table1[[#This Row],[Profit]]/Table1[[#This Row],[Sales]]*100</f>
        <v>14.313071895424837</v>
      </c>
      <c r="I665" t="str">
        <f>IF(Table1[[#This Row],[Profit %]]&gt;20,"Excellent",IF(H665&gt;10.1,"Good","Low"))</f>
        <v>Good</v>
      </c>
    </row>
    <row r="666" spans="1:9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 s="2">
        <v>3568</v>
      </c>
      <c r="G666">
        <v>764.2</v>
      </c>
      <c r="H666" s="2">
        <f>Table1[[#This Row],[Profit]]/Table1[[#This Row],[Sales]]*100</f>
        <v>21.418161434977577</v>
      </c>
      <c r="I666" t="str">
        <f>IF(Table1[[#This Row],[Profit %]]&gt;20,"Excellent",IF(H666&gt;10.1,"Good","Low"))</f>
        <v>Excellent</v>
      </c>
    </row>
    <row r="667" spans="1:9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 s="2">
        <v>954</v>
      </c>
      <c r="G667">
        <v>48.97</v>
      </c>
      <c r="H667" s="2">
        <f>Table1[[#This Row],[Profit]]/Table1[[#This Row],[Sales]]*100</f>
        <v>5.133123689727463</v>
      </c>
      <c r="I667" t="str">
        <f>IF(Table1[[#This Row],[Profit %]]&gt;20,"Excellent",IF(H667&gt;10.1,"Good","Low"))</f>
        <v>Low</v>
      </c>
    </row>
    <row r="668" spans="1:9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 s="2">
        <v>1196</v>
      </c>
      <c r="G668">
        <v>223.66</v>
      </c>
      <c r="H668" s="2">
        <f>Table1[[#This Row],[Profit]]/Table1[[#This Row],[Sales]]*100</f>
        <v>18.700668896321069</v>
      </c>
      <c r="I668" t="str">
        <f>IF(Table1[[#This Row],[Profit %]]&gt;20,"Excellent",IF(H668&gt;10.1,"Good","Low"))</f>
        <v>Good</v>
      </c>
    </row>
    <row r="669" spans="1:9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 s="2">
        <v>2136</v>
      </c>
      <c r="G669">
        <v>217.47</v>
      </c>
      <c r="H669" s="2">
        <f>Table1[[#This Row],[Profit]]/Table1[[#This Row],[Sales]]*100</f>
        <v>10.181179775280899</v>
      </c>
      <c r="I669" t="str">
        <f>IF(Table1[[#This Row],[Profit %]]&gt;20,"Excellent",IF(H669&gt;10.1,"Good","Low"))</f>
        <v>Good</v>
      </c>
    </row>
    <row r="670" spans="1:9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 s="2">
        <v>8496</v>
      </c>
      <c r="G670">
        <v>2316.0300000000002</v>
      </c>
      <c r="H670" s="2">
        <f>Table1[[#This Row],[Profit]]/Table1[[#This Row],[Sales]]*100</f>
        <v>27.260240112994357</v>
      </c>
      <c r="I670" t="str">
        <f>IF(Table1[[#This Row],[Profit %]]&gt;20,"Excellent",IF(H670&gt;10.1,"Good","Low"))</f>
        <v>Excellent</v>
      </c>
    </row>
    <row r="671" spans="1:9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 s="2">
        <v>7280</v>
      </c>
      <c r="G671">
        <v>1450.82</v>
      </c>
      <c r="H671" s="2">
        <f>Table1[[#This Row],[Profit]]/Table1[[#This Row],[Sales]]*100</f>
        <v>19.928846153846152</v>
      </c>
      <c r="I671" t="str">
        <f>IF(Table1[[#This Row],[Profit %]]&gt;20,"Excellent",IF(H671&gt;10.1,"Good","Low"))</f>
        <v>Good</v>
      </c>
    </row>
    <row r="672" spans="1:9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 s="2">
        <v>4935</v>
      </c>
      <c r="G672">
        <v>625.39</v>
      </c>
      <c r="H672" s="2">
        <f>Table1[[#This Row],[Profit]]/Table1[[#This Row],[Sales]]*100</f>
        <v>12.672543059777103</v>
      </c>
      <c r="I672" t="str">
        <f>IF(Table1[[#This Row],[Profit %]]&gt;20,"Excellent",IF(H672&gt;10.1,"Good","Low"))</f>
        <v>Good</v>
      </c>
    </row>
    <row r="673" spans="1:9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 s="2">
        <v>9056</v>
      </c>
      <c r="G673">
        <v>872.48</v>
      </c>
      <c r="H673" s="2">
        <f>Table1[[#This Row],[Profit]]/Table1[[#This Row],[Sales]]*100</f>
        <v>9.6342756183745593</v>
      </c>
      <c r="I673" t="str">
        <f>IF(Table1[[#This Row],[Profit %]]&gt;20,"Excellent",IF(H673&gt;10.1,"Good","Low"))</f>
        <v>Low</v>
      </c>
    </row>
    <row r="674" spans="1:9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 s="2">
        <v>563</v>
      </c>
      <c r="G674">
        <v>46.96</v>
      </c>
      <c r="H674" s="2">
        <f>Table1[[#This Row],[Profit]]/Table1[[#This Row],[Sales]]*100</f>
        <v>8.3410301953818831</v>
      </c>
      <c r="I674" t="str">
        <f>IF(Table1[[#This Row],[Profit %]]&gt;20,"Excellent",IF(H674&gt;10.1,"Good","Low"))</f>
        <v>Low</v>
      </c>
    </row>
    <row r="675" spans="1:9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 s="2">
        <v>1570</v>
      </c>
      <c r="G675">
        <v>247.7</v>
      </c>
      <c r="H675" s="2">
        <f>Table1[[#This Row],[Profit]]/Table1[[#This Row],[Sales]]*100</f>
        <v>15.777070063694268</v>
      </c>
      <c r="I675" t="str">
        <f>IF(Table1[[#This Row],[Profit %]]&gt;20,"Excellent",IF(H675&gt;10.1,"Good","Low"))</f>
        <v>Good</v>
      </c>
    </row>
    <row r="676" spans="1:9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 s="2">
        <v>2181</v>
      </c>
      <c r="G676">
        <v>517.02</v>
      </c>
      <c r="H676" s="2">
        <f>Table1[[#This Row],[Profit]]/Table1[[#This Row],[Sales]]*100</f>
        <v>23.705639614855571</v>
      </c>
      <c r="I676" t="str">
        <f>IF(Table1[[#This Row],[Profit %]]&gt;20,"Excellent",IF(H676&gt;10.1,"Good","Low"))</f>
        <v>Excellent</v>
      </c>
    </row>
    <row r="677" spans="1:9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 s="2">
        <v>3808</v>
      </c>
      <c r="G677">
        <v>442.33</v>
      </c>
      <c r="H677" s="2">
        <f>Table1[[#This Row],[Profit]]/Table1[[#This Row],[Sales]]*100</f>
        <v>11.615808823529411</v>
      </c>
      <c r="I677" t="str">
        <f>IF(Table1[[#This Row],[Profit %]]&gt;20,"Excellent",IF(H677&gt;10.1,"Good","Low"))</f>
        <v>Good</v>
      </c>
    </row>
    <row r="678" spans="1:9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 s="2">
        <v>6552</v>
      </c>
      <c r="G678">
        <v>635.09</v>
      </c>
      <c r="H678" s="2">
        <f>Table1[[#This Row],[Profit]]/Table1[[#This Row],[Sales]]*100</f>
        <v>9.6930708180708187</v>
      </c>
      <c r="I678" t="str">
        <f>IF(Table1[[#This Row],[Profit %]]&gt;20,"Excellent",IF(H678&gt;10.1,"Good","Low"))</f>
        <v>Low</v>
      </c>
    </row>
    <row r="679" spans="1:9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 s="2">
        <v>6544</v>
      </c>
      <c r="G679">
        <v>1086.29</v>
      </c>
      <c r="H679" s="2">
        <f>Table1[[#This Row],[Profit]]/Table1[[#This Row],[Sales]]*100</f>
        <v>16.599786063569681</v>
      </c>
      <c r="I679" t="str">
        <f>IF(Table1[[#This Row],[Profit %]]&gt;20,"Excellent",IF(H679&gt;10.1,"Good","Low"))</f>
        <v>Good</v>
      </c>
    </row>
    <row r="680" spans="1:9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 s="2">
        <v>2631</v>
      </c>
      <c r="G680">
        <v>157.19</v>
      </c>
      <c r="H680" s="2">
        <f>Table1[[#This Row],[Profit]]/Table1[[#This Row],[Sales]]*100</f>
        <v>5.9745343975674645</v>
      </c>
      <c r="I680" t="str">
        <f>IF(Table1[[#This Row],[Profit %]]&gt;20,"Excellent",IF(H680&gt;10.1,"Good","Low"))</f>
        <v>Low</v>
      </c>
    </row>
    <row r="681" spans="1:9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 s="2">
        <v>945</v>
      </c>
      <c r="G681">
        <v>94.75</v>
      </c>
      <c r="H681" s="2">
        <f>Table1[[#This Row],[Profit]]/Table1[[#This Row],[Sales]]*100</f>
        <v>10.026455026455027</v>
      </c>
      <c r="I681" t="str">
        <f>IF(Table1[[#This Row],[Profit %]]&gt;20,"Excellent",IF(H681&gt;10.1,"Good","Low"))</f>
        <v>Low</v>
      </c>
    </row>
    <row r="682" spans="1:9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 s="2">
        <v>760</v>
      </c>
      <c r="G682">
        <v>192.42</v>
      </c>
      <c r="H682" s="2">
        <f>Table1[[#This Row],[Profit]]/Table1[[#This Row],[Sales]]*100</f>
        <v>25.318421052631578</v>
      </c>
      <c r="I682" t="str">
        <f>IF(Table1[[#This Row],[Profit %]]&gt;20,"Excellent",IF(H682&gt;10.1,"Good","Low"))</f>
        <v>Excellent</v>
      </c>
    </row>
    <row r="683" spans="1:9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 s="2">
        <v>1392</v>
      </c>
      <c r="G683">
        <v>394.48</v>
      </c>
      <c r="H683" s="2">
        <f>Table1[[#This Row],[Profit]]/Table1[[#This Row],[Sales]]*100</f>
        <v>28.339080459770116</v>
      </c>
      <c r="I683" t="str">
        <f>IF(Table1[[#This Row],[Profit %]]&gt;20,"Excellent",IF(H683&gt;10.1,"Good","Low"))</f>
        <v>Excellent</v>
      </c>
    </row>
    <row r="684" spans="1:9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 s="2">
        <v>1242</v>
      </c>
      <c r="G684">
        <v>206.74</v>
      </c>
      <c r="H684" s="2">
        <f>Table1[[#This Row],[Profit]]/Table1[[#This Row],[Sales]]*100</f>
        <v>16.645732689210952</v>
      </c>
      <c r="I684" t="str">
        <f>IF(Table1[[#This Row],[Profit %]]&gt;20,"Excellent",IF(H684&gt;10.1,"Good","Low"))</f>
        <v>Good</v>
      </c>
    </row>
    <row r="685" spans="1:9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 s="2">
        <v>3183</v>
      </c>
      <c r="G685">
        <v>868.73</v>
      </c>
      <c r="H685" s="2">
        <f>Table1[[#This Row],[Profit]]/Table1[[#This Row],[Sales]]*100</f>
        <v>27.292805529374803</v>
      </c>
      <c r="I685" t="str">
        <f>IF(Table1[[#This Row],[Profit %]]&gt;20,"Excellent",IF(H685&gt;10.1,"Good","Low"))</f>
        <v>Excellent</v>
      </c>
    </row>
    <row r="686" spans="1:9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 s="2">
        <v>4260</v>
      </c>
      <c r="G686">
        <v>229.77</v>
      </c>
      <c r="H686" s="2">
        <f>Table1[[#This Row],[Profit]]/Table1[[#This Row],[Sales]]*100</f>
        <v>5.3936619718309862</v>
      </c>
      <c r="I686" t="str">
        <f>IF(Table1[[#This Row],[Profit %]]&gt;20,"Excellent",IF(H686&gt;10.1,"Good","Low"))</f>
        <v>Low</v>
      </c>
    </row>
    <row r="687" spans="1:9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 s="2">
        <v>1041</v>
      </c>
      <c r="G687">
        <v>132.46</v>
      </c>
      <c r="H687" s="2">
        <f>Table1[[#This Row],[Profit]]/Table1[[#This Row],[Sales]]*100</f>
        <v>12.724303554274737</v>
      </c>
      <c r="I687" t="str">
        <f>IF(Table1[[#This Row],[Profit %]]&gt;20,"Excellent",IF(H687&gt;10.1,"Good","Low"))</f>
        <v>Good</v>
      </c>
    </row>
    <row r="688" spans="1:9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 s="2">
        <v>1692</v>
      </c>
      <c r="G688">
        <v>348.81</v>
      </c>
      <c r="H688" s="2">
        <f>Table1[[#This Row],[Profit]]/Table1[[#This Row],[Sales]]*100</f>
        <v>20.615248226950357</v>
      </c>
      <c r="I688" t="str">
        <f>IF(Table1[[#This Row],[Profit %]]&gt;20,"Excellent",IF(H688&gt;10.1,"Good","Low"))</f>
        <v>Excellent</v>
      </c>
    </row>
    <row r="689" spans="1:9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 s="2">
        <v>1728</v>
      </c>
      <c r="G689">
        <v>403.06</v>
      </c>
      <c r="H689" s="2">
        <f>Table1[[#This Row],[Profit]]/Table1[[#This Row],[Sales]]*100</f>
        <v>23.325231481481481</v>
      </c>
      <c r="I689" t="str">
        <f>IF(Table1[[#This Row],[Profit %]]&gt;20,"Excellent",IF(H689&gt;10.1,"Good","Low"))</f>
        <v>Excellent</v>
      </c>
    </row>
    <row r="690" spans="1:9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 s="2">
        <v>4484</v>
      </c>
      <c r="G690">
        <v>893.27</v>
      </c>
      <c r="H690" s="2">
        <f>Table1[[#This Row],[Profit]]/Table1[[#This Row],[Sales]]*100</f>
        <v>19.921275646743979</v>
      </c>
      <c r="I690" t="str">
        <f>IF(Table1[[#This Row],[Profit %]]&gt;20,"Excellent",IF(H690&gt;10.1,"Good","Low"))</f>
        <v>Good</v>
      </c>
    </row>
    <row r="691" spans="1:9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 s="2">
        <v>4123</v>
      </c>
      <c r="G691">
        <v>750.05</v>
      </c>
      <c r="H691" s="2">
        <f>Table1[[#This Row],[Profit]]/Table1[[#This Row],[Sales]]*100</f>
        <v>18.191850594227503</v>
      </c>
      <c r="I691" t="str">
        <f>IF(Table1[[#This Row],[Profit %]]&gt;20,"Excellent",IF(H691&gt;10.1,"Good","Low"))</f>
        <v>Good</v>
      </c>
    </row>
    <row r="692" spans="1:9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 s="2">
        <v>2372</v>
      </c>
      <c r="G692">
        <v>392.07</v>
      </c>
      <c r="H692" s="2">
        <f>Table1[[#This Row],[Profit]]/Table1[[#This Row],[Sales]]*100</f>
        <v>16.529089376053964</v>
      </c>
      <c r="I692" t="str">
        <f>IF(Table1[[#This Row],[Profit %]]&gt;20,"Excellent",IF(H692&gt;10.1,"Good","Low"))</f>
        <v>Good</v>
      </c>
    </row>
    <row r="693" spans="1:9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 s="2">
        <v>5201</v>
      </c>
      <c r="G693">
        <v>745.2</v>
      </c>
      <c r="H693" s="2">
        <f>Table1[[#This Row],[Profit]]/Table1[[#This Row],[Sales]]*100</f>
        <v>14.328013843491638</v>
      </c>
      <c r="I693" t="str">
        <f>IF(Table1[[#This Row],[Profit %]]&gt;20,"Excellent",IF(H693&gt;10.1,"Good","Low"))</f>
        <v>Good</v>
      </c>
    </row>
    <row r="694" spans="1:9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 s="2">
        <v>3100</v>
      </c>
      <c r="G694">
        <v>695.28</v>
      </c>
      <c r="H694" s="2">
        <f>Table1[[#This Row],[Profit]]/Table1[[#This Row],[Sales]]*100</f>
        <v>22.428387096774195</v>
      </c>
      <c r="I694" t="str">
        <f>IF(Table1[[#This Row],[Profit %]]&gt;20,"Excellent",IF(H694&gt;10.1,"Good","Low"))</f>
        <v>Excellent</v>
      </c>
    </row>
    <row r="695" spans="1:9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 s="2">
        <v>5292</v>
      </c>
      <c r="G695">
        <v>1105.95</v>
      </c>
      <c r="H695" s="2">
        <f>Table1[[#This Row],[Profit]]/Table1[[#This Row],[Sales]]*100</f>
        <v>20.898526077097507</v>
      </c>
      <c r="I695" t="str">
        <f>IF(Table1[[#This Row],[Profit %]]&gt;20,"Excellent",IF(H695&gt;10.1,"Good","Low"))</f>
        <v>Excellent</v>
      </c>
    </row>
    <row r="696" spans="1:9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 s="2">
        <v>5952</v>
      </c>
      <c r="G696">
        <v>971.53</v>
      </c>
      <c r="H696" s="2">
        <f>Table1[[#This Row],[Profit]]/Table1[[#This Row],[Sales]]*100</f>
        <v>16.322748655913976</v>
      </c>
      <c r="I696" t="str">
        <f>IF(Table1[[#This Row],[Profit %]]&gt;20,"Excellent",IF(H696&gt;10.1,"Good","Low"))</f>
        <v>Good</v>
      </c>
    </row>
    <row r="697" spans="1:9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 s="2">
        <v>1932</v>
      </c>
      <c r="G697">
        <v>472.91</v>
      </c>
      <c r="H697" s="2">
        <f>Table1[[#This Row],[Profit]]/Table1[[#This Row],[Sales]]*100</f>
        <v>24.477743271221534</v>
      </c>
      <c r="I697" t="str">
        <f>IF(Table1[[#This Row],[Profit %]]&gt;20,"Excellent",IF(H697&gt;10.1,"Good","Low"))</f>
        <v>Excellent</v>
      </c>
    </row>
    <row r="698" spans="1:9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 s="2">
        <v>3486</v>
      </c>
      <c r="G698">
        <v>1011.74</v>
      </c>
      <c r="H698" s="2">
        <f>Table1[[#This Row],[Profit]]/Table1[[#This Row],[Sales]]*100</f>
        <v>29.022948938611588</v>
      </c>
      <c r="I698" t="str">
        <f>IF(Table1[[#This Row],[Profit %]]&gt;20,"Excellent",IF(H698&gt;10.1,"Good","Low"))</f>
        <v>Excellent</v>
      </c>
    </row>
    <row r="699" spans="1:9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 s="2">
        <v>1708</v>
      </c>
      <c r="G699">
        <v>441.43</v>
      </c>
      <c r="H699" s="2">
        <f>Table1[[#This Row],[Profit]]/Table1[[#This Row],[Sales]]*100</f>
        <v>25.844847775175644</v>
      </c>
      <c r="I699" t="str">
        <f>IF(Table1[[#This Row],[Profit %]]&gt;20,"Excellent",IF(H699&gt;10.1,"Good","Low"))</f>
        <v>Excellent</v>
      </c>
    </row>
    <row r="700" spans="1:9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 s="2">
        <v>4324</v>
      </c>
      <c r="G700">
        <v>288.12</v>
      </c>
      <c r="H700" s="2">
        <f>Table1[[#This Row],[Profit]]/Table1[[#This Row],[Sales]]*100</f>
        <v>6.6632747456059214</v>
      </c>
      <c r="I700" t="str">
        <f>IF(Table1[[#This Row],[Profit %]]&gt;20,"Excellent",IF(H700&gt;10.1,"Good","Low"))</f>
        <v>Low</v>
      </c>
    </row>
    <row r="701" spans="1:9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 s="2">
        <v>2708</v>
      </c>
      <c r="G701">
        <v>302.14</v>
      </c>
      <c r="H701" s="2">
        <f>Table1[[#This Row],[Profit]]/Table1[[#This Row],[Sales]]*100</f>
        <v>11.157311669128507</v>
      </c>
      <c r="I701" t="str">
        <f>IF(Table1[[#This Row],[Profit %]]&gt;20,"Excellent",IF(H701&gt;10.1,"Good","Low"))</f>
        <v>Good</v>
      </c>
    </row>
    <row r="702" spans="1:9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 s="2">
        <v>7944</v>
      </c>
      <c r="G702">
        <v>1142.83</v>
      </c>
      <c r="H702" s="2">
        <f>Table1[[#This Row],[Profit]]/Table1[[#This Row],[Sales]]*100</f>
        <v>14.386077542799597</v>
      </c>
      <c r="I702" t="str">
        <f>IF(Table1[[#This Row],[Profit %]]&gt;20,"Excellent",IF(H702&gt;10.1,"Good","Low"))</f>
        <v>Good</v>
      </c>
    </row>
    <row r="703" spans="1:9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 s="2">
        <v>684</v>
      </c>
      <c r="G703">
        <v>39.33</v>
      </c>
      <c r="H703" s="2">
        <f>Table1[[#This Row],[Profit]]/Table1[[#This Row],[Sales]]*100</f>
        <v>5.75</v>
      </c>
      <c r="I703" t="str">
        <f>IF(Table1[[#This Row],[Profit %]]&gt;20,"Excellent",IF(H703&gt;10.1,"Good","Low"))</f>
        <v>Low</v>
      </c>
    </row>
    <row r="704" spans="1:9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 s="2">
        <v>5904</v>
      </c>
      <c r="G704">
        <v>1440.45</v>
      </c>
      <c r="H704" s="2">
        <f>Table1[[#This Row],[Profit]]/Table1[[#This Row],[Sales]]*100</f>
        <v>24.397865853658537</v>
      </c>
      <c r="I704" t="str">
        <f>IF(Table1[[#This Row],[Profit %]]&gt;20,"Excellent",IF(H704&gt;10.1,"Good","Low"))</f>
        <v>Excellent</v>
      </c>
    </row>
    <row r="705" spans="1:9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 s="2">
        <v>4970</v>
      </c>
      <c r="G705">
        <v>1080.1199999999999</v>
      </c>
      <c r="H705" s="2">
        <f>Table1[[#This Row],[Profit]]/Table1[[#This Row],[Sales]]*100</f>
        <v>21.732796780684101</v>
      </c>
      <c r="I705" t="str">
        <f>IF(Table1[[#This Row],[Profit %]]&gt;20,"Excellent",IF(H705&gt;10.1,"Good","Low"))</f>
        <v>Excellent</v>
      </c>
    </row>
    <row r="706" spans="1:9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 s="2">
        <v>2288</v>
      </c>
      <c r="G706">
        <v>234.97</v>
      </c>
      <c r="H706" s="2">
        <f>Table1[[#This Row],[Profit]]/Table1[[#This Row],[Sales]]*100</f>
        <v>10.269667832167832</v>
      </c>
      <c r="I706" t="str">
        <f>IF(Table1[[#This Row],[Profit %]]&gt;20,"Excellent",IF(H706&gt;10.1,"Good","Low"))</f>
        <v>Good</v>
      </c>
    </row>
    <row r="707" spans="1:9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 s="2">
        <v>4662</v>
      </c>
      <c r="G707">
        <v>350.79</v>
      </c>
      <c r="H707" s="2">
        <f>Table1[[#This Row],[Profit]]/Table1[[#This Row],[Sales]]*100</f>
        <v>7.5244530244530248</v>
      </c>
      <c r="I707" t="str">
        <f>IF(Table1[[#This Row],[Profit %]]&gt;20,"Excellent",IF(H707&gt;10.1,"Good","Low"))</f>
        <v>Low</v>
      </c>
    </row>
    <row r="708" spans="1:9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 s="2">
        <v>2532</v>
      </c>
      <c r="G708">
        <v>404.96</v>
      </c>
      <c r="H708" s="2">
        <f>Table1[[#This Row],[Profit]]/Table1[[#This Row],[Sales]]*100</f>
        <v>15.993680884676145</v>
      </c>
      <c r="I708" t="str">
        <f>IF(Table1[[#This Row],[Profit %]]&gt;20,"Excellent",IF(H708&gt;10.1,"Good","Low"))</f>
        <v>Good</v>
      </c>
    </row>
    <row r="709" spans="1:9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 s="2">
        <v>9328</v>
      </c>
      <c r="G709">
        <v>1008.6</v>
      </c>
      <c r="H709" s="2">
        <f>Table1[[#This Row],[Profit]]/Table1[[#This Row],[Sales]]*100</f>
        <v>10.812607204116638</v>
      </c>
      <c r="I709" t="str">
        <f>IF(Table1[[#This Row],[Profit %]]&gt;20,"Excellent",IF(H709&gt;10.1,"Good","Low"))</f>
        <v>Good</v>
      </c>
    </row>
    <row r="710" spans="1:9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 s="2">
        <v>686</v>
      </c>
      <c r="G710">
        <v>86.18</v>
      </c>
      <c r="H710" s="2">
        <f>Table1[[#This Row],[Profit]]/Table1[[#This Row],[Sales]]*100</f>
        <v>12.562682215743443</v>
      </c>
      <c r="I710" t="str">
        <f>IF(Table1[[#This Row],[Profit %]]&gt;20,"Excellent",IF(H710&gt;10.1,"Good","Low"))</f>
        <v>Good</v>
      </c>
    </row>
    <row r="711" spans="1:9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 s="2">
        <v>1290</v>
      </c>
      <c r="G711">
        <v>343.35</v>
      </c>
      <c r="H711" s="2">
        <f>Table1[[#This Row],[Profit]]/Table1[[#This Row],[Sales]]*100</f>
        <v>26.616279069767444</v>
      </c>
      <c r="I711" t="str">
        <f>IF(Table1[[#This Row],[Profit %]]&gt;20,"Excellent",IF(H711&gt;10.1,"Good","Low"))</f>
        <v>Excellent</v>
      </c>
    </row>
    <row r="712" spans="1:9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 s="2">
        <v>1205</v>
      </c>
      <c r="G712">
        <v>235.19</v>
      </c>
      <c r="H712" s="2">
        <f>Table1[[#This Row],[Profit]]/Table1[[#This Row],[Sales]]*100</f>
        <v>19.51784232365145</v>
      </c>
      <c r="I712" t="str">
        <f>IF(Table1[[#This Row],[Profit %]]&gt;20,"Excellent",IF(H712&gt;10.1,"Good","Low"))</f>
        <v>Good</v>
      </c>
    </row>
    <row r="713" spans="1:9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 s="2">
        <v>7966</v>
      </c>
      <c r="G713">
        <v>1313.56</v>
      </c>
      <c r="H713" s="2">
        <f>Table1[[#This Row],[Profit]]/Table1[[#This Row],[Sales]]*100</f>
        <v>16.48958071805172</v>
      </c>
      <c r="I713" t="str">
        <f>IF(Table1[[#This Row],[Profit %]]&gt;20,"Excellent",IF(H713&gt;10.1,"Good","Low"))</f>
        <v>Good</v>
      </c>
    </row>
    <row r="714" spans="1:9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 s="2">
        <v>1085</v>
      </c>
      <c r="G714">
        <v>130.72</v>
      </c>
      <c r="H714" s="2">
        <f>Table1[[#This Row],[Profit]]/Table1[[#This Row],[Sales]]*100</f>
        <v>12.047926267281106</v>
      </c>
      <c r="I714" t="str">
        <f>IF(Table1[[#This Row],[Profit %]]&gt;20,"Excellent",IF(H714&gt;10.1,"Good","Low"))</f>
        <v>Good</v>
      </c>
    </row>
    <row r="715" spans="1:9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 s="2">
        <v>6633</v>
      </c>
      <c r="G715">
        <v>1239.1099999999999</v>
      </c>
      <c r="H715" s="2">
        <f>Table1[[#This Row],[Profit]]/Table1[[#This Row],[Sales]]*100</f>
        <v>18.680988994421828</v>
      </c>
      <c r="I715" t="str">
        <f>IF(Table1[[#This Row],[Profit %]]&gt;20,"Excellent",IF(H715&gt;10.1,"Good","Low"))</f>
        <v>Good</v>
      </c>
    </row>
    <row r="716" spans="1:9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 s="2">
        <v>5096</v>
      </c>
      <c r="G716">
        <v>971.5</v>
      </c>
      <c r="H716" s="2">
        <f>Table1[[#This Row],[Profit]]/Table1[[#This Row],[Sales]]*100</f>
        <v>19.063971742543171</v>
      </c>
      <c r="I716" t="str">
        <f>IF(Table1[[#This Row],[Profit %]]&gt;20,"Excellent",IF(H716&gt;10.1,"Good","Low"))</f>
        <v>Good</v>
      </c>
    </row>
    <row r="717" spans="1:9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 s="2">
        <v>4120</v>
      </c>
      <c r="G717">
        <v>710.07</v>
      </c>
      <c r="H717" s="2">
        <f>Table1[[#This Row],[Profit]]/Table1[[#This Row],[Sales]]*100</f>
        <v>17.234708737864079</v>
      </c>
      <c r="I717" t="str">
        <f>IF(Table1[[#This Row],[Profit %]]&gt;20,"Excellent",IF(H717&gt;10.1,"Good","Low"))</f>
        <v>Good</v>
      </c>
    </row>
    <row r="718" spans="1:9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 s="2">
        <v>1479</v>
      </c>
      <c r="G718">
        <v>207.58</v>
      </c>
      <c r="H718" s="2">
        <f>Table1[[#This Row],[Profit]]/Table1[[#This Row],[Sales]]*100</f>
        <v>14.035158891142666</v>
      </c>
      <c r="I718" t="str">
        <f>IF(Table1[[#This Row],[Profit %]]&gt;20,"Excellent",IF(H718&gt;10.1,"Good","Low"))</f>
        <v>Good</v>
      </c>
    </row>
    <row r="719" spans="1:9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 s="2">
        <v>1652</v>
      </c>
      <c r="G719">
        <v>397.49</v>
      </c>
      <c r="H719" s="2">
        <f>Table1[[#This Row],[Profit]]/Table1[[#This Row],[Sales]]*100</f>
        <v>24.061138014527845</v>
      </c>
      <c r="I719" t="str">
        <f>IF(Table1[[#This Row],[Profit %]]&gt;20,"Excellent",IF(H719&gt;10.1,"Good","Low"))</f>
        <v>Excellent</v>
      </c>
    </row>
    <row r="720" spans="1:9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 s="2">
        <v>1028</v>
      </c>
      <c r="G720">
        <v>240.61</v>
      </c>
      <c r="H720" s="2">
        <f>Table1[[#This Row],[Profit]]/Table1[[#This Row],[Sales]]*100</f>
        <v>23.405642023346303</v>
      </c>
      <c r="I720" t="str">
        <f>IF(Table1[[#This Row],[Profit %]]&gt;20,"Excellent",IF(H720&gt;10.1,"Good","Low"))</f>
        <v>Excellent</v>
      </c>
    </row>
    <row r="721" spans="1:9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 s="2">
        <v>4580</v>
      </c>
      <c r="G721">
        <v>655.14</v>
      </c>
      <c r="H721" s="2">
        <f>Table1[[#This Row],[Profit]]/Table1[[#This Row],[Sales]]*100</f>
        <v>14.304366812227073</v>
      </c>
      <c r="I721" t="str">
        <f>IF(Table1[[#This Row],[Profit %]]&gt;20,"Excellent",IF(H721&gt;10.1,"Good","Low"))</f>
        <v>Good</v>
      </c>
    </row>
    <row r="722" spans="1:9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 s="2">
        <v>2152</v>
      </c>
      <c r="G722">
        <v>196.53</v>
      </c>
      <c r="H722" s="2">
        <f>Table1[[#This Row],[Profit]]/Table1[[#This Row],[Sales]]*100</f>
        <v>9.132434944237918</v>
      </c>
      <c r="I722" t="str">
        <f>IF(Table1[[#This Row],[Profit %]]&gt;20,"Excellent",IF(H722&gt;10.1,"Good","Low"))</f>
        <v>Low</v>
      </c>
    </row>
    <row r="723" spans="1:9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 s="2">
        <v>4566</v>
      </c>
      <c r="G723">
        <v>866.13</v>
      </c>
      <c r="H723" s="2">
        <f>Table1[[#This Row],[Profit]]/Table1[[#This Row],[Sales]]*100</f>
        <v>18.969119579500656</v>
      </c>
      <c r="I723" t="str">
        <f>IF(Table1[[#This Row],[Profit %]]&gt;20,"Excellent",IF(H723&gt;10.1,"Good","Low"))</f>
        <v>Good</v>
      </c>
    </row>
    <row r="724" spans="1:9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 s="2">
        <v>2244</v>
      </c>
      <c r="G724">
        <v>301.52999999999997</v>
      </c>
      <c r="H724" s="2">
        <f>Table1[[#This Row],[Profit]]/Table1[[#This Row],[Sales]]*100</f>
        <v>13.43716577540107</v>
      </c>
      <c r="I724" t="str">
        <f>IF(Table1[[#This Row],[Profit %]]&gt;20,"Excellent",IF(H724&gt;10.1,"Good","Low"))</f>
        <v>Good</v>
      </c>
    </row>
    <row r="725" spans="1:9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 s="2">
        <v>1344</v>
      </c>
      <c r="G725">
        <v>140.52000000000001</v>
      </c>
      <c r="H725" s="2">
        <f>Table1[[#This Row],[Profit]]/Table1[[#This Row],[Sales]]*100</f>
        <v>10.455357142857144</v>
      </c>
      <c r="I725" t="str">
        <f>IF(Table1[[#This Row],[Profit %]]&gt;20,"Excellent",IF(H725&gt;10.1,"Good","Low"))</f>
        <v>Good</v>
      </c>
    </row>
    <row r="726" spans="1:9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 s="2">
        <v>2622</v>
      </c>
      <c r="G726">
        <v>131.53</v>
      </c>
      <c r="H726" s="2">
        <f>Table1[[#This Row],[Profit]]/Table1[[#This Row],[Sales]]*100</f>
        <v>5.0163996948893974</v>
      </c>
      <c r="I726" t="str">
        <f>IF(Table1[[#This Row],[Profit %]]&gt;20,"Excellent",IF(H726&gt;10.1,"Good","Low"))</f>
        <v>Low</v>
      </c>
    </row>
    <row r="727" spans="1:9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 s="2">
        <v>325</v>
      </c>
      <c r="G727">
        <v>46.84</v>
      </c>
      <c r="H727" s="2">
        <f>Table1[[#This Row],[Profit]]/Table1[[#This Row],[Sales]]*100</f>
        <v>14.412307692307694</v>
      </c>
      <c r="I727" t="str">
        <f>IF(Table1[[#This Row],[Profit %]]&gt;20,"Excellent",IF(H727&gt;10.1,"Good","Low"))</f>
        <v>Good</v>
      </c>
    </row>
    <row r="728" spans="1:9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 s="2">
        <v>960</v>
      </c>
      <c r="G728">
        <v>95.88</v>
      </c>
      <c r="H728" s="2">
        <f>Table1[[#This Row],[Profit]]/Table1[[#This Row],[Sales]]*100</f>
        <v>9.9874999999999989</v>
      </c>
      <c r="I728" t="str">
        <f>IF(Table1[[#This Row],[Profit %]]&gt;20,"Excellent",IF(H728&gt;10.1,"Good","Low"))</f>
        <v>Low</v>
      </c>
    </row>
    <row r="729" spans="1:9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 s="2">
        <v>2639</v>
      </c>
      <c r="G729">
        <v>268.88</v>
      </c>
      <c r="H729" s="2">
        <f>Table1[[#This Row],[Profit]]/Table1[[#This Row],[Sales]]*100</f>
        <v>10.188707843880257</v>
      </c>
      <c r="I729" t="str">
        <f>IF(Table1[[#This Row],[Profit %]]&gt;20,"Excellent",IF(H729&gt;10.1,"Good","Low"))</f>
        <v>Good</v>
      </c>
    </row>
    <row r="730" spans="1:9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 s="2">
        <v>1025</v>
      </c>
      <c r="G730">
        <v>246.15</v>
      </c>
      <c r="H730" s="2">
        <f>Table1[[#This Row],[Profit]]/Table1[[#This Row],[Sales]]*100</f>
        <v>24.014634146341464</v>
      </c>
      <c r="I730" t="str">
        <f>IF(Table1[[#This Row],[Profit %]]&gt;20,"Excellent",IF(H730&gt;10.1,"Good","Low"))</f>
        <v>Excellent</v>
      </c>
    </row>
    <row r="731" spans="1:9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 s="2">
        <v>1924</v>
      </c>
      <c r="G731">
        <v>434.86</v>
      </c>
      <c r="H731" s="2">
        <f>Table1[[#This Row],[Profit]]/Table1[[#This Row],[Sales]]*100</f>
        <v>22.601871101871101</v>
      </c>
      <c r="I731" t="str">
        <f>IF(Table1[[#This Row],[Profit %]]&gt;20,"Excellent",IF(H731&gt;10.1,"Good","Low"))</f>
        <v>Excellent</v>
      </c>
    </row>
    <row r="732" spans="1:9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 s="2">
        <v>1660</v>
      </c>
      <c r="G732">
        <v>362.88</v>
      </c>
      <c r="H732" s="2">
        <f>Table1[[#This Row],[Profit]]/Table1[[#This Row],[Sales]]*100</f>
        <v>21.860240963855421</v>
      </c>
      <c r="I732" t="str">
        <f>IF(Table1[[#This Row],[Profit %]]&gt;20,"Excellent",IF(H732&gt;10.1,"Good","Low"))</f>
        <v>Excellent</v>
      </c>
    </row>
    <row r="733" spans="1:9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 s="2">
        <v>985</v>
      </c>
      <c r="G733">
        <v>105.09</v>
      </c>
      <c r="H733" s="2">
        <f>Table1[[#This Row],[Profit]]/Table1[[#This Row],[Sales]]*100</f>
        <v>10.669035532994924</v>
      </c>
      <c r="I733" t="str">
        <f>IF(Table1[[#This Row],[Profit %]]&gt;20,"Excellent",IF(H733&gt;10.1,"Good","Low"))</f>
        <v>Good</v>
      </c>
    </row>
    <row r="734" spans="1:9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 s="2">
        <v>2600</v>
      </c>
      <c r="G734">
        <v>537.11</v>
      </c>
      <c r="H734" s="2">
        <f>Table1[[#This Row],[Profit]]/Table1[[#This Row],[Sales]]*100</f>
        <v>20.658076923076923</v>
      </c>
      <c r="I734" t="str">
        <f>IF(Table1[[#This Row],[Profit %]]&gt;20,"Excellent",IF(H734&gt;10.1,"Good","Low"))</f>
        <v>Excellent</v>
      </c>
    </row>
    <row r="735" spans="1:9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 s="2">
        <v>2792</v>
      </c>
      <c r="G735">
        <v>725.35</v>
      </c>
      <c r="H735" s="2">
        <f>Table1[[#This Row],[Profit]]/Table1[[#This Row],[Sales]]*100</f>
        <v>25.979584527220634</v>
      </c>
      <c r="I735" t="str">
        <f>IF(Table1[[#This Row],[Profit %]]&gt;20,"Excellent",IF(H735&gt;10.1,"Good","Low"))</f>
        <v>Excellent</v>
      </c>
    </row>
    <row r="736" spans="1:9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 s="2">
        <v>378</v>
      </c>
      <c r="G736">
        <v>87.37</v>
      </c>
      <c r="H736" s="2">
        <f>Table1[[#This Row],[Profit]]/Table1[[#This Row],[Sales]]*100</f>
        <v>23.113756613756614</v>
      </c>
      <c r="I736" t="str">
        <f>IF(Table1[[#This Row],[Profit %]]&gt;20,"Excellent",IF(H736&gt;10.1,"Good","Low"))</f>
        <v>Excellent</v>
      </c>
    </row>
    <row r="737" spans="1:9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 s="2">
        <v>968</v>
      </c>
      <c r="G737">
        <v>271.61</v>
      </c>
      <c r="H737" s="2">
        <f>Table1[[#This Row],[Profit]]/Table1[[#This Row],[Sales]]*100</f>
        <v>28.058884297520663</v>
      </c>
      <c r="I737" t="str">
        <f>IF(Table1[[#This Row],[Profit %]]&gt;20,"Excellent",IF(H737&gt;10.1,"Good","Low"))</f>
        <v>Excellent</v>
      </c>
    </row>
    <row r="738" spans="1:9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 s="2">
        <v>564</v>
      </c>
      <c r="G738">
        <v>108.35</v>
      </c>
      <c r="H738" s="2">
        <f>Table1[[#This Row],[Profit]]/Table1[[#This Row],[Sales]]*100</f>
        <v>19.210992907801415</v>
      </c>
      <c r="I738" t="str">
        <f>IF(Table1[[#This Row],[Profit %]]&gt;20,"Excellent",IF(H738&gt;10.1,"Good","Low"))</f>
        <v>Good</v>
      </c>
    </row>
    <row r="739" spans="1:9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 s="2">
        <v>2365</v>
      </c>
      <c r="G739">
        <v>667.61</v>
      </c>
      <c r="H739" s="2">
        <f>Table1[[#This Row],[Profit]]/Table1[[#This Row],[Sales]]*100</f>
        <v>28.228752642706134</v>
      </c>
      <c r="I739" t="str">
        <f>IF(Table1[[#This Row],[Profit %]]&gt;20,"Excellent",IF(H739&gt;10.1,"Good","Low"))</f>
        <v>Excellent</v>
      </c>
    </row>
    <row r="740" spans="1:9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 s="2">
        <v>3252</v>
      </c>
      <c r="G740">
        <v>834.84</v>
      </c>
      <c r="H740" s="2">
        <f>Table1[[#This Row],[Profit]]/Table1[[#This Row],[Sales]]*100</f>
        <v>25.671586715867161</v>
      </c>
      <c r="I740" t="str">
        <f>IF(Table1[[#This Row],[Profit %]]&gt;20,"Excellent",IF(H740&gt;10.1,"Good","Low"))</f>
        <v>Excellent</v>
      </c>
    </row>
    <row r="741" spans="1:9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 s="2">
        <v>276</v>
      </c>
      <c r="G741">
        <v>42.68</v>
      </c>
      <c r="H741" s="2">
        <f>Table1[[#This Row],[Profit]]/Table1[[#This Row],[Sales]]*100</f>
        <v>15.463768115942027</v>
      </c>
      <c r="I741" t="str">
        <f>IF(Table1[[#This Row],[Profit %]]&gt;20,"Excellent",IF(H741&gt;10.1,"Good","Low"))</f>
        <v>Good</v>
      </c>
    </row>
    <row r="742" spans="1:9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 s="2">
        <v>3408</v>
      </c>
      <c r="G742">
        <v>205.76</v>
      </c>
      <c r="H742" s="2">
        <f>Table1[[#This Row],[Profit]]/Table1[[#This Row],[Sales]]*100</f>
        <v>6.037558685446009</v>
      </c>
      <c r="I742" t="str">
        <f>IF(Table1[[#This Row],[Profit %]]&gt;20,"Excellent",IF(H742&gt;10.1,"Good","Low"))</f>
        <v>Low</v>
      </c>
    </row>
    <row r="743" spans="1:9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 s="2">
        <v>1398</v>
      </c>
      <c r="G743">
        <v>180.88</v>
      </c>
      <c r="H743" s="2">
        <f>Table1[[#This Row],[Profit]]/Table1[[#This Row],[Sales]]*100</f>
        <v>12.938483547925609</v>
      </c>
      <c r="I743" t="str">
        <f>IF(Table1[[#This Row],[Profit %]]&gt;20,"Excellent",IF(H743&gt;10.1,"Good","Low"))</f>
        <v>Good</v>
      </c>
    </row>
    <row r="744" spans="1:9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 s="2">
        <v>904</v>
      </c>
      <c r="G744">
        <v>108.85</v>
      </c>
      <c r="H744" s="2">
        <f>Table1[[#This Row],[Profit]]/Table1[[#This Row],[Sales]]*100</f>
        <v>12.040929203539823</v>
      </c>
      <c r="I744" t="str">
        <f>IF(Table1[[#This Row],[Profit %]]&gt;20,"Excellent",IF(H744&gt;10.1,"Good","Low"))</f>
        <v>Good</v>
      </c>
    </row>
    <row r="745" spans="1:9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 s="2">
        <v>1178</v>
      </c>
      <c r="G745">
        <v>161.06</v>
      </c>
      <c r="H745" s="2">
        <f>Table1[[#This Row],[Profit]]/Table1[[#This Row],[Sales]]*100</f>
        <v>13.672325976230901</v>
      </c>
      <c r="I745" t="str">
        <f>IF(Table1[[#This Row],[Profit %]]&gt;20,"Excellent",IF(H745&gt;10.1,"Good","Low"))</f>
        <v>Good</v>
      </c>
    </row>
    <row r="746" spans="1:9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 s="2">
        <v>2535</v>
      </c>
      <c r="G746">
        <v>292.19</v>
      </c>
      <c r="H746" s="2">
        <f>Table1[[#This Row],[Profit]]/Table1[[#This Row],[Sales]]*100</f>
        <v>11.526232741617356</v>
      </c>
      <c r="I746" t="str">
        <f>IF(Table1[[#This Row],[Profit %]]&gt;20,"Excellent",IF(H746&gt;10.1,"Good","Low"))</f>
        <v>Good</v>
      </c>
    </row>
    <row r="747" spans="1:9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 s="2">
        <v>496</v>
      </c>
      <c r="G747">
        <v>146.91999999999999</v>
      </c>
      <c r="H747" s="2">
        <f>Table1[[#This Row],[Profit]]/Table1[[#This Row],[Sales]]*100</f>
        <v>29.620967741935484</v>
      </c>
      <c r="I747" t="str">
        <f>IF(Table1[[#This Row],[Profit %]]&gt;20,"Excellent",IF(H747&gt;10.1,"Good","Low"))</f>
        <v>Excellent</v>
      </c>
    </row>
    <row r="748" spans="1:9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 s="2">
        <v>3888</v>
      </c>
      <c r="G748">
        <v>284.17</v>
      </c>
      <c r="H748" s="2">
        <f>Table1[[#This Row],[Profit]]/Table1[[#This Row],[Sales]]*100</f>
        <v>7.3088991769547338</v>
      </c>
      <c r="I748" t="str">
        <f>IF(Table1[[#This Row],[Profit %]]&gt;20,"Excellent",IF(H748&gt;10.1,"Good","Low"))</f>
        <v>Low</v>
      </c>
    </row>
    <row r="749" spans="1:9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 s="2">
        <v>4921</v>
      </c>
      <c r="G749">
        <v>798.16</v>
      </c>
      <c r="H749" s="2">
        <f>Table1[[#This Row],[Profit]]/Table1[[#This Row],[Sales]]*100</f>
        <v>16.219467587888641</v>
      </c>
      <c r="I749" t="str">
        <f>IF(Table1[[#This Row],[Profit %]]&gt;20,"Excellent",IF(H749&gt;10.1,"Good","Low"))</f>
        <v>Good</v>
      </c>
    </row>
    <row r="750" spans="1:9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 s="2">
        <v>4472</v>
      </c>
      <c r="G750">
        <v>290.79000000000002</v>
      </c>
      <c r="H750" s="2">
        <f>Table1[[#This Row],[Profit]]/Table1[[#This Row],[Sales]]*100</f>
        <v>6.5024597495527736</v>
      </c>
      <c r="I750" t="str">
        <f>IF(Table1[[#This Row],[Profit %]]&gt;20,"Excellent",IF(H750&gt;10.1,"Good","Low"))</f>
        <v>Low</v>
      </c>
    </row>
    <row r="751" spans="1:9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 s="2">
        <v>603</v>
      </c>
      <c r="G751">
        <v>153.37</v>
      </c>
      <c r="H751" s="2">
        <f>Table1[[#This Row],[Profit]]/Table1[[#This Row],[Sales]]*100</f>
        <v>25.434494195688227</v>
      </c>
      <c r="I751" t="str">
        <f>IF(Table1[[#This Row],[Profit %]]&gt;20,"Excellent",IF(H751&gt;10.1,"Good","Low"))</f>
        <v>Excellent</v>
      </c>
    </row>
    <row r="752" spans="1:9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 s="2">
        <v>1899</v>
      </c>
      <c r="G752">
        <v>501.4</v>
      </c>
      <c r="H752" s="2">
        <f>Table1[[#This Row],[Profit]]/Table1[[#This Row],[Sales]]*100</f>
        <v>26.403370194839386</v>
      </c>
      <c r="I752" t="str">
        <f>IF(Table1[[#This Row],[Profit %]]&gt;20,"Excellent",IF(H752&gt;10.1,"Good","Low"))</f>
        <v>Excellent</v>
      </c>
    </row>
    <row r="753" spans="1:9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 s="2">
        <v>544</v>
      </c>
      <c r="G753">
        <v>67.84</v>
      </c>
      <c r="H753" s="2">
        <f>Table1[[#This Row],[Profit]]/Table1[[#This Row],[Sales]]*100</f>
        <v>12.470588235294118</v>
      </c>
      <c r="I753" t="str">
        <f>IF(Table1[[#This Row],[Profit %]]&gt;20,"Excellent",IF(H753&gt;10.1,"Good","Low"))</f>
        <v>Good</v>
      </c>
    </row>
    <row r="754" spans="1:9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 s="2">
        <v>6471</v>
      </c>
      <c r="G754">
        <v>1844.59</v>
      </c>
      <c r="H754" s="2">
        <f>Table1[[#This Row],[Profit]]/Table1[[#This Row],[Sales]]*100</f>
        <v>28.505486014526348</v>
      </c>
      <c r="I754" t="str">
        <f>IF(Table1[[#This Row],[Profit %]]&gt;20,"Excellent",IF(H754&gt;10.1,"Good","Low"))</f>
        <v>Excellent</v>
      </c>
    </row>
    <row r="755" spans="1:9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 s="2">
        <v>677</v>
      </c>
      <c r="G755">
        <v>54.14</v>
      </c>
      <c r="H755" s="2">
        <f>Table1[[#This Row],[Profit]]/Table1[[#This Row],[Sales]]*100</f>
        <v>7.9970457902511072</v>
      </c>
      <c r="I755" t="str">
        <f>IF(Table1[[#This Row],[Profit %]]&gt;20,"Excellent",IF(H755&gt;10.1,"Good","Low"))</f>
        <v>Low</v>
      </c>
    </row>
    <row r="756" spans="1:9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 s="2">
        <v>1372</v>
      </c>
      <c r="G756">
        <v>302.58</v>
      </c>
      <c r="H756" s="2">
        <f>Table1[[#This Row],[Profit]]/Table1[[#This Row],[Sales]]*100</f>
        <v>22.053935860058306</v>
      </c>
      <c r="I756" t="str">
        <f>IF(Table1[[#This Row],[Profit %]]&gt;20,"Excellent",IF(H756&gt;10.1,"Good","Low"))</f>
        <v>Excellent</v>
      </c>
    </row>
    <row r="757" spans="1:9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 s="2">
        <v>7542</v>
      </c>
      <c r="G757">
        <v>1477.49</v>
      </c>
      <c r="H757" s="2">
        <f>Table1[[#This Row],[Profit]]/Table1[[#This Row],[Sales]]*100</f>
        <v>19.590161760806151</v>
      </c>
      <c r="I757" t="str">
        <f>IF(Table1[[#This Row],[Profit %]]&gt;20,"Excellent",IF(H757&gt;10.1,"Good","Low"))</f>
        <v>Good</v>
      </c>
    </row>
    <row r="758" spans="1:9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 s="2">
        <v>924</v>
      </c>
      <c r="G758">
        <v>125.65</v>
      </c>
      <c r="H758" s="2">
        <f>Table1[[#This Row],[Profit]]/Table1[[#This Row],[Sales]]*100</f>
        <v>13.598484848484848</v>
      </c>
      <c r="I758" t="str">
        <f>IF(Table1[[#This Row],[Profit %]]&gt;20,"Excellent",IF(H758&gt;10.1,"Good","Low"))</f>
        <v>Good</v>
      </c>
    </row>
    <row r="759" spans="1:9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 s="2">
        <v>3940</v>
      </c>
      <c r="G759">
        <v>755.11</v>
      </c>
      <c r="H759" s="2">
        <f>Table1[[#This Row],[Profit]]/Table1[[#This Row],[Sales]]*100</f>
        <v>19.165228426395938</v>
      </c>
      <c r="I759" t="str">
        <f>IF(Table1[[#This Row],[Profit %]]&gt;20,"Excellent",IF(H759&gt;10.1,"Good","Low"))</f>
        <v>Good</v>
      </c>
    </row>
    <row r="760" spans="1:9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 s="2">
        <v>374</v>
      </c>
      <c r="G760">
        <v>49.26</v>
      </c>
      <c r="H760" s="2">
        <f>Table1[[#This Row],[Profit]]/Table1[[#This Row],[Sales]]*100</f>
        <v>13.171122994652407</v>
      </c>
      <c r="I760" t="str">
        <f>IF(Table1[[#This Row],[Profit %]]&gt;20,"Excellent",IF(H760&gt;10.1,"Good","Low"))</f>
        <v>Good</v>
      </c>
    </row>
    <row r="761" spans="1:9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 s="2">
        <v>1800</v>
      </c>
      <c r="G761">
        <v>252.69</v>
      </c>
      <c r="H761" s="2">
        <f>Table1[[#This Row],[Profit]]/Table1[[#This Row],[Sales]]*100</f>
        <v>14.038333333333334</v>
      </c>
      <c r="I761" t="str">
        <f>IF(Table1[[#This Row],[Profit %]]&gt;20,"Excellent",IF(H761&gt;10.1,"Good","Low"))</f>
        <v>Good</v>
      </c>
    </row>
    <row r="762" spans="1:9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 s="2">
        <v>3170</v>
      </c>
      <c r="G762">
        <v>868.34</v>
      </c>
      <c r="H762" s="2">
        <f>Table1[[#This Row],[Profit]]/Table1[[#This Row],[Sales]]*100</f>
        <v>27.39242902208202</v>
      </c>
      <c r="I762" t="str">
        <f>IF(Table1[[#This Row],[Profit %]]&gt;20,"Excellent",IF(H762&gt;10.1,"Good","Low"))</f>
        <v>Excellent</v>
      </c>
    </row>
    <row r="763" spans="1:9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 s="2">
        <v>5362</v>
      </c>
      <c r="G763">
        <v>1029.47</v>
      </c>
      <c r="H763" s="2">
        <f>Table1[[#This Row],[Profit]]/Table1[[#This Row],[Sales]]*100</f>
        <v>19.199365908243195</v>
      </c>
      <c r="I763" t="str">
        <f>IF(Table1[[#This Row],[Profit %]]&gt;20,"Excellent",IF(H763&gt;10.1,"Good","Low"))</f>
        <v>Good</v>
      </c>
    </row>
    <row r="764" spans="1:9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 s="2">
        <v>5976</v>
      </c>
      <c r="G764">
        <v>1747.57</v>
      </c>
      <c r="H764" s="2">
        <f>Table1[[#This Row],[Profit]]/Table1[[#This Row],[Sales]]*100</f>
        <v>29.24313922356091</v>
      </c>
      <c r="I764" t="str">
        <f>IF(Table1[[#This Row],[Profit %]]&gt;20,"Excellent",IF(H764&gt;10.1,"Good","Low"))</f>
        <v>Excellent</v>
      </c>
    </row>
    <row r="765" spans="1:9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 s="2">
        <v>8514</v>
      </c>
      <c r="G765">
        <v>1400.4</v>
      </c>
      <c r="H765" s="2">
        <f>Table1[[#This Row],[Profit]]/Table1[[#This Row],[Sales]]*100</f>
        <v>16.448202959830869</v>
      </c>
      <c r="I765" t="str">
        <f>IF(Table1[[#This Row],[Profit %]]&gt;20,"Excellent",IF(H765&gt;10.1,"Good","Low"))</f>
        <v>Good</v>
      </c>
    </row>
    <row r="766" spans="1:9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 s="2">
        <v>810</v>
      </c>
      <c r="G766">
        <v>157.47</v>
      </c>
      <c r="H766" s="2">
        <f>Table1[[#This Row],[Profit]]/Table1[[#This Row],[Sales]]*100</f>
        <v>19.440740740740743</v>
      </c>
      <c r="I766" t="str">
        <f>IF(Table1[[#This Row],[Profit %]]&gt;20,"Excellent",IF(H766&gt;10.1,"Good","Low"))</f>
        <v>Good</v>
      </c>
    </row>
    <row r="767" spans="1:9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 s="2">
        <v>71</v>
      </c>
      <c r="G767">
        <v>12.02</v>
      </c>
      <c r="H767" s="2">
        <f>Table1[[#This Row],[Profit]]/Table1[[#This Row],[Sales]]*100</f>
        <v>16.929577464788732</v>
      </c>
      <c r="I767" t="str">
        <f>IF(Table1[[#This Row],[Profit %]]&gt;20,"Excellent",IF(H767&gt;10.1,"Good","Low"))</f>
        <v>Good</v>
      </c>
    </row>
    <row r="768" spans="1:9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 s="2">
        <v>651</v>
      </c>
      <c r="G768">
        <v>57.94</v>
      </c>
      <c r="H768" s="2">
        <f>Table1[[#This Row],[Profit]]/Table1[[#This Row],[Sales]]*100</f>
        <v>8.9001536098310279</v>
      </c>
      <c r="I768" t="str">
        <f>IF(Table1[[#This Row],[Profit %]]&gt;20,"Excellent",IF(H768&gt;10.1,"Good","Low"))</f>
        <v>Low</v>
      </c>
    </row>
    <row r="769" spans="1:9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 s="2">
        <v>1245</v>
      </c>
      <c r="G769">
        <v>119.11</v>
      </c>
      <c r="H769" s="2">
        <f>Table1[[#This Row],[Profit]]/Table1[[#This Row],[Sales]]*100</f>
        <v>9.5670682730923691</v>
      </c>
      <c r="I769" t="str">
        <f>IF(Table1[[#This Row],[Profit %]]&gt;20,"Excellent",IF(H769&gt;10.1,"Good","Low"))</f>
        <v>Low</v>
      </c>
    </row>
    <row r="770" spans="1:9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 s="2">
        <v>464</v>
      </c>
      <c r="G770">
        <v>58.38</v>
      </c>
      <c r="H770" s="2">
        <f>Table1[[#This Row],[Profit]]/Table1[[#This Row],[Sales]]*100</f>
        <v>12.581896551724139</v>
      </c>
      <c r="I770" t="str">
        <f>IF(Table1[[#This Row],[Profit %]]&gt;20,"Excellent",IF(H770&gt;10.1,"Good","Low"))</f>
        <v>Good</v>
      </c>
    </row>
    <row r="771" spans="1:9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 s="2">
        <v>5155</v>
      </c>
      <c r="G771">
        <v>356.43</v>
      </c>
      <c r="H771" s="2">
        <f>Table1[[#This Row],[Profit]]/Table1[[#This Row],[Sales]]*100</f>
        <v>6.9142580019398645</v>
      </c>
      <c r="I771" t="str">
        <f>IF(Table1[[#This Row],[Profit %]]&gt;20,"Excellent",IF(H771&gt;10.1,"Good","Low"))</f>
        <v>Low</v>
      </c>
    </row>
    <row r="772" spans="1:9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 s="2">
        <v>5175</v>
      </c>
      <c r="G772">
        <v>786.27</v>
      </c>
      <c r="H772" s="2">
        <f>Table1[[#This Row],[Profit]]/Table1[[#This Row],[Sales]]*100</f>
        <v>15.193623188405796</v>
      </c>
      <c r="I772" t="str">
        <f>IF(Table1[[#This Row],[Profit %]]&gt;20,"Excellent",IF(H772&gt;10.1,"Good","Low"))</f>
        <v>Good</v>
      </c>
    </row>
    <row r="773" spans="1:9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 s="2">
        <v>1668</v>
      </c>
      <c r="G773">
        <v>470.42</v>
      </c>
      <c r="H773" s="2">
        <f>Table1[[#This Row],[Profit]]/Table1[[#This Row],[Sales]]*100</f>
        <v>28.202637889688248</v>
      </c>
      <c r="I773" t="str">
        <f>IF(Table1[[#This Row],[Profit %]]&gt;20,"Excellent",IF(H773&gt;10.1,"Good","Low"))</f>
        <v>Excellent</v>
      </c>
    </row>
    <row r="774" spans="1:9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 s="2">
        <v>1872</v>
      </c>
      <c r="G774">
        <v>532.80999999999995</v>
      </c>
      <c r="H774" s="2">
        <f>Table1[[#This Row],[Profit]]/Table1[[#This Row],[Sales]]*100</f>
        <v>28.462072649572644</v>
      </c>
      <c r="I774" t="str">
        <f>IF(Table1[[#This Row],[Profit %]]&gt;20,"Excellent",IF(H774&gt;10.1,"Good","Low"))</f>
        <v>Excellent</v>
      </c>
    </row>
    <row r="775" spans="1:9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 s="2">
        <v>513</v>
      </c>
      <c r="G775">
        <v>132.56</v>
      </c>
      <c r="H775" s="2">
        <f>Table1[[#This Row],[Profit]]/Table1[[#This Row],[Sales]]*100</f>
        <v>25.840155945419102</v>
      </c>
      <c r="I775" t="str">
        <f>IF(Table1[[#This Row],[Profit %]]&gt;20,"Excellent",IF(H775&gt;10.1,"Good","Low"))</f>
        <v>Excellent</v>
      </c>
    </row>
    <row r="776" spans="1:9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 s="2">
        <v>2276</v>
      </c>
      <c r="G776">
        <v>366.5</v>
      </c>
      <c r="H776" s="2">
        <f>Table1[[#This Row],[Profit]]/Table1[[#This Row],[Sales]]*100</f>
        <v>16.102811950790858</v>
      </c>
      <c r="I776" t="str">
        <f>IF(Table1[[#This Row],[Profit %]]&gt;20,"Excellent",IF(H776&gt;10.1,"Good","Low"))</f>
        <v>Good</v>
      </c>
    </row>
    <row r="777" spans="1:9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 s="2">
        <v>3428</v>
      </c>
      <c r="G777">
        <v>305.79000000000002</v>
      </c>
      <c r="H777" s="2">
        <f>Table1[[#This Row],[Profit]]/Table1[[#This Row],[Sales]]*100</f>
        <v>8.9203617269544928</v>
      </c>
      <c r="I777" t="str">
        <f>IF(Table1[[#This Row],[Profit %]]&gt;20,"Excellent",IF(H777&gt;10.1,"Good","Low"))</f>
        <v>Low</v>
      </c>
    </row>
    <row r="778" spans="1:9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 s="2">
        <v>1640</v>
      </c>
      <c r="G778">
        <v>176.87</v>
      </c>
      <c r="H778" s="2">
        <f>Table1[[#This Row],[Profit]]/Table1[[#This Row],[Sales]]*100</f>
        <v>10.784756097560976</v>
      </c>
      <c r="I778" t="str">
        <f>IF(Table1[[#This Row],[Profit %]]&gt;20,"Excellent",IF(H778&gt;10.1,"Good","Low"))</f>
        <v>Good</v>
      </c>
    </row>
    <row r="779" spans="1:9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 s="2">
        <v>7077</v>
      </c>
      <c r="G779">
        <v>1921.73</v>
      </c>
      <c r="H779" s="2">
        <f>Table1[[#This Row],[Profit]]/Table1[[#This Row],[Sales]]*100</f>
        <v>27.154585276246994</v>
      </c>
      <c r="I779" t="str">
        <f>IF(Table1[[#This Row],[Profit %]]&gt;20,"Excellent",IF(H779&gt;10.1,"Good","Low"))</f>
        <v>Excellent</v>
      </c>
    </row>
    <row r="780" spans="1:9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 s="2">
        <v>9225</v>
      </c>
      <c r="G780">
        <v>1391.15</v>
      </c>
      <c r="H780" s="2">
        <f>Table1[[#This Row],[Profit]]/Table1[[#This Row],[Sales]]*100</f>
        <v>15.080216802168023</v>
      </c>
      <c r="I780" t="str">
        <f>IF(Table1[[#This Row],[Profit %]]&gt;20,"Excellent",IF(H780&gt;10.1,"Good","Low"))</f>
        <v>Good</v>
      </c>
    </row>
    <row r="781" spans="1:9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 s="2">
        <v>3910</v>
      </c>
      <c r="G781">
        <v>584.77</v>
      </c>
      <c r="H781" s="2">
        <f>Table1[[#This Row],[Profit]]/Table1[[#This Row],[Sales]]*100</f>
        <v>14.955754475703326</v>
      </c>
      <c r="I781" t="str">
        <f>IF(Table1[[#This Row],[Profit %]]&gt;20,"Excellent",IF(H781&gt;10.1,"Good","Low"))</f>
        <v>Good</v>
      </c>
    </row>
    <row r="782" spans="1:9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 s="2">
        <v>1995</v>
      </c>
      <c r="G782">
        <v>369.22</v>
      </c>
      <c r="H782" s="2">
        <f>Table1[[#This Row],[Profit]]/Table1[[#This Row],[Sales]]*100</f>
        <v>18.507268170426066</v>
      </c>
      <c r="I782" t="str">
        <f>IF(Table1[[#This Row],[Profit %]]&gt;20,"Excellent",IF(H782&gt;10.1,"Good","Low"))</f>
        <v>Good</v>
      </c>
    </row>
    <row r="783" spans="1:9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 s="2">
        <v>385</v>
      </c>
      <c r="G783">
        <v>43.43</v>
      </c>
      <c r="H783" s="2">
        <f>Table1[[#This Row],[Profit]]/Table1[[#This Row],[Sales]]*100</f>
        <v>11.280519480519482</v>
      </c>
      <c r="I783" t="str">
        <f>IF(Table1[[#This Row],[Profit %]]&gt;20,"Excellent",IF(H783&gt;10.1,"Good","Low"))</f>
        <v>Good</v>
      </c>
    </row>
    <row r="784" spans="1:9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 s="2">
        <v>4316</v>
      </c>
      <c r="G784">
        <v>566.70000000000005</v>
      </c>
      <c r="H784" s="2">
        <f>Table1[[#This Row],[Profit]]/Table1[[#This Row],[Sales]]*100</f>
        <v>13.130213160333643</v>
      </c>
      <c r="I784" t="str">
        <f>IF(Table1[[#This Row],[Profit %]]&gt;20,"Excellent",IF(H784&gt;10.1,"Good","Low"))</f>
        <v>Good</v>
      </c>
    </row>
    <row r="785" spans="1:9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 s="2">
        <v>1169</v>
      </c>
      <c r="G785">
        <v>340.69</v>
      </c>
      <c r="H785" s="2">
        <f>Table1[[#This Row],[Profit]]/Table1[[#This Row],[Sales]]*100</f>
        <v>29.143712574850301</v>
      </c>
      <c r="I785" t="str">
        <f>IF(Table1[[#This Row],[Profit %]]&gt;20,"Excellent",IF(H785&gt;10.1,"Good","Low"))</f>
        <v>Excellent</v>
      </c>
    </row>
    <row r="786" spans="1:9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 s="2">
        <v>2325</v>
      </c>
      <c r="G786">
        <v>506.32</v>
      </c>
      <c r="H786" s="2">
        <f>Table1[[#This Row],[Profit]]/Table1[[#This Row],[Sales]]*100</f>
        <v>21.777204301075269</v>
      </c>
      <c r="I786" t="str">
        <f>IF(Table1[[#This Row],[Profit %]]&gt;20,"Excellent",IF(H786&gt;10.1,"Good","Low"))</f>
        <v>Excellent</v>
      </c>
    </row>
    <row r="787" spans="1:9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 s="2">
        <v>199</v>
      </c>
      <c r="G787">
        <v>48.92</v>
      </c>
      <c r="H787" s="2">
        <f>Table1[[#This Row],[Profit]]/Table1[[#This Row],[Sales]]*100</f>
        <v>24.582914572864322</v>
      </c>
      <c r="I787" t="str">
        <f>IF(Table1[[#This Row],[Profit %]]&gt;20,"Excellent",IF(H787&gt;10.1,"Good","Low"))</f>
        <v>Excellent</v>
      </c>
    </row>
    <row r="788" spans="1:9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 s="2">
        <v>375</v>
      </c>
      <c r="G788">
        <v>80.58</v>
      </c>
      <c r="H788" s="2">
        <f>Table1[[#This Row],[Profit]]/Table1[[#This Row],[Sales]]*100</f>
        <v>21.488</v>
      </c>
      <c r="I788" t="str">
        <f>IF(Table1[[#This Row],[Profit %]]&gt;20,"Excellent",IF(H788&gt;10.1,"Good","Low"))</f>
        <v>Excellent</v>
      </c>
    </row>
    <row r="789" spans="1:9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 s="2">
        <v>8010</v>
      </c>
      <c r="G789">
        <v>763.32</v>
      </c>
      <c r="H789" s="2">
        <f>Table1[[#This Row],[Profit]]/Table1[[#This Row],[Sales]]*100</f>
        <v>9.5295880149812753</v>
      </c>
      <c r="I789" t="str">
        <f>IF(Table1[[#This Row],[Profit %]]&gt;20,"Excellent",IF(H789&gt;10.1,"Good","Low"))</f>
        <v>Low</v>
      </c>
    </row>
    <row r="790" spans="1:9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 s="2">
        <v>316</v>
      </c>
      <c r="G790">
        <v>77.13</v>
      </c>
      <c r="H790" s="2">
        <f>Table1[[#This Row],[Profit]]/Table1[[#This Row],[Sales]]*100</f>
        <v>24.408227848101262</v>
      </c>
      <c r="I790" t="str">
        <f>IF(Table1[[#This Row],[Profit %]]&gt;20,"Excellent",IF(H790&gt;10.1,"Good","Low"))</f>
        <v>Excellent</v>
      </c>
    </row>
    <row r="791" spans="1:9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 s="2">
        <v>5895</v>
      </c>
      <c r="G791">
        <v>442.49</v>
      </c>
      <c r="H791" s="2">
        <f>Table1[[#This Row],[Profit]]/Table1[[#This Row],[Sales]]*100</f>
        <v>7.5061916878710777</v>
      </c>
      <c r="I791" t="str">
        <f>IF(Table1[[#This Row],[Profit %]]&gt;20,"Excellent",IF(H791&gt;10.1,"Good","Low"))</f>
        <v>Low</v>
      </c>
    </row>
    <row r="792" spans="1:9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 s="2">
        <v>388</v>
      </c>
      <c r="G792">
        <v>35.21</v>
      </c>
      <c r="H792" s="2">
        <f>Table1[[#This Row],[Profit]]/Table1[[#This Row],[Sales]]*100</f>
        <v>9.0747422680412377</v>
      </c>
      <c r="I792" t="str">
        <f>IF(Table1[[#This Row],[Profit %]]&gt;20,"Excellent",IF(H792&gt;10.1,"Good","Low"))</f>
        <v>Low</v>
      </c>
    </row>
    <row r="793" spans="1:9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 s="2">
        <v>3670</v>
      </c>
      <c r="G793">
        <v>462.97</v>
      </c>
      <c r="H793" s="2">
        <f>Table1[[#This Row],[Profit]]/Table1[[#This Row],[Sales]]*100</f>
        <v>12.6149863760218</v>
      </c>
      <c r="I793" t="str">
        <f>IF(Table1[[#This Row],[Profit %]]&gt;20,"Excellent",IF(H793&gt;10.1,"Good","Low"))</f>
        <v>Good</v>
      </c>
    </row>
    <row r="794" spans="1:9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 s="2">
        <v>7731</v>
      </c>
      <c r="G794">
        <v>2178.0500000000002</v>
      </c>
      <c r="H794" s="2">
        <f>Table1[[#This Row],[Profit]]/Table1[[#This Row],[Sales]]*100</f>
        <v>28.172940111240464</v>
      </c>
      <c r="I794" t="str">
        <f>IF(Table1[[#This Row],[Profit %]]&gt;20,"Excellent",IF(H794&gt;10.1,"Good","Low"))</f>
        <v>Excellent</v>
      </c>
    </row>
    <row r="795" spans="1:9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 s="2">
        <v>1596</v>
      </c>
      <c r="G795">
        <v>91.23</v>
      </c>
      <c r="H795" s="2">
        <f>Table1[[#This Row],[Profit]]/Table1[[#This Row],[Sales]]*100</f>
        <v>5.7161654135338349</v>
      </c>
      <c r="I795" t="str">
        <f>IF(Table1[[#This Row],[Profit %]]&gt;20,"Excellent",IF(H795&gt;10.1,"Good","Low"))</f>
        <v>Low</v>
      </c>
    </row>
    <row r="796" spans="1:9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 s="2">
        <v>4192</v>
      </c>
      <c r="G796">
        <v>216.16</v>
      </c>
      <c r="H796" s="2">
        <f>Table1[[#This Row],[Profit]]/Table1[[#This Row],[Sales]]*100</f>
        <v>5.1564885496183201</v>
      </c>
      <c r="I796" t="str">
        <f>IF(Table1[[#This Row],[Profit %]]&gt;20,"Excellent",IF(H796&gt;10.1,"Good","Low"))</f>
        <v>Low</v>
      </c>
    </row>
    <row r="797" spans="1:9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 s="2">
        <v>5264</v>
      </c>
      <c r="G797">
        <v>756.33</v>
      </c>
      <c r="H797" s="2">
        <f>Table1[[#This Row],[Profit]]/Table1[[#This Row],[Sales]]*100</f>
        <v>14.367971124620061</v>
      </c>
      <c r="I797" t="str">
        <f>IF(Table1[[#This Row],[Profit %]]&gt;20,"Excellent",IF(H797&gt;10.1,"Good","Low"))</f>
        <v>Good</v>
      </c>
    </row>
    <row r="798" spans="1:9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 s="2">
        <v>425</v>
      </c>
      <c r="G798">
        <v>48.81</v>
      </c>
      <c r="H798" s="2">
        <f>Table1[[#This Row],[Profit]]/Table1[[#This Row],[Sales]]*100</f>
        <v>11.484705882352941</v>
      </c>
      <c r="I798" t="str">
        <f>IF(Table1[[#This Row],[Profit %]]&gt;20,"Excellent",IF(H798&gt;10.1,"Good","Low"))</f>
        <v>Good</v>
      </c>
    </row>
    <row r="799" spans="1:9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 s="2">
        <v>3380</v>
      </c>
      <c r="G799">
        <v>211.72</v>
      </c>
      <c r="H799" s="2">
        <f>Table1[[#This Row],[Profit]]/Table1[[#This Row],[Sales]]*100</f>
        <v>6.2639053254437878</v>
      </c>
      <c r="I799" t="str">
        <f>IF(Table1[[#This Row],[Profit %]]&gt;20,"Excellent",IF(H799&gt;10.1,"Good","Low"))</f>
        <v>Low</v>
      </c>
    </row>
    <row r="800" spans="1:9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 s="2">
        <v>8379</v>
      </c>
      <c r="G800">
        <v>2009.05</v>
      </c>
      <c r="H800" s="2">
        <f>Table1[[#This Row],[Profit]]/Table1[[#This Row],[Sales]]*100</f>
        <v>23.977204917054539</v>
      </c>
      <c r="I800" t="str">
        <f>IF(Table1[[#This Row],[Profit %]]&gt;20,"Excellent",IF(H800&gt;10.1,"Good","Low"))</f>
        <v>Excellent</v>
      </c>
    </row>
    <row r="801" spans="1:9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 s="2">
        <v>2040</v>
      </c>
      <c r="G801">
        <v>393.72</v>
      </c>
      <c r="H801" s="2">
        <f>Table1[[#This Row],[Profit]]/Table1[[#This Row],[Sales]]*100</f>
        <v>19.3</v>
      </c>
      <c r="I801" t="str">
        <f>IF(Table1[[#This Row],[Profit %]]&gt;20,"Excellent",IF(H801&gt;10.1,"Good","Low"))</f>
        <v>Good</v>
      </c>
    </row>
    <row r="802" spans="1:9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 s="2">
        <v>1336</v>
      </c>
      <c r="G802">
        <v>116.65</v>
      </c>
      <c r="H802" s="2">
        <f>Table1[[#This Row],[Profit]]/Table1[[#This Row],[Sales]]*100</f>
        <v>8.7312874251497021</v>
      </c>
      <c r="I802" t="str">
        <f>IF(Table1[[#This Row],[Profit %]]&gt;20,"Excellent",IF(H802&gt;10.1,"Good","Low"))</f>
        <v>Low</v>
      </c>
    </row>
    <row r="803" spans="1:9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 s="2">
        <v>1934</v>
      </c>
      <c r="G803">
        <v>157.41</v>
      </c>
      <c r="H803" s="2">
        <f>Table1[[#This Row],[Profit]]/Table1[[#This Row],[Sales]]*100</f>
        <v>8.1390899689762151</v>
      </c>
      <c r="I803" t="str">
        <f>IF(Table1[[#This Row],[Profit %]]&gt;20,"Excellent",IF(H803&gt;10.1,"Good","Low"))</f>
        <v>Low</v>
      </c>
    </row>
    <row r="804" spans="1:9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 s="2">
        <v>1560</v>
      </c>
      <c r="G804">
        <v>391.11</v>
      </c>
      <c r="H804" s="2">
        <f>Table1[[#This Row],[Profit]]/Table1[[#This Row],[Sales]]*100</f>
        <v>25.071153846153848</v>
      </c>
      <c r="I804" t="str">
        <f>IF(Table1[[#This Row],[Profit %]]&gt;20,"Excellent",IF(H804&gt;10.1,"Good","Low"))</f>
        <v>Excellent</v>
      </c>
    </row>
    <row r="805" spans="1:9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 s="2">
        <v>4446</v>
      </c>
      <c r="G805">
        <v>1217.8599999999999</v>
      </c>
      <c r="H805" s="2">
        <f>Table1[[#This Row],[Profit]]/Table1[[#This Row],[Sales]]*100</f>
        <v>27.392262708052179</v>
      </c>
      <c r="I805" t="str">
        <f>IF(Table1[[#This Row],[Profit %]]&gt;20,"Excellent",IF(H805&gt;10.1,"Good","Low"))</f>
        <v>Excellent</v>
      </c>
    </row>
    <row r="806" spans="1:9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 s="2">
        <v>1893</v>
      </c>
      <c r="G806">
        <v>508.8</v>
      </c>
      <c r="H806" s="2">
        <f>Table1[[#This Row],[Profit]]/Table1[[#This Row],[Sales]]*100</f>
        <v>26.87797147385103</v>
      </c>
      <c r="I806" t="str">
        <f>IF(Table1[[#This Row],[Profit %]]&gt;20,"Excellent",IF(H806&gt;10.1,"Good","Low"))</f>
        <v>Excellent</v>
      </c>
    </row>
    <row r="807" spans="1:9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 s="2">
        <v>4492</v>
      </c>
      <c r="G807">
        <v>670.42</v>
      </c>
      <c r="H807" s="2">
        <f>Table1[[#This Row],[Profit]]/Table1[[#This Row],[Sales]]*100</f>
        <v>14.924755120213712</v>
      </c>
      <c r="I807" t="str">
        <f>IF(Table1[[#This Row],[Profit %]]&gt;20,"Excellent",IF(H807&gt;10.1,"Good","Low"))</f>
        <v>Good</v>
      </c>
    </row>
    <row r="808" spans="1:9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 s="2">
        <v>6228</v>
      </c>
      <c r="G808">
        <v>1852.45</v>
      </c>
      <c r="H808" s="2">
        <f>Table1[[#This Row],[Profit]]/Table1[[#This Row],[Sales]]*100</f>
        <v>29.743898522800254</v>
      </c>
      <c r="I808" t="str">
        <f>IF(Table1[[#This Row],[Profit %]]&gt;20,"Excellent",IF(H808&gt;10.1,"Good","Low"))</f>
        <v>Excellent</v>
      </c>
    </row>
    <row r="809" spans="1:9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 s="2">
        <v>4403</v>
      </c>
      <c r="G809">
        <v>1295.8900000000001</v>
      </c>
      <c r="H809" s="2">
        <f>Table1[[#This Row],[Profit]]/Table1[[#This Row],[Sales]]*100</f>
        <v>29.431978196684085</v>
      </c>
      <c r="I809" t="str">
        <f>IF(Table1[[#This Row],[Profit %]]&gt;20,"Excellent",IF(H809&gt;10.1,"Good","Low"))</f>
        <v>Excellent</v>
      </c>
    </row>
    <row r="810" spans="1:9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 s="2">
        <v>4176</v>
      </c>
      <c r="G810">
        <v>510.97</v>
      </c>
      <c r="H810" s="2">
        <f>Table1[[#This Row],[Profit]]/Table1[[#This Row],[Sales]]*100</f>
        <v>12.23587164750958</v>
      </c>
      <c r="I810" t="str">
        <f>IF(Table1[[#This Row],[Profit %]]&gt;20,"Excellent",IF(H810&gt;10.1,"Good","Low"))</f>
        <v>Good</v>
      </c>
    </row>
    <row r="811" spans="1:9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 s="2">
        <v>486</v>
      </c>
      <c r="G811">
        <v>64.430000000000007</v>
      </c>
      <c r="H811" s="2">
        <f>Table1[[#This Row],[Profit]]/Table1[[#This Row],[Sales]]*100</f>
        <v>13.257201646090536</v>
      </c>
      <c r="I811" t="str">
        <f>IF(Table1[[#This Row],[Profit %]]&gt;20,"Excellent",IF(H811&gt;10.1,"Good","Low"))</f>
        <v>Good</v>
      </c>
    </row>
    <row r="812" spans="1:9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 s="2">
        <v>4880</v>
      </c>
      <c r="G812">
        <v>1084.69</v>
      </c>
      <c r="H812" s="2">
        <f>Table1[[#This Row],[Profit]]/Table1[[#This Row],[Sales]]*100</f>
        <v>22.227254098360657</v>
      </c>
      <c r="I812" t="str">
        <f>IF(Table1[[#This Row],[Profit %]]&gt;20,"Excellent",IF(H812&gt;10.1,"Good","Low"))</f>
        <v>Excellent</v>
      </c>
    </row>
    <row r="813" spans="1:9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 s="2">
        <v>265</v>
      </c>
      <c r="G813">
        <v>53.21</v>
      </c>
      <c r="H813" s="2">
        <f>Table1[[#This Row],[Profit]]/Table1[[#This Row],[Sales]]*100</f>
        <v>20.079245283018867</v>
      </c>
      <c r="I813" t="str">
        <f>IF(Table1[[#This Row],[Profit %]]&gt;20,"Excellent",IF(H813&gt;10.1,"Good","Low"))</f>
        <v>Excellent</v>
      </c>
    </row>
    <row r="814" spans="1:9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 s="2">
        <v>1041</v>
      </c>
      <c r="G814">
        <v>128.58000000000001</v>
      </c>
      <c r="H814" s="2">
        <f>Table1[[#This Row],[Profit]]/Table1[[#This Row],[Sales]]*100</f>
        <v>12.351585014409224</v>
      </c>
      <c r="I814" t="str">
        <f>IF(Table1[[#This Row],[Profit %]]&gt;20,"Excellent",IF(H814&gt;10.1,"Good","Low"))</f>
        <v>Good</v>
      </c>
    </row>
    <row r="815" spans="1:9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 s="2">
        <v>9448</v>
      </c>
      <c r="G815">
        <v>616.5</v>
      </c>
      <c r="H815" s="2">
        <f>Table1[[#This Row],[Profit]]/Table1[[#This Row],[Sales]]*100</f>
        <v>6.5251905165114312</v>
      </c>
      <c r="I815" t="str">
        <f>IF(Table1[[#This Row],[Profit %]]&gt;20,"Excellent",IF(H815&gt;10.1,"Good","Low"))</f>
        <v>Low</v>
      </c>
    </row>
    <row r="816" spans="1:9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 s="2">
        <v>1617</v>
      </c>
      <c r="G816">
        <v>440.46</v>
      </c>
      <c r="H816" s="2">
        <f>Table1[[#This Row],[Profit]]/Table1[[#This Row],[Sales]]*100</f>
        <v>27.23933209647495</v>
      </c>
      <c r="I816" t="str">
        <f>IF(Table1[[#This Row],[Profit %]]&gt;20,"Excellent",IF(H816&gt;10.1,"Good","Low"))</f>
        <v>Excellent</v>
      </c>
    </row>
    <row r="817" spans="1:9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 s="2">
        <v>1486</v>
      </c>
      <c r="G817">
        <v>233.7</v>
      </c>
      <c r="H817" s="2">
        <f>Table1[[#This Row],[Profit]]/Table1[[#This Row],[Sales]]*100</f>
        <v>15.726783310901748</v>
      </c>
      <c r="I817" t="str">
        <f>IF(Table1[[#This Row],[Profit %]]&gt;20,"Excellent",IF(H817&gt;10.1,"Good","Low"))</f>
        <v>Good</v>
      </c>
    </row>
    <row r="818" spans="1:9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 s="2">
        <v>7152</v>
      </c>
      <c r="G818">
        <v>1539.72</v>
      </c>
      <c r="H818" s="2">
        <f>Table1[[#This Row],[Profit]]/Table1[[#This Row],[Sales]]*100</f>
        <v>21.528523489932887</v>
      </c>
      <c r="I818" t="str">
        <f>IF(Table1[[#This Row],[Profit %]]&gt;20,"Excellent",IF(H818&gt;10.1,"Good","Low"))</f>
        <v>Excellent</v>
      </c>
    </row>
    <row r="819" spans="1:9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 s="2">
        <v>1404</v>
      </c>
      <c r="G819">
        <v>368.36</v>
      </c>
      <c r="H819" s="2">
        <f>Table1[[#This Row],[Profit]]/Table1[[#This Row],[Sales]]*100</f>
        <v>26.236467236467238</v>
      </c>
      <c r="I819" t="str">
        <f>IF(Table1[[#This Row],[Profit %]]&gt;20,"Excellent",IF(H819&gt;10.1,"Good","Low"))</f>
        <v>Excellent</v>
      </c>
    </row>
    <row r="820" spans="1:9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 s="2">
        <v>122</v>
      </c>
      <c r="G820">
        <v>16.23</v>
      </c>
      <c r="H820" s="2">
        <f>Table1[[#This Row],[Profit]]/Table1[[#This Row],[Sales]]*100</f>
        <v>13.303278688524593</v>
      </c>
      <c r="I820" t="str">
        <f>IF(Table1[[#This Row],[Profit %]]&gt;20,"Excellent",IF(H820&gt;10.1,"Good","Low"))</f>
        <v>Good</v>
      </c>
    </row>
    <row r="821" spans="1:9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 s="2">
        <v>7533</v>
      </c>
      <c r="G821">
        <v>1285.72</v>
      </c>
      <c r="H821" s="2">
        <f>Table1[[#This Row],[Profit]]/Table1[[#This Row],[Sales]]*100</f>
        <v>17.067834859949553</v>
      </c>
      <c r="I821" t="str">
        <f>IF(Table1[[#This Row],[Profit %]]&gt;20,"Excellent",IF(H821&gt;10.1,"Good","Low"))</f>
        <v>Good</v>
      </c>
    </row>
    <row r="822" spans="1:9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 s="2">
        <v>3888</v>
      </c>
      <c r="G822">
        <v>810.08</v>
      </c>
      <c r="H822" s="2">
        <f>Table1[[#This Row],[Profit]]/Table1[[#This Row],[Sales]]*100</f>
        <v>20.835390946502059</v>
      </c>
      <c r="I822" t="str">
        <f>IF(Table1[[#This Row],[Profit %]]&gt;20,"Excellent",IF(H822&gt;10.1,"Good","Low"))</f>
        <v>Excellent</v>
      </c>
    </row>
    <row r="823" spans="1:9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 s="2">
        <v>870</v>
      </c>
      <c r="G823">
        <v>48.87</v>
      </c>
      <c r="H823" s="2">
        <f>Table1[[#This Row],[Profit]]/Table1[[#This Row],[Sales]]*100</f>
        <v>5.6172413793103448</v>
      </c>
      <c r="I823" t="str">
        <f>IF(Table1[[#This Row],[Profit %]]&gt;20,"Excellent",IF(H823&gt;10.1,"Good","Low"))</f>
        <v>Low</v>
      </c>
    </row>
    <row r="824" spans="1:9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 s="2">
        <v>1446</v>
      </c>
      <c r="G824">
        <v>403.89</v>
      </c>
      <c r="H824" s="2">
        <f>Table1[[#This Row],[Profit]]/Table1[[#This Row],[Sales]]*100</f>
        <v>27.931535269709546</v>
      </c>
      <c r="I824" t="str">
        <f>IF(Table1[[#This Row],[Profit %]]&gt;20,"Excellent",IF(H824&gt;10.1,"Good","Low"))</f>
        <v>Excellent</v>
      </c>
    </row>
    <row r="825" spans="1:9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 s="2">
        <v>510</v>
      </c>
      <c r="G825">
        <v>151.91</v>
      </c>
      <c r="H825" s="2">
        <f>Table1[[#This Row],[Profit]]/Table1[[#This Row],[Sales]]*100</f>
        <v>29.786274509803924</v>
      </c>
      <c r="I825" t="str">
        <f>IF(Table1[[#This Row],[Profit %]]&gt;20,"Excellent",IF(H825&gt;10.1,"Good","Low"))</f>
        <v>Excellent</v>
      </c>
    </row>
    <row r="826" spans="1:9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 s="2">
        <v>6224</v>
      </c>
      <c r="G826">
        <v>790.27</v>
      </c>
      <c r="H826" s="2">
        <f>Table1[[#This Row],[Profit]]/Table1[[#This Row],[Sales]]*100</f>
        <v>12.697140102827763</v>
      </c>
      <c r="I826" t="str">
        <f>IF(Table1[[#This Row],[Profit %]]&gt;20,"Excellent",IF(H826&gt;10.1,"Good","Low"))</f>
        <v>Good</v>
      </c>
    </row>
    <row r="827" spans="1:9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 s="2">
        <v>686</v>
      </c>
      <c r="G827">
        <v>85.03</v>
      </c>
      <c r="H827" s="2">
        <f>Table1[[#This Row],[Profit]]/Table1[[#This Row],[Sales]]*100</f>
        <v>12.395043731778426</v>
      </c>
      <c r="I827" t="str">
        <f>IF(Table1[[#This Row],[Profit %]]&gt;20,"Excellent",IF(H827&gt;10.1,"Good","Low"))</f>
        <v>Good</v>
      </c>
    </row>
    <row r="828" spans="1:9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 s="2">
        <v>2840</v>
      </c>
      <c r="G828">
        <v>591.94000000000005</v>
      </c>
      <c r="H828" s="2">
        <f>Table1[[#This Row],[Profit]]/Table1[[#This Row],[Sales]]*100</f>
        <v>20.842957746478874</v>
      </c>
      <c r="I828" t="str">
        <f>IF(Table1[[#This Row],[Profit %]]&gt;20,"Excellent",IF(H828&gt;10.1,"Good","Low"))</f>
        <v>Excellent</v>
      </c>
    </row>
    <row r="829" spans="1:9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 s="2">
        <v>2562</v>
      </c>
      <c r="G829">
        <v>347.62</v>
      </c>
      <c r="H829" s="2">
        <f>Table1[[#This Row],[Profit]]/Table1[[#This Row],[Sales]]*100</f>
        <v>13.568306010928962</v>
      </c>
      <c r="I829" t="str">
        <f>IF(Table1[[#This Row],[Profit %]]&gt;20,"Excellent",IF(H829&gt;10.1,"Good","Low"))</f>
        <v>Good</v>
      </c>
    </row>
    <row r="830" spans="1:9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 s="2">
        <v>790</v>
      </c>
      <c r="G830">
        <v>216.12</v>
      </c>
      <c r="H830" s="2">
        <f>Table1[[#This Row],[Profit]]/Table1[[#This Row],[Sales]]*100</f>
        <v>27.356962025316456</v>
      </c>
      <c r="I830" t="str">
        <f>IF(Table1[[#This Row],[Profit %]]&gt;20,"Excellent",IF(H830&gt;10.1,"Good","Low"))</f>
        <v>Excellent</v>
      </c>
    </row>
    <row r="831" spans="1:9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 s="2">
        <v>4170</v>
      </c>
      <c r="G831">
        <v>786.42</v>
      </c>
      <c r="H831" s="2">
        <f>Table1[[#This Row],[Profit]]/Table1[[#This Row],[Sales]]*100</f>
        <v>18.858992805755395</v>
      </c>
      <c r="I831" t="str">
        <f>IF(Table1[[#This Row],[Profit %]]&gt;20,"Excellent",IF(H831&gt;10.1,"Good","Low"))</f>
        <v>Good</v>
      </c>
    </row>
    <row r="832" spans="1:9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 s="2">
        <v>1360</v>
      </c>
      <c r="G832">
        <v>373.59</v>
      </c>
      <c r="H832" s="2">
        <f>Table1[[#This Row],[Profit]]/Table1[[#This Row],[Sales]]*100</f>
        <v>27.46985294117647</v>
      </c>
      <c r="I832" t="str">
        <f>IF(Table1[[#This Row],[Profit %]]&gt;20,"Excellent",IF(H832&gt;10.1,"Good","Low"))</f>
        <v>Excellent</v>
      </c>
    </row>
    <row r="833" spans="1:9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 s="2">
        <v>5316</v>
      </c>
      <c r="G833">
        <v>782.42</v>
      </c>
      <c r="H833" s="2">
        <f>Table1[[#This Row],[Profit]]/Table1[[#This Row],[Sales]]*100</f>
        <v>14.71820917983446</v>
      </c>
      <c r="I833" t="str">
        <f>IF(Table1[[#This Row],[Profit %]]&gt;20,"Excellent",IF(H833&gt;10.1,"Good","Low"))</f>
        <v>Good</v>
      </c>
    </row>
    <row r="834" spans="1:9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 s="2">
        <v>3956</v>
      </c>
      <c r="G834">
        <v>293.38</v>
      </c>
      <c r="H834" s="2">
        <f>Table1[[#This Row],[Profit]]/Table1[[#This Row],[Sales]]*100</f>
        <v>7.4160768452982806</v>
      </c>
      <c r="I834" t="str">
        <f>IF(Table1[[#This Row],[Profit %]]&gt;20,"Excellent",IF(H834&gt;10.1,"Good","Low"))</f>
        <v>Low</v>
      </c>
    </row>
    <row r="835" spans="1:9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 s="2">
        <v>726</v>
      </c>
      <c r="G835">
        <v>94.38</v>
      </c>
      <c r="H835" s="2">
        <f>Table1[[#This Row],[Profit]]/Table1[[#This Row],[Sales]]*100</f>
        <v>13</v>
      </c>
      <c r="I835" t="str">
        <f>IF(Table1[[#This Row],[Profit %]]&gt;20,"Excellent",IF(H835&gt;10.1,"Good","Low"))</f>
        <v>Good</v>
      </c>
    </row>
    <row r="836" spans="1:9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 s="2">
        <v>228</v>
      </c>
      <c r="G836">
        <v>29.37</v>
      </c>
      <c r="H836" s="2">
        <f>Table1[[#This Row],[Profit]]/Table1[[#This Row],[Sales]]*100</f>
        <v>12.881578947368421</v>
      </c>
      <c r="I836" t="str">
        <f>IF(Table1[[#This Row],[Profit %]]&gt;20,"Excellent",IF(H836&gt;10.1,"Good","Low"))</f>
        <v>Good</v>
      </c>
    </row>
    <row r="837" spans="1:9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 s="2">
        <v>2274</v>
      </c>
      <c r="G837">
        <v>442.57</v>
      </c>
      <c r="H837" s="2">
        <f>Table1[[#This Row],[Profit]]/Table1[[#This Row],[Sales]]*100</f>
        <v>19.462181178540018</v>
      </c>
      <c r="I837" t="str">
        <f>IF(Table1[[#This Row],[Profit %]]&gt;20,"Excellent",IF(H837&gt;10.1,"Good","Low"))</f>
        <v>Good</v>
      </c>
    </row>
    <row r="838" spans="1:9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 s="2">
        <v>2628</v>
      </c>
      <c r="G838">
        <v>459.87</v>
      </c>
      <c r="H838" s="2">
        <f>Table1[[#This Row],[Profit]]/Table1[[#This Row],[Sales]]*100</f>
        <v>17.498858447488587</v>
      </c>
      <c r="I838" t="str">
        <f>IF(Table1[[#This Row],[Profit %]]&gt;20,"Excellent",IF(H838&gt;10.1,"Good","Low"))</f>
        <v>Good</v>
      </c>
    </row>
    <row r="839" spans="1:9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 s="2">
        <v>606</v>
      </c>
      <c r="G839">
        <v>104.85</v>
      </c>
      <c r="H839" s="2">
        <f>Table1[[#This Row],[Profit]]/Table1[[#This Row],[Sales]]*100</f>
        <v>17.301980198019802</v>
      </c>
      <c r="I839" t="str">
        <f>IF(Table1[[#This Row],[Profit %]]&gt;20,"Excellent",IF(H839&gt;10.1,"Good","Low"))</f>
        <v>Good</v>
      </c>
    </row>
    <row r="840" spans="1:9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 s="2">
        <v>7256</v>
      </c>
      <c r="G840">
        <v>558.79</v>
      </c>
      <c r="H840" s="2">
        <f>Table1[[#This Row],[Profit]]/Table1[[#This Row],[Sales]]*100</f>
        <v>7.7010749724366043</v>
      </c>
      <c r="I840" t="str">
        <f>IF(Table1[[#This Row],[Profit %]]&gt;20,"Excellent",IF(H840&gt;10.1,"Good","Low"))</f>
        <v>Low</v>
      </c>
    </row>
    <row r="841" spans="1:9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 s="2">
        <v>1956</v>
      </c>
      <c r="G841">
        <v>125.69</v>
      </c>
      <c r="H841" s="2">
        <f>Table1[[#This Row],[Profit]]/Table1[[#This Row],[Sales]]*100</f>
        <v>6.4258691206543972</v>
      </c>
      <c r="I841" t="str">
        <f>IF(Table1[[#This Row],[Profit %]]&gt;20,"Excellent",IF(H841&gt;10.1,"Good","Low"))</f>
        <v>Low</v>
      </c>
    </row>
    <row r="842" spans="1:9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 s="2">
        <v>3954</v>
      </c>
      <c r="G842">
        <v>690.1</v>
      </c>
      <c r="H842" s="2">
        <f>Table1[[#This Row],[Profit]]/Table1[[#This Row],[Sales]]*100</f>
        <v>17.453211937278706</v>
      </c>
      <c r="I842" t="str">
        <f>IF(Table1[[#This Row],[Profit %]]&gt;20,"Excellent",IF(H842&gt;10.1,"Good","Low"))</f>
        <v>Good</v>
      </c>
    </row>
    <row r="843" spans="1:9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 s="2">
        <v>2262</v>
      </c>
      <c r="G843">
        <v>442.86</v>
      </c>
      <c r="H843" s="2">
        <f>Table1[[#This Row],[Profit]]/Table1[[#This Row],[Sales]]*100</f>
        <v>19.578249336870027</v>
      </c>
      <c r="I843" t="str">
        <f>IF(Table1[[#This Row],[Profit %]]&gt;20,"Excellent",IF(H843&gt;10.1,"Good","Low"))</f>
        <v>Good</v>
      </c>
    </row>
    <row r="844" spans="1:9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 s="2">
        <v>2804</v>
      </c>
      <c r="G844">
        <v>391.59</v>
      </c>
      <c r="H844" s="2">
        <f>Table1[[#This Row],[Profit]]/Table1[[#This Row],[Sales]]*100</f>
        <v>13.965406562054209</v>
      </c>
      <c r="I844" t="str">
        <f>IF(Table1[[#This Row],[Profit %]]&gt;20,"Excellent",IF(H844&gt;10.1,"Good","Low"))</f>
        <v>Good</v>
      </c>
    </row>
    <row r="845" spans="1:9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 s="2">
        <v>5850</v>
      </c>
      <c r="G845">
        <v>1511.06</v>
      </c>
      <c r="H845" s="2">
        <f>Table1[[#This Row],[Profit]]/Table1[[#This Row],[Sales]]*100</f>
        <v>25.830085470085468</v>
      </c>
      <c r="I845" t="str">
        <f>IF(Table1[[#This Row],[Profit %]]&gt;20,"Excellent",IF(H845&gt;10.1,"Good","Low"))</f>
        <v>Excellent</v>
      </c>
    </row>
    <row r="846" spans="1:9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 s="2">
        <v>56</v>
      </c>
      <c r="G846">
        <v>9.16</v>
      </c>
      <c r="H846" s="2">
        <f>Table1[[#This Row],[Profit]]/Table1[[#This Row],[Sales]]*100</f>
        <v>16.357142857142858</v>
      </c>
      <c r="I846" t="str">
        <f>IF(Table1[[#This Row],[Profit %]]&gt;20,"Excellent",IF(H846&gt;10.1,"Good","Low"))</f>
        <v>Good</v>
      </c>
    </row>
    <row r="847" spans="1:9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 s="2">
        <v>4302</v>
      </c>
      <c r="G847">
        <v>344.64</v>
      </c>
      <c r="H847" s="2">
        <f>Table1[[#This Row],[Profit]]/Table1[[#This Row],[Sales]]*100</f>
        <v>8.0111576011157588</v>
      </c>
      <c r="I847" t="str">
        <f>IF(Table1[[#This Row],[Profit %]]&gt;20,"Excellent",IF(H847&gt;10.1,"Good","Low"))</f>
        <v>Low</v>
      </c>
    </row>
    <row r="848" spans="1:9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 s="2">
        <v>10143</v>
      </c>
      <c r="G848">
        <v>1690.66</v>
      </c>
      <c r="H848" s="2">
        <f>Table1[[#This Row],[Profit]]/Table1[[#This Row],[Sales]]*100</f>
        <v>16.668244109237897</v>
      </c>
      <c r="I848" t="str">
        <f>IF(Table1[[#This Row],[Profit %]]&gt;20,"Excellent",IF(H848&gt;10.1,"Good","Low"))</f>
        <v>Good</v>
      </c>
    </row>
    <row r="849" spans="1:9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 s="2">
        <v>1012</v>
      </c>
      <c r="G849">
        <v>164.89</v>
      </c>
      <c r="H849" s="2">
        <f>Table1[[#This Row],[Profit]]/Table1[[#This Row],[Sales]]*100</f>
        <v>16.293478260869566</v>
      </c>
      <c r="I849" t="str">
        <f>IF(Table1[[#This Row],[Profit %]]&gt;20,"Excellent",IF(H849&gt;10.1,"Good","Low"))</f>
        <v>Good</v>
      </c>
    </row>
    <row r="850" spans="1:9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 s="2">
        <v>8964</v>
      </c>
      <c r="G850">
        <v>448.62</v>
      </c>
      <c r="H850" s="2">
        <f>Table1[[#This Row],[Profit]]/Table1[[#This Row],[Sales]]*100</f>
        <v>5.0046854082998662</v>
      </c>
      <c r="I850" t="str">
        <f>IF(Table1[[#This Row],[Profit %]]&gt;20,"Excellent",IF(H850&gt;10.1,"Good","Low"))</f>
        <v>Low</v>
      </c>
    </row>
    <row r="851" spans="1:9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 s="2">
        <v>1758</v>
      </c>
      <c r="G851">
        <v>262.36</v>
      </c>
      <c r="H851" s="2">
        <f>Table1[[#This Row],[Profit]]/Table1[[#This Row],[Sales]]*100</f>
        <v>14.923777019340159</v>
      </c>
      <c r="I851" t="str">
        <f>IF(Table1[[#This Row],[Profit %]]&gt;20,"Excellent",IF(H851&gt;10.1,"Good","Low"))</f>
        <v>Good</v>
      </c>
    </row>
    <row r="852" spans="1:9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 s="2">
        <v>6348</v>
      </c>
      <c r="G852">
        <v>557.72</v>
      </c>
      <c r="H852" s="2">
        <f>Table1[[#This Row],[Profit]]/Table1[[#This Row],[Sales]]*100</f>
        <v>8.7857592942659117</v>
      </c>
      <c r="I852" t="str">
        <f>IF(Table1[[#This Row],[Profit %]]&gt;20,"Excellent",IF(H852&gt;10.1,"Good","Low"))</f>
        <v>Low</v>
      </c>
    </row>
    <row r="853" spans="1:9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 s="2">
        <v>1582</v>
      </c>
      <c r="G853">
        <v>422.46</v>
      </c>
      <c r="H853" s="2">
        <f>Table1[[#This Row],[Profit]]/Table1[[#This Row],[Sales]]*100</f>
        <v>26.70417193426043</v>
      </c>
      <c r="I853" t="str">
        <f>IF(Table1[[#This Row],[Profit %]]&gt;20,"Excellent",IF(H853&gt;10.1,"Good","Low"))</f>
        <v>Excellent</v>
      </c>
    </row>
    <row r="854" spans="1:9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 s="2">
        <v>1924</v>
      </c>
      <c r="G854">
        <v>394.4</v>
      </c>
      <c r="H854" s="2">
        <f>Table1[[#This Row],[Profit]]/Table1[[#This Row],[Sales]]*100</f>
        <v>20.498960498960496</v>
      </c>
      <c r="I854" t="str">
        <f>IF(Table1[[#This Row],[Profit %]]&gt;20,"Excellent",IF(H854&gt;10.1,"Good","Low"))</f>
        <v>Excellent</v>
      </c>
    </row>
    <row r="855" spans="1:9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 s="2">
        <v>120</v>
      </c>
      <c r="G855">
        <v>23.86</v>
      </c>
      <c r="H855" s="2">
        <f>Table1[[#This Row],[Profit]]/Table1[[#This Row],[Sales]]*100</f>
        <v>19.883333333333333</v>
      </c>
      <c r="I855" t="str">
        <f>IF(Table1[[#This Row],[Profit %]]&gt;20,"Excellent",IF(H855&gt;10.1,"Good","Low"))</f>
        <v>Good</v>
      </c>
    </row>
    <row r="856" spans="1:9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 s="2">
        <v>7752</v>
      </c>
      <c r="G856">
        <v>1943.84</v>
      </c>
      <c r="H856" s="2">
        <f>Table1[[#This Row],[Profit]]/Table1[[#This Row],[Sales]]*100</f>
        <v>25.075335397316824</v>
      </c>
      <c r="I856" t="str">
        <f>IF(Table1[[#This Row],[Profit %]]&gt;20,"Excellent",IF(H856&gt;10.1,"Good","Low"))</f>
        <v>Excellent</v>
      </c>
    </row>
    <row r="857" spans="1:9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 s="2">
        <v>1114</v>
      </c>
      <c r="G857">
        <v>300.44</v>
      </c>
      <c r="H857" s="2">
        <f>Table1[[#This Row],[Profit]]/Table1[[#This Row],[Sales]]*100</f>
        <v>26.96947935368043</v>
      </c>
      <c r="I857" t="str">
        <f>IF(Table1[[#This Row],[Profit %]]&gt;20,"Excellent",IF(H857&gt;10.1,"Good","Low"))</f>
        <v>Excellent</v>
      </c>
    </row>
    <row r="858" spans="1:9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 s="2">
        <v>1765</v>
      </c>
      <c r="G858">
        <v>229.06</v>
      </c>
      <c r="H858" s="2">
        <f>Table1[[#This Row],[Profit]]/Table1[[#This Row],[Sales]]*100</f>
        <v>12.977903682719546</v>
      </c>
      <c r="I858" t="str">
        <f>IF(Table1[[#This Row],[Profit %]]&gt;20,"Excellent",IF(H858&gt;10.1,"Good","Low"))</f>
        <v>Good</v>
      </c>
    </row>
    <row r="859" spans="1:9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 s="2">
        <v>6834</v>
      </c>
      <c r="G859">
        <v>1418.21</v>
      </c>
      <c r="H859" s="2">
        <f>Table1[[#This Row],[Profit]]/Table1[[#This Row],[Sales]]*100</f>
        <v>20.752268071407666</v>
      </c>
      <c r="I859" t="str">
        <f>IF(Table1[[#This Row],[Profit %]]&gt;20,"Excellent",IF(H859&gt;10.1,"Good","Low"))</f>
        <v>Excellent</v>
      </c>
    </row>
    <row r="860" spans="1:9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 s="2">
        <v>1520</v>
      </c>
      <c r="G860">
        <v>433.53</v>
      </c>
      <c r="H860" s="2">
        <f>Table1[[#This Row],[Profit]]/Table1[[#This Row],[Sales]]*100</f>
        <v>28.521710526315786</v>
      </c>
      <c r="I860" t="str">
        <f>IF(Table1[[#This Row],[Profit %]]&gt;20,"Excellent",IF(H860&gt;10.1,"Good","Low"))</f>
        <v>Excellent</v>
      </c>
    </row>
    <row r="861" spans="1:9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 s="2">
        <v>8141</v>
      </c>
      <c r="G861">
        <v>767.6</v>
      </c>
      <c r="H861" s="2">
        <f>Table1[[#This Row],[Profit]]/Table1[[#This Row],[Sales]]*100</f>
        <v>9.4288170986365305</v>
      </c>
      <c r="I861" t="str">
        <f>IF(Table1[[#This Row],[Profit %]]&gt;20,"Excellent",IF(H861&gt;10.1,"Good","Low"))</f>
        <v>Low</v>
      </c>
    </row>
    <row r="862" spans="1:9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 s="2">
        <v>5176</v>
      </c>
      <c r="G862">
        <v>866.36</v>
      </c>
      <c r="H862" s="2">
        <f>Table1[[#This Row],[Profit]]/Table1[[#This Row],[Sales]]*100</f>
        <v>16.738021638330757</v>
      </c>
      <c r="I862" t="str">
        <f>IF(Table1[[#This Row],[Profit %]]&gt;20,"Excellent",IF(H862&gt;10.1,"Good","Low"))</f>
        <v>Good</v>
      </c>
    </row>
    <row r="863" spans="1:9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 s="2">
        <v>738</v>
      </c>
      <c r="G863">
        <v>64.42</v>
      </c>
      <c r="H863" s="2">
        <f>Table1[[#This Row],[Profit]]/Table1[[#This Row],[Sales]]*100</f>
        <v>8.7289972899728987</v>
      </c>
      <c r="I863" t="str">
        <f>IF(Table1[[#This Row],[Profit %]]&gt;20,"Excellent",IF(H863&gt;10.1,"Good","Low"))</f>
        <v>Low</v>
      </c>
    </row>
    <row r="864" spans="1:9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 s="2">
        <v>4086</v>
      </c>
      <c r="G864">
        <v>217.48</v>
      </c>
      <c r="H864" s="2">
        <f>Table1[[#This Row],[Profit]]/Table1[[#This Row],[Sales]]*100</f>
        <v>5.3225648556045027</v>
      </c>
      <c r="I864" t="str">
        <f>IF(Table1[[#This Row],[Profit %]]&gt;20,"Excellent",IF(H864&gt;10.1,"Good","Low"))</f>
        <v>Low</v>
      </c>
    </row>
    <row r="865" spans="1:9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 s="2">
        <v>442</v>
      </c>
      <c r="G865">
        <v>28.13</v>
      </c>
      <c r="H865" s="2">
        <f>Table1[[#This Row],[Profit]]/Table1[[#This Row],[Sales]]*100</f>
        <v>6.364253393665158</v>
      </c>
      <c r="I865" t="str">
        <f>IF(Table1[[#This Row],[Profit %]]&gt;20,"Excellent",IF(H865&gt;10.1,"Good","Low"))</f>
        <v>Low</v>
      </c>
    </row>
    <row r="866" spans="1:9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 s="2">
        <v>2478</v>
      </c>
      <c r="G866">
        <v>153.86000000000001</v>
      </c>
      <c r="H866" s="2">
        <f>Table1[[#This Row],[Profit]]/Table1[[#This Row],[Sales]]*100</f>
        <v>6.2090395480225995</v>
      </c>
      <c r="I866" t="str">
        <f>IF(Table1[[#This Row],[Profit %]]&gt;20,"Excellent",IF(H866&gt;10.1,"Good","Low"))</f>
        <v>Low</v>
      </c>
    </row>
    <row r="867" spans="1:9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 s="2">
        <v>1860</v>
      </c>
      <c r="G867">
        <v>327.14999999999998</v>
      </c>
      <c r="H867" s="2">
        <f>Table1[[#This Row],[Profit]]/Table1[[#This Row],[Sales]]*100</f>
        <v>17.588709677419352</v>
      </c>
      <c r="I867" t="str">
        <f>IF(Table1[[#This Row],[Profit %]]&gt;20,"Excellent",IF(H867&gt;10.1,"Good","Low"))</f>
        <v>Good</v>
      </c>
    </row>
    <row r="868" spans="1:9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 s="2">
        <v>4968</v>
      </c>
      <c r="G868">
        <v>991.82</v>
      </c>
      <c r="H868" s="2">
        <f>Table1[[#This Row],[Profit]]/Table1[[#This Row],[Sales]]*100</f>
        <v>19.964170692431562</v>
      </c>
      <c r="I868" t="str">
        <f>IF(Table1[[#This Row],[Profit %]]&gt;20,"Excellent",IF(H868&gt;10.1,"Good","Low"))</f>
        <v>Good</v>
      </c>
    </row>
    <row r="869" spans="1:9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 s="2">
        <v>1446</v>
      </c>
      <c r="G869">
        <v>278.94</v>
      </c>
      <c r="H869" s="2">
        <f>Table1[[#This Row],[Profit]]/Table1[[#This Row],[Sales]]*100</f>
        <v>19.290456431535269</v>
      </c>
      <c r="I869" t="str">
        <f>IF(Table1[[#This Row],[Profit %]]&gt;20,"Excellent",IF(H869&gt;10.1,"Good","Low"))</f>
        <v>Good</v>
      </c>
    </row>
    <row r="870" spans="1:9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 s="2">
        <v>1722</v>
      </c>
      <c r="G870">
        <v>414.87</v>
      </c>
      <c r="H870" s="2">
        <f>Table1[[#This Row],[Profit]]/Table1[[#This Row],[Sales]]*100</f>
        <v>24.092334494773521</v>
      </c>
      <c r="I870" t="str">
        <f>IF(Table1[[#This Row],[Profit %]]&gt;20,"Excellent",IF(H870&gt;10.1,"Good","Low"))</f>
        <v>Excellent</v>
      </c>
    </row>
    <row r="871" spans="1:9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 s="2">
        <v>6573</v>
      </c>
      <c r="G871">
        <v>460.28</v>
      </c>
      <c r="H871" s="2">
        <f>Table1[[#This Row],[Profit]]/Table1[[#This Row],[Sales]]*100</f>
        <v>7.0025863380495963</v>
      </c>
      <c r="I871" t="str">
        <f>IF(Table1[[#This Row],[Profit %]]&gt;20,"Excellent",IF(H871&gt;10.1,"Good","Low"))</f>
        <v>Low</v>
      </c>
    </row>
    <row r="872" spans="1:9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 s="2">
        <v>2481</v>
      </c>
      <c r="G872">
        <v>249.52</v>
      </c>
      <c r="H872" s="2">
        <f>Table1[[#This Row],[Profit]]/Table1[[#This Row],[Sales]]*100</f>
        <v>10.057234985892785</v>
      </c>
      <c r="I872" t="str">
        <f>IF(Table1[[#This Row],[Profit %]]&gt;20,"Excellent",IF(H872&gt;10.1,"Good","Low"))</f>
        <v>Low</v>
      </c>
    </row>
    <row r="873" spans="1:9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 s="2">
        <v>3828</v>
      </c>
      <c r="G873">
        <v>1102.8599999999999</v>
      </c>
      <c r="H873" s="2">
        <f>Table1[[#This Row],[Profit]]/Table1[[#This Row],[Sales]]*100</f>
        <v>28.810344827586203</v>
      </c>
      <c r="I873" t="str">
        <f>IF(Table1[[#This Row],[Profit %]]&gt;20,"Excellent",IF(H873&gt;10.1,"Good","Low"))</f>
        <v>Excellent</v>
      </c>
    </row>
    <row r="874" spans="1:9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 s="2">
        <v>1197</v>
      </c>
      <c r="G874">
        <v>103.34</v>
      </c>
      <c r="H874" s="2">
        <f>Table1[[#This Row],[Profit]]/Table1[[#This Row],[Sales]]*100</f>
        <v>8.6332497911445287</v>
      </c>
      <c r="I874" t="str">
        <f>IF(Table1[[#This Row],[Profit %]]&gt;20,"Excellent",IF(H874&gt;10.1,"Good","Low"))</f>
        <v>Low</v>
      </c>
    </row>
    <row r="875" spans="1:9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 s="2">
        <v>7623</v>
      </c>
      <c r="G875">
        <v>1459.84</v>
      </c>
      <c r="H875" s="2">
        <f>Table1[[#This Row],[Profit]]/Table1[[#This Row],[Sales]]*100</f>
        <v>19.150465695920239</v>
      </c>
      <c r="I875" t="str">
        <f>IF(Table1[[#This Row],[Profit %]]&gt;20,"Excellent",IF(H875&gt;10.1,"Good","Low"))</f>
        <v>Good</v>
      </c>
    </row>
    <row r="876" spans="1:9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 s="2">
        <v>3384</v>
      </c>
      <c r="G876">
        <v>252.11</v>
      </c>
      <c r="H876" s="2">
        <f>Table1[[#This Row],[Profit]]/Table1[[#This Row],[Sales]]*100</f>
        <v>7.4500591016548459</v>
      </c>
      <c r="I876" t="str">
        <f>IF(Table1[[#This Row],[Profit %]]&gt;20,"Excellent",IF(H876&gt;10.1,"Good","Low"))</f>
        <v>Low</v>
      </c>
    </row>
    <row r="877" spans="1:9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 s="2">
        <v>1296</v>
      </c>
      <c r="G877">
        <v>273.97000000000003</v>
      </c>
      <c r="H877" s="2">
        <f>Table1[[#This Row],[Profit]]/Table1[[#This Row],[Sales]]*100</f>
        <v>21.139660493827162</v>
      </c>
      <c r="I877" t="str">
        <f>IF(Table1[[#This Row],[Profit %]]&gt;20,"Excellent",IF(H877&gt;10.1,"Good","Low"))</f>
        <v>Excellent</v>
      </c>
    </row>
    <row r="878" spans="1:9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 s="2">
        <v>2840</v>
      </c>
      <c r="G878">
        <v>262.62</v>
      </c>
      <c r="H878" s="2">
        <f>Table1[[#This Row],[Profit]]/Table1[[#This Row],[Sales]]*100</f>
        <v>9.2471830985915489</v>
      </c>
      <c r="I878" t="str">
        <f>IF(Table1[[#This Row],[Profit %]]&gt;20,"Excellent",IF(H878&gt;10.1,"Good","Low"))</f>
        <v>Low</v>
      </c>
    </row>
    <row r="879" spans="1:9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 s="2">
        <v>1540</v>
      </c>
      <c r="G879">
        <v>342.93</v>
      </c>
      <c r="H879" s="2">
        <f>Table1[[#This Row],[Profit]]/Table1[[#This Row],[Sales]]*100</f>
        <v>22.268181818181816</v>
      </c>
      <c r="I879" t="str">
        <f>IF(Table1[[#This Row],[Profit %]]&gt;20,"Excellent",IF(H879&gt;10.1,"Good","Low"))</f>
        <v>Excellent</v>
      </c>
    </row>
    <row r="880" spans="1:9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 s="2">
        <v>1414</v>
      </c>
      <c r="G880">
        <v>308.39</v>
      </c>
      <c r="H880" s="2">
        <f>Table1[[#This Row],[Profit]]/Table1[[#This Row],[Sales]]*100</f>
        <v>21.809759547383308</v>
      </c>
      <c r="I880" t="str">
        <f>IF(Table1[[#This Row],[Profit %]]&gt;20,"Excellent",IF(H880&gt;10.1,"Good","Low"))</f>
        <v>Excellent</v>
      </c>
    </row>
    <row r="881" spans="1:9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 s="2">
        <v>8328</v>
      </c>
      <c r="G881">
        <v>466.38</v>
      </c>
      <c r="H881" s="2">
        <f>Table1[[#This Row],[Profit]]/Table1[[#This Row],[Sales]]*100</f>
        <v>5.6001440922190202</v>
      </c>
      <c r="I881" t="str">
        <f>IF(Table1[[#This Row],[Profit %]]&gt;20,"Excellent",IF(H881&gt;10.1,"Good","Low"))</f>
        <v>Low</v>
      </c>
    </row>
    <row r="882" spans="1:9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 s="2">
        <v>744</v>
      </c>
      <c r="G882">
        <v>217.21</v>
      </c>
      <c r="H882" s="2">
        <f>Table1[[#This Row],[Profit]]/Table1[[#This Row],[Sales]]*100</f>
        <v>29.194892473118276</v>
      </c>
      <c r="I882" t="str">
        <f>IF(Table1[[#This Row],[Profit %]]&gt;20,"Excellent",IF(H882&gt;10.1,"Good","Low"))</f>
        <v>Excellent</v>
      </c>
    </row>
    <row r="883" spans="1:9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 s="2">
        <v>1773</v>
      </c>
      <c r="G883">
        <v>168.01</v>
      </c>
      <c r="H883" s="2">
        <f>Table1[[#This Row],[Profit]]/Table1[[#This Row],[Sales]]*100</f>
        <v>9.4760293288212054</v>
      </c>
      <c r="I883" t="str">
        <f>IF(Table1[[#This Row],[Profit %]]&gt;20,"Excellent",IF(H883&gt;10.1,"Good","Low"))</f>
        <v>Low</v>
      </c>
    </row>
    <row r="884" spans="1:9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 s="2">
        <v>6034</v>
      </c>
      <c r="G884">
        <v>1018.37</v>
      </c>
      <c r="H884" s="2">
        <f>Table1[[#This Row],[Profit]]/Table1[[#This Row],[Sales]]*100</f>
        <v>16.877195889956912</v>
      </c>
      <c r="I884" t="str">
        <f>IF(Table1[[#This Row],[Profit %]]&gt;20,"Excellent",IF(H884&gt;10.1,"Good","Low"))</f>
        <v>Good</v>
      </c>
    </row>
    <row r="885" spans="1:9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 s="2">
        <v>756</v>
      </c>
      <c r="G885">
        <v>99.21</v>
      </c>
      <c r="H885" s="2">
        <f>Table1[[#This Row],[Profit]]/Table1[[#This Row],[Sales]]*100</f>
        <v>13.123015873015872</v>
      </c>
      <c r="I885" t="str">
        <f>IF(Table1[[#This Row],[Profit %]]&gt;20,"Excellent",IF(H885&gt;10.1,"Good","Low"))</f>
        <v>Good</v>
      </c>
    </row>
    <row r="886" spans="1:9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 s="2">
        <v>2256</v>
      </c>
      <c r="G886">
        <v>468.52</v>
      </c>
      <c r="H886" s="2">
        <f>Table1[[#This Row],[Profit]]/Table1[[#This Row],[Sales]]*100</f>
        <v>20.7677304964539</v>
      </c>
      <c r="I886" t="str">
        <f>IF(Table1[[#This Row],[Profit %]]&gt;20,"Excellent",IF(H886&gt;10.1,"Good","Low"))</f>
        <v>Excellent</v>
      </c>
    </row>
    <row r="887" spans="1:9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 s="2">
        <v>875</v>
      </c>
      <c r="G887">
        <v>203.63</v>
      </c>
      <c r="H887" s="2">
        <f>Table1[[#This Row],[Profit]]/Table1[[#This Row],[Sales]]*100</f>
        <v>23.271999999999998</v>
      </c>
      <c r="I887" t="str">
        <f>IF(Table1[[#This Row],[Profit %]]&gt;20,"Excellent",IF(H887&gt;10.1,"Good","Low"))</f>
        <v>Excellent</v>
      </c>
    </row>
    <row r="888" spans="1:9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 s="2">
        <v>1208</v>
      </c>
      <c r="G888">
        <v>115.13</v>
      </c>
      <c r="H888" s="2">
        <f>Table1[[#This Row],[Profit]]/Table1[[#This Row],[Sales]]*100</f>
        <v>9.5306291390728486</v>
      </c>
      <c r="I888" t="str">
        <f>IF(Table1[[#This Row],[Profit %]]&gt;20,"Excellent",IF(H888&gt;10.1,"Good","Low"))</f>
        <v>Low</v>
      </c>
    </row>
    <row r="889" spans="1:9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 s="2">
        <v>352</v>
      </c>
      <c r="G889">
        <v>54.19</v>
      </c>
      <c r="H889" s="2">
        <f>Table1[[#This Row],[Profit]]/Table1[[#This Row],[Sales]]*100</f>
        <v>15.394886363636362</v>
      </c>
      <c r="I889" t="str">
        <f>IF(Table1[[#This Row],[Profit %]]&gt;20,"Excellent",IF(H889&gt;10.1,"Good","Low"))</f>
        <v>Good</v>
      </c>
    </row>
    <row r="890" spans="1:9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 s="2">
        <v>4266</v>
      </c>
      <c r="G890">
        <v>357.51</v>
      </c>
      <c r="H890" s="2">
        <f>Table1[[#This Row],[Profit]]/Table1[[#This Row],[Sales]]*100</f>
        <v>8.3804500703234872</v>
      </c>
      <c r="I890" t="str">
        <f>IF(Table1[[#This Row],[Profit %]]&gt;20,"Excellent",IF(H890&gt;10.1,"Good","Low"))</f>
        <v>Low</v>
      </c>
    </row>
    <row r="891" spans="1:9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 s="2">
        <v>1841</v>
      </c>
      <c r="G891">
        <v>496.89</v>
      </c>
      <c r="H891" s="2">
        <f>Table1[[#This Row],[Profit]]/Table1[[#This Row],[Sales]]*100</f>
        <v>26.990222705051604</v>
      </c>
      <c r="I891" t="str">
        <f>IF(Table1[[#This Row],[Profit %]]&gt;20,"Excellent",IF(H891&gt;10.1,"Good","Low"))</f>
        <v>Excellent</v>
      </c>
    </row>
    <row r="892" spans="1:9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 s="2">
        <v>712</v>
      </c>
      <c r="G892">
        <v>89.5</v>
      </c>
      <c r="H892" s="2">
        <f>Table1[[#This Row],[Profit]]/Table1[[#This Row],[Sales]]*100</f>
        <v>12.570224719101123</v>
      </c>
      <c r="I892" t="str">
        <f>IF(Table1[[#This Row],[Profit %]]&gt;20,"Excellent",IF(H892&gt;10.1,"Good","Low"))</f>
        <v>Good</v>
      </c>
    </row>
    <row r="893" spans="1:9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 s="2">
        <v>724</v>
      </c>
      <c r="G893">
        <v>72.19</v>
      </c>
      <c r="H893" s="2">
        <f>Table1[[#This Row],[Profit]]/Table1[[#This Row],[Sales]]*100</f>
        <v>9.9709944751381219</v>
      </c>
      <c r="I893" t="str">
        <f>IF(Table1[[#This Row],[Profit %]]&gt;20,"Excellent",IF(H893&gt;10.1,"Good","Low"))</f>
        <v>Low</v>
      </c>
    </row>
    <row r="894" spans="1:9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 s="2">
        <v>5832</v>
      </c>
      <c r="G894">
        <v>662.72</v>
      </c>
      <c r="H894" s="2">
        <f>Table1[[#This Row],[Profit]]/Table1[[#This Row],[Sales]]*100</f>
        <v>11.363511659807957</v>
      </c>
      <c r="I894" t="str">
        <f>IF(Table1[[#This Row],[Profit %]]&gt;20,"Excellent",IF(H894&gt;10.1,"Good","Low"))</f>
        <v>Good</v>
      </c>
    </row>
    <row r="895" spans="1:9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 s="2">
        <v>4188</v>
      </c>
      <c r="G895">
        <v>989.14</v>
      </c>
      <c r="H895" s="2">
        <f>Table1[[#This Row],[Profit]]/Table1[[#This Row],[Sales]]*100</f>
        <v>23.618433619866284</v>
      </c>
      <c r="I895" t="str">
        <f>IF(Table1[[#This Row],[Profit %]]&gt;20,"Excellent",IF(H895&gt;10.1,"Good","Low"))</f>
        <v>Excellent</v>
      </c>
    </row>
    <row r="896" spans="1:9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 s="2">
        <v>392</v>
      </c>
      <c r="G896">
        <v>50.7</v>
      </c>
      <c r="H896" s="2">
        <f>Table1[[#This Row],[Profit]]/Table1[[#This Row],[Sales]]*100</f>
        <v>12.933673469387754</v>
      </c>
      <c r="I896" t="str">
        <f>IF(Table1[[#This Row],[Profit %]]&gt;20,"Excellent",IF(H896&gt;10.1,"Good","Low"))</f>
        <v>Good</v>
      </c>
    </row>
    <row r="897" spans="1:9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 s="2">
        <v>963</v>
      </c>
      <c r="G897">
        <v>49.71</v>
      </c>
      <c r="H897" s="2">
        <f>Table1[[#This Row],[Profit]]/Table1[[#This Row],[Sales]]*100</f>
        <v>5.1619937694704046</v>
      </c>
      <c r="I897" t="str">
        <f>IF(Table1[[#This Row],[Profit %]]&gt;20,"Excellent",IF(H897&gt;10.1,"Good","Low"))</f>
        <v>Low</v>
      </c>
    </row>
    <row r="898" spans="1:9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 s="2">
        <v>5706</v>
      </c>
      <c r="G898">
        <v>319.45999999999998</v>
      </c>
      <c r="H898" s="2">
        <f>Table1[[#This Row],[Profit]]/Table1[[#This Row],[Sales]]*100</f>
        <v>5.598668068699614</v>
      </c>
      <c r="I898" t="str">
        <f>IF(Table1[[#This Row],[Profit %]]&gt;20,"Excellent",IF(H898&gt;10.1,"Good","Low"))</f>
        <v>Low</v>
      </c>
    </row>
    <row r="899" spans="1:9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 s="2">
        <v>1365</v>
      </c>
      <c r="G899">
        <v>312.04000000000002</v>
      </c>
      <c r="H899" s="2">
        <f>Table1[[#This Row],[Profit]]/Table1[[#This Row],[Sales]]*100</f>
        <v>22.860073260073261</v>
      </c>
      <c r="I899" t="str">
        <f>IF(Table1[[#This Row],[Profit %]]&gt;20,"Excellent",IF(H899&gt;10.1,"Good","Low"))</f>
        <v>Excellent</v>
      </c>
    </row>
    <row r="900" spans="1:9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 s="2">
        <v>202</v>
      </c>
      <c r="G900">
        <v>11.24</v>
      </c>
      <c r="H900" s="2">
        <f>Table1[[#This Row],[Profit]]/Table1[[#This Row],[Sales]]*100</f>
        <v>5.5643564356435649</v>
      </c>
      <c r="I900" t="str">
        <f>IF(Table1[[#This Row],[Profit %]]&gt;20,"Excellent",IF(H900&gt;10.1,"Good","Low"))</f>
        <v>Low</v>
      </c>
    </row>
    <row r="901" spans="1:9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 s="2">
        <v>2430</v>
      </c>
      <c r="G901">
        <v>613.66999999999996</v>
      </c>
      <c r="H901" s="2">
        <f>Table1[[#This Row],[Profit]]/Table1[[#This Row],[Sales]]*100</f>
        <v>25.253909465020573</v>
      </c>
      <c r="I901" t="str">
        <f>IF(Table1[[#This Row],[Profit %]]&gt;20,"Excellent",IF(H901&gt;10.1,"Good","Low"))</f>
        <v>Excellent</v>
      </c>
    </row>
    <row r="902" spans="1:9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 s="2">
        <v>2670</v>
      </c>
      <c r="G902">
        <v>515.39</v>
      </c>
      <c r="H902" s="2">
        <f>Table1[[#This Row],[Profit]]/Table1[[#This Row],[Sales]]*100</f>
        <v>19.302996254681648</v>
      </c>
      <c r="I902" t="str">
        <f>IF(Table1[[#This Row],[Profit %]]&gt;20,"Excellent",IF(H902&gt;10.1,"Good","Low"))</f>
        <v>Good</v>
      </c>
    </row>
    <row r="903" spans="1:9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 s="2">
        <v>2758</v>
      </c>
      <c r="G903">
        <v>520.66</v>
      </c>
      <c r="H903" s="2">
        <f>Table1[[#This Row],[Profit]]/Table1[[#This Row],[Sales]]*100</f>
        <v>18.878172588832488</v>
      </c>
      <c r="I903" t="str">
        <f>IF(Table1[[#This Row],[Profit %]]&gt;20,"Excellent",IF(H903&gt;10.1,"Good","Low"))</f>
        <v>Good</v>
      </c>
    </row>
    <row r="904" spans="1:9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 s="2">
        <v>873</v>
      </c>
      <c r="G904">
        <v>82.35</v>
      </c>
      <c r="H904" s="2">
        <f>Table1[[#This Row],[Profit]]/Table1[[#This Row],[Sales]]*100</f>
        <v>9.4329896907216497</v>
      </c>
      <c r="I904" t="str">
        <f>IF(Table1[[#This Row],[Profit %]]&gt;20,"Excellent",IF(H904&gt;10.1,"Good","Low"))</f>
        <v>Low</v>
      </c>
    </row>
    <row r="905" spans="1:9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 s="2">
        <v>7245</v>
      </c>
      <c r="G905">
        <v>1410.92</v>
      </c>
      <c r="H905" s="2">
        <f>Table1[[#This Row],[Profit]]/Table1[[#This Row],[Sales]]*100</f>
        <v>19.4743961352657</v>
      </c>
      <c r="I905" t="str">
        <f>IF(Table1[[#This Row],[Profit %]]&gt;20,"Excellent",IF(H905&gt;10.1,"Good","Low"))</f>
        <v>Good</v>
      </c>
    </row>
    <row r="906" spans="1:9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 s="2">
        <v>960</v>
      </c>
      <c r="G906">
        <v>255.24</v>
      </c>
      <c r="H906" s="2">
        <f>Table1[[#This Row],[Profit]]/Table1[[#This Row],[Sales]]*100</f>
        <v>26.587500000000002</v>
      </c>
      <c r="I906" t="str">
        <f>IF(Table1[[#This Row],[Profit %]]&gt;20,"Excellent",IF(H906&gt;10.1,"Good","Low"))</f>
        <v>Excellent</v>
      </c>
    </row>
    <row r="907" spans="1:9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 s="2">
        <v>1284</v>
      </c>
      <c r="G907">
        <v>171.02</v>
      </c>
      <c r="H907" s="2">
        <f>Table1[[#This Row],[Profit]]/Table1[[#This Row],[Sales]]*100</f>
        <v>13.319314641744548</v>
      </c>
      <c r="I907" t="str">
        <f>IF(Table1[[#This Row],[Profit %]]&gt;20,"Excellent",IF(H907&gt;10.1,"Good","Low"))</f>
        <v>Good</v>
      </c>
    </row>
    <row r="908" spans="1:9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 s="2">
        <v>512</v>
      </c>
      <c r="G908">
        <v>110.47</v>
      </c>
      <c r="H908" s="2">
        <f>Table1[[#This Row],[Profit]]/Table1[[#This Row],[Sales]]*100</f>
        <v>21.576171875</v>
      </c>
      <c r="I908" t="str">
        <f>IF(Table1[[#This Row],[Profit %]]&gt;20,"Excellent",IF(H908&gt;10.1,"Good","Low"))</f>
        <v>Excellent</v>
      </c>
    </row>
    <row r="909" spans="1:9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 s="2">
        <v>9729</v>
      </c>
      <c r="G909">
        <v>2039.41</v>
      </c>
      <c r="H909" s="2">
        <f>Table1[[#This Row],[Profit]]/Table1[[#This Row],[Sales]]*100</f>
        <v>20.962174940898347</v>
      </c>
      <c r="I909" t="str">
        <f>IF(Table1[[#This Row],[Profit %]]&gt;20,"Excellent",IF(H909&gt;10.1,"Good","Low"))</f>
        <v>Excellent</v>
      </c>
    </row>
    <row r="910" spans="1:9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 s="2">
        <v>1580</v>
      </c>
      <c r="G910">
        <v>166.16</v>
      </c>
      <c r="H910" s="2">
        <f>Table1[[#This Row],[Profit]]/Table1[[#This Row],[Sales]]*100</f>
        <v>10.516455696202531</v>
      </c>
      <c r="I910" t="str">
        <f>IF(Table1[[#This Row],[Profit %]]&gt;20,"Excellent",IF(H910&gt;10.1,"Good","Low"))</f>
        <v>Good</v>
      </c>
    </row>
    <row r="911" spans="1:9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 s="2">
        <v>976</v>
      </c>
      <c r="G911">
        <v>234.24</v>
      </c>
      <c r="H911" s="2">
        <f>Table1[[#This Row],[Profit]]/Table1[[#This Row],[Sales]]*100</f>
        <v>24.000000000000004</v>
      </c>
      <c r="I911" t="str">
        <f>IF(Table1[[#This Row],[Profit %]]&gt;20,"Excellent",IF(H911&gt;10.1,"Good","Low"))</f>
        <v>Excellent</v>
      </c>
    </row>
    <row r="912" spans="1:9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 s="2">
        <v>1824</v>
      </c>
      <c r="G912">
        <v>495.35</v>
      </c>
      <c r="H912" s="2">
        <f>Table1[[#This Row],[Profit]]/Table1[[#This Row],[Sales]]*100</f>
        <v>27.157346491228076</v>
      </c>
      <c r="I912" t="str">
        <f>IF(Table1[[#This Row],[Profit %]]&gt;20,"Excellent",IF(H912&gt;10.1,"Good","Low"))</f>
        <v>Excellent</v>
      </c>
    </row>
    <row r="913" spans="1:9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 s="2">
        <v>3188</v>
      </c>
      <c r="G913">
        <v>202.81</v>
      </c>
      <c r="H913" s="2">
        <f>Table1[[#This Row],[Profit]]/Table1[[#This Row],[Sales]]*100</f>
        <v>6.3616687578419064</v>
      </c>
      <c r="I913" t="str">
        <f>IF(Table1[[#This Row],[Profit %]]&gt;20,"Excellent",IF(H913&gt;10.1,"Good","Low"))</f>
        <v>Low</v>
      </c>
    </row>
    <row r="914" spans="1:9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 s="2">
        <v>5467</v>
      </c>
      <c r="G914">
        <v>556.02</v>
      </c>
      <c r="H914" s="2">
        <f>Table1[[#This Row],[Profit]]/Table1[[#This Row],[Sales]]*100</f>
        <v>10.17047740991403</v>
      </c>
      <c r="I914" t="str">
        <f>IF(Table1[[#This Row],[Profit %]]&gt;20,"Excellent",IF(H914&gt;10.1,"Good","Low"))</f>
        <v>Good</v>
      </c>
    </row>
    <row r="915" spans="1:9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 s="2">
        <v>5406</v>
      </c>
      <c r="G915">
        <v>1277.46</v>
      </c>
      <c r="H915" s="2">
        <f>Table1[[#This Row],[Profit]]/Table1[[#This Row],[Sales]]*100</f>
        <v>23.630410654827969</v>
      </c>
      <c r="I915" t="str">
        <f>IF(Table1[[#This Row],[Profit %]]&gt;20,"Excellent",IF(H915&gt;10.1,"Good","Low"))</f>
        <v>Excellent</v>
      </c>
    </row>
    <row r="916" spans="1:9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 s="2">
        <v>2984</v>
      </c>
      <c r="G916">
        <v>742.31</v>
      </c>
      <c r="H916" s="2">
        <f>Table1[[#This Row],[Profit]]/Table1[[#This Row],[Sales]]*100</f>
        <v>24.876340482573724</v>
      </c>
      <c r="I916" t="str">
        <f>IF(Table1[[#This Row],[Profit %]]&gt;20,"Excellent",IF(H916&gt;10.1,"Good","Low"))</f>
        <v>Excellent</v>
      </c>
    </row>
    <row r="917" spans="1:9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 s="2">
        <v>919</v>
      </c>
      <c r="G917">
        <v>193.35</v>
      </c>
      <c r="H917" s="2">
        <f>Table1[[#This Row],[Profit]]/Table1[[#This Row],[Sales]]*100</f>
        <v>21.03917301414581</v>
      </c>
      <c r="I917" t="str">
        <f>IF(Table1[[#This Row],[Profit %]]&gt;20,"Excellent",IF(H917&gt;10.1,"Good","Low"))</f>
        <v>Excellent</v>
      </c>
    </row>
    <row r="918" spans="1:9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 s="2">
        <v>1686</v>
      </c>
      <c r="G918">
        <v>426.72</v>
      </c>
      <c r="H918" s="2">
        <f>Table1[[#This Row],[Profit]]/Table1[[#This Row],[Sales]]*100</f>
        <v>25.309608540925264</v>
      </c>
      <c r="I918" t="str">
        <f>IF(Table1[[#This Row],[Profit %]]&gt;20,"Excellent",IF(H918&gt;10.1,"Good","Low"))</f>
        <v>Excellent</v>
      </c>
    </row>
    <row r="919" spans="1:9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 s="2">
        <v>4165</v>
      </c>
      <c r="G919">
        <v>493.24</v>
      </c>
      <c r="H919" s="2">
        <f>Table1[[#This Row],[Profit]]/Table1[[#This Row],[Sales]]*100</f>
        <v>11.84249699879952</v>
      </c>
      <c r="I919" t="str">
        <f>IF(Table1[[#This Row],[Profit %]]&gt;20,"Excellent",IF(H919&gt;10.1,"Good","Low"))</f>
        <v>Good</v>
      </c>
    </row>
    <row r="920" spans="1:9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 s="2">
        <v>1281</v>
      </c>
      <c r="G920">
        <v>282.63</v>
      </c>
      <c r="H920" s="2">
        <f>Table1[[#This Row],[Profit]]/Table1[[#This Row],[Sales]]*100</f>
        <v>22.063231850117095</v>
      </c>
      <c r="I920" t="str">
        <f>IF(Table1[[#This Row],[Profit %]]&gt;20,"Excellent",IF(H920&gt;10.1,"Good","Low"))</f>
        <v>Excellent</v>
      </c>
    </row>
    <row r="921" spans="1:9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 s="2">
        <v>2829</v>
      </c>
      <c r="G921">
        <v>362.16</v>
      </c>
      <c r="H921" s="2">
        <f>Table1[[#This Row],[Profit]]/Table1[[#This Row],[Sales]]*100</f>
        <v>12.8016967126193</v>
      </c>
      <c r="I921" t="str">
        <f>IF(Table1[[#This Row],[Profit %]]&gt;20,"Excellent",IF(H921&gt;10.1,"Good","Low"))</f>
        <v>Good</v>
      </c>
    </row>
    <row r="922" spans="1:9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 s="2">
        <v>2211</v>
      </c>
      <c r="G922">
        <v>292.31</v>
      </c>
      <c r="H922" s="2">
        <f>Table1[[#This Row],[Profit]]/Table1[[#This Row],[Sales]]*100</f>
        <v>13.220714608774312</v>
      </c>
      <c r="I922" t="str">
        <f>IF(Table1[[#This Row],[Profit %]]&gt;20,"Excellent",IF(H922&gt;10.1,"Good","Low"))</f>
        <v>Good</v>
      </c>
    </row>
    <row r="923" spans="1:9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 s="2">
        <v>4740</v>
      </c>
      <c r="G923">
        <v>607.80999999999995</v>
      </c>
      <c r="H923" s="2">
        <f>Table1[[#This Row],[Profit]]/Table1[[#This Row],[Sales]]*100</f>
        <v>12.822995780590714</v>
      </c>
      <c r="I923" t="str">
        <f>IF(Table1[[#This Row],[Profit %]]&gt;20,"Excellent",IF(H923&gt;10.1,"Good","Low"))</f>
        <v>Good</v>
      </c>
    </row>
    <row r="924" spans="1:9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 s="2">
        <v>718</v>
      </c>
      <c r="G924">
        <v>169.09</v>
      </c>
      <c r="H924" s="2">
        <f>Table1[[#This Row],[Profit]]/Table1[[#This Row],[Sales]]*100</f>
        <v>23.550139275766018</v>
      </c>
      <c r="I924" t="str">
        <f>IF(Table1[[#This Row],[Profit %]]&gt;20,"Excellent",IF(H924&gt;10.1,"Good","Low"))</f>
        <v>Excellent</v>
      </c>
    </row>
    <row r="925" spans="1:9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 s="2">
        <v>1716</v>
      </c>
      <c r="G925">
        <v>108.81</v>
      </c>
      <c r="H925" s="2">
        <f>Table1[[#This Row],[Profit]]/Table1[[#This Row],[Sales]]*100</f>
        <v>6.3409090909090917</v>
      </c>
      <c r="I925" t="str">
        <f>IF(Table1[[#This Row],[Profit %]]&gt;20,"Excellent",IF(H925&gt;10.1,"Good","Low"))</f>
        <v>Low</v>
      </c>
    </row>
    <row r="926" spans="1:9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 s="2">
        <v>1547</v>
      </c>
      <c r="G926">
        <v>152.59</v>
      </c>
      <c r="H926" s="2">
        <f>Table1[[#This Row],[Profit]]/Table1[[#This Row],[Sales]]*100</f>
        <v>9.8636069812540406</v>
      </c>
      <c r="I926" t="str">
        <f>IF(Table1[[#This Row],[Profit %]]&gt;20,"Excellent",IF(H926&gt;10.1,"Good","Low"))</f>
        <v>Low</v>
      </c>
    </row>
    <row r="927" spans="1:9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 s="2">
        <v>739</v>
      </c>
      <c r="G927">
        <v>111.18</v>
      </c>
      <c r="H927" s="2">
        <f>Table1[[#This Row],[Profit]]/Table1[[#This Row],[Sales]]*100</f>
        <v>15.044654939106902</v>
      </c>
      <c r="I927" t="str">
        <f>IF(Table1[[#This Row],[Profit %]]&gt;20,"Excellent",IF(H927&gt;10.1,"Good","Low"))</f>
        <v>Good</v>
      </c>
    </row>
    <row r="928" spans="1:9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 s="2">
        <v>819</v>
      </c>
      <c r="G928">
        <v>231.88</v>
      </c>
      <c r="H928" s="2">
        <f>Table1[[#This Row],[Profit]]/Table1[[#This Row],[Sales]]*100</f>
        <v>28.312576312576311</v>
      </c>
      <c r="I928" t="str">
        <f>IF(Table1[[#This Row],[Profit %]]&gt;20,"Excellent",IF(H928&gt;10.1,"Good","Low"))</f>
        <v>Excellent</v>
      </c>
    </row>
    <row r="929" spans="1:9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 s="2">
        <v>5696</v>
      </c>
      <c r="G929">
        <v>1156.3</v>
      </c>
      <c r="H929" s="2">
        <f>Table1[[#This Row],[Profit]]/Table1[[#This Row],[Sales]]*100</f>
        <v>20.300210674157302</v>
      </c>
      <c r="I929" t="str">
        <f>IF(Table1[[#This Row],[Profit %]]&gt;20,"Excellent",IF(H929&gt;10.1,"Good","Low"))</f>
        <v>Excellent</v>
      </c>
    </row>
    <row r="930" spans="1:9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 s="2">
        <v>1706</v>
      </c>
      <c r="G930">
        <v>184.71</v>
      </c>
      <c r="H930" s="2">
        <f>Table1[[#This Row],[Profit]]/Table1[[#This Row],[Sales]]*100</f>
        <v>10.827080890973036</v>
      </c>
      <c r="I930" t="str">
        <f>IF(Table1[[#This Row],[Profit %]]&gt;20,"Excellent",IF(H930&gt;10.1,"Good","Low"))</f>
        <v>Good</v>
      </c>
    </row>
    <row r="931" spans="1:9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 s="2">
        <v>2066</v>
      </c>
      <c r="G931">
        <v>608.23</v>
      </c>
      <c r="H931" s="2">
        <f>Table1[[#This Row],[Profit]]/Table1[[#This Row],[Sales]]*100</f>
        <v>29.439980638915781</v>
      </c>
      <c r="I931" t="str">
        <f>IF(Table1[[#This Row],[Profit %]]&gt;20,"Excellent",IF(H931&gt;10.1,"Good","Low"))</f>
        <v>Excellent</v>
      </c>
    </row>
    <row r="932" spans="1:9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 s="2">
        <v>256</v>
      </c>
      <c r="G932">
        <v>35.659999999999997</v>
      </c>
      <c r="H932" s="2">
        <f>Table1[[#This Row],[Profit]]/Table1[[#This Row],[Sales]]*100</f>
        <v>13.929687499999998</v>
      </c>
      <c r="I932" t="str">
        <f>IF(Table1[[#This Row],[Profit %]]&gt;20,"Excellent",IF(H932&gt;10.1,"Good","Low"))</f>
        <v>Good</v>
      </c>
    </row>
    <row r="933" spans="1:9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 s="2">
        <v>1102</v>
      </c>
      <c r="G933">
        <v>182.54</v>
      </c>
      <c r="H933" s="2">
        <f>Table1[[#This Row],[Profit]]/Table1[[#This Row],[Sales]]*100</f>
        <v>16.564428312159709</v>
      </c>
      <c r="I933" t="str">
        <f>IF(Table1[[#This Row],[Profit %]]&gt;20,"Excellent",IF(H933&gt;10.1,"Good","Low"))</f>
        <v>Good</v>
      </c>
    </row>
    <row r="934" spans="1:9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 s="2">
        <v>2872</v>
      </c>
      <c r="G934">
        <v>483.94</v>
      </c>
      <c r="H934" s="2">
        <f>Table1[[#This Row],[Profit]]/Table1[[#This Row],[Sales]]*100</f>
        <v>16.850278551532032</v>
      </c>
      <c r="I934" t="str">
        <f>IF(Table1[[#This Row],[Profit %]]&gt;20,"Excellent",IF(H934&gt;10.1,"Good","Low"))</f>
        <v>Good</v>
      </c>
    </row>
    <row r="935" spans="1:9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 s="2">
        <v>2584</v>
      </c>
      <c r="G935">
        <v>394.52</v>
      </c>
      <c r="H935" s="2">
        <f>Table1[[#This Row],[Profit]]/Table1[[#This Row],[Sales]]*100</f>
        <v>15.267801857585139</v>
      </c>
      <c r="I935" t="str">
        <f>IF(Table1[[#This Row],[Profit %]]&gt;20,"Excellent",IF(H935&gt;10.1,"Good","Low"))</f>
        <v>Good</v>
      </c>
    </row>
    <row r="936" spans="1:9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 s="2">
        <v>1366</v>
      </c>
      <c r="G936">
        <v>298.32</v>
      </c>
      <c r="H936" s="2">
        <f>Table1[[#This Row],[Profit]]/Table1[[#This Row],[Sales]]*100</f>
        <v>21.838945827232795</v>
      </c>
      <c r="I936" t="str">
        <f>IF(Table1[[#This Row],[Profit %]]&gt;20,"Excellent",IF(H936&gt;10.1,"Good","Low"))</f>
        <v>Excellent</v>
      </c>
    </row>
    <row r="937" spans="1:9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 s="2">
        <v>1253</v>
      </c>
      <c r="G937">
        <v>354.23</v>
      </c>
      <c r="H937" s="2">
        <f>Table1[[#This Row],[Profit]]/Table1[[#This Row],[Sales]]*100</f>
        <v>28.270550678371908</v>
      </c>
      <c r="I937" t="str">
        <f>IF(Table1[[#This Row],[Profit %]]&gt;20,"Excellent",IF(H937&gt;10.1,"Good","Low"))</f>
        <v>Excellent</v>
      </c>
    </row>
    <row r="938" spans="1:9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 s="2">
        <v>2618</v>
      </c>
      <c r="G938">
        <v>300.81</v>
      </c>
      <c r="H938" s="2">
        <f>Table1[[#This Row],[Profit]]/Table1[[#This Row],[Sales]]*100</f>
        <v>11.490068754774638</v>
      </c>
      <c r="I938" t="str">
        <f>IF(Table1[[#This Row],[Profit %]]&gt;20,"Excellent",IF(H938&gt;10.1,"Good","Low"))</f>
        <v>Good</v>
      </c>
    </row>
    <row r="939" spans="1:9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 s="2">
        <v>6822</v>
      </c>
      <c r="G939">
        <v>1811.37</v>
      </c>
      <c r="H939" s="2">
        <f>Table1[[#This Row],[Profit]]/Table1[[#This Row],[Sales]]*100</f>
        <v>26.551890941072998</v>
      </c>
      <c r="I939" t="str">
        <f>IF(Table1[[#This Row],[Profit %]]&gt;20,"Excellent",IF(H939&gt;10.1,"Good","Low"))</f>
        <v>Excellent</v>
      </c>
    </row>
    <row r="940" spans="1:9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 s="2">
        <v>5286</v>
      </c>
      <c r="G940">
        <v>636.16</v>
      </c>
      <c r="H940" s="2">
        <f>Table1[[#This Row],[Profit]]/Table1[[#This Row],[Sales]]*100</f>
        <v>12.034808929247069</v>
      </c>
      <c r="I940" t="str">
        <f>IF(Table1[[#This Row],[Profit %]]&gt;20,"Excellent",IF(H940&gt;10.1,"Good","Low"))</f>
        <v>Good</v>
      </c>
    </row>
    <row r="941" spans="1:9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 s="2">
        <v>579</v>
      </c>
      <c r="G941">
        <v>133.57</v>
      </c>
      <c r="H941" s="2">
        <f>Table1[[#This Row],[Profit]]/Table1[[#This Row],[Sales]]*100</f>
        <v>23.069084628670119</v>
      </c>
      <c r="I941" t="str">
        <f>IF(Table1[[#This Row],[Profit %]]&gt;20,"Excellent",IF(H941&gt;10.1,"Good","Low"))</f>
        <v>Excellent</v>
      </c>
    </row>
    <row r="942" spans="1:9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 s="2">
        <v>1392</v>
      </c>
      <c r="G942">
        <v>190.99</v>
      </c>
      <c r="H942" s="2">
        <f>Table1[[#This Row],[Profit]]/Table1[[#This Row],[Sales]]*100</f>
        <v>13.720545977011495</v>
      </c>
      <c r="I942" t="str">
        <f>IF(Table1[[#This Row],[Profit %]]&gt;20,"Excellent",IF(H942&gt;10.1,"Good","Low"))</f>
        <v>Good</v>
      </c>
    </row>
    <row r="943" spans="1:9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 s="2">
        <v>2493</v>
      </c>
      <c r="G943">
        <v>696.69</v>
      </c>
      <c r="H943" s="2">
        <f>Table1[[#This Row],[Profit]]/Table1[[#This Row],[Sales]]*100</f>
        <v>27.945848375451266</v>
      </c>
      <c r="I943" t="str">
        <f>IF(Table1[[#This Row],[Profit %]]&gt;20,"Excellent",IF(H943&gt;10.1,"Good","Low"))</f>
        <v>Excellent</v>
      </c>
    </row>
    <row r="944" spans="1:9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 s="2">
        <v>6461</v>
      </c>
      <c r="G944">
        <v>766.45</v>
      </c>
      <c r="H944" s="2">
        <f>Table1[[#This Row],[Profit]]/Table1[[#This Row],[Sales]]*100</f>
        <v>11.862714750038695</v>
      </c>
      <c r="I944" t="str">
        <f>IF(Table1[[#This Row],[Profit %]]&gt;20,"Excellent",IF(H944&gt;10.1,"Good","Low"))</f>
        <v>Good</v>
      </c>
    </row>
    <row r="945" spans="1:9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 s="2">
        <v>1486</v>
      </c>
      <c r="G945">
        <v>201.07</v>
      </c>
      <c r="H945" s="2">
        <f>Table1[[#This Row],[Profit]]/Table1[[#This Row],[Sales]]*100</f>
        <v>13.530955585464334</v>
      </c>
      <c r="I945" t="str">
        <f>IF(Table1[[#This Row],[Profit %]]&gt;20,"Excellent",IF(H945&gt;10.1,"Good","Low"))</f>
        <v>Good</v>
      </c>
    </row>
    <row r="946" spans="1:9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 s="2">
        <v>1152</v>
      </c>
      <c r="G946">
        <v>280.27999999999997</v>
      </c>
      <c r="H946" s="2">
        <f>Table1[[#This Row],[Profit]]/Table1[[#This Row],[Sales]]*100</f>
        <v>24.329861111111111</v>
      </c>
      <c r="I946" t="str">
        <f>IF(Table1[[#This Row],[Profit %]]&gt;20,"Excellent",IF(H946&gt;10.1,"Good","Low"))</f>
        <v>Excellent</v>
      </c>
    </row>
    <row r="947" spans="1:9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 s="2">
        <v>1750</v>
      </c>
      <c r="G947">
        <v>103.99</v>
      </c>
      <c r="H947" s="2">
        <f>Table1[[#This Row],[Profit]]/Table1[[#This Row],[Sales]]*100</f>
        <v>5.9422857142857142</v>
      </c>
      <c r="I947" t="str">
        <f>IF(Table1[[#This Row],[Profit %]]&gt;20,"Excellent",IF(H947&gt;10.1,"Good","Low"))</f>
        <v>Low</v>
      </c>
    </row>
    <row r="948" spans="1:9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 s="2">
        <v>4417</v>
      </c>
      <c r="G948">
        <v>495.37</v>
      </c>
      <c r="H948" s="2">
        <f>Table1[[#This Row],[Profit]]/Table1[[#This Row],[Sales]]*100</f>
        <v>11.215078107312655</v>
      </c>
      <c r="I948" t="str">
        <f>IF(Table1[[#This Row],[Profit %]]&gt;20,"Excellent",IF(H948&gt;10.1,"Good","Low"))</f>
        <v>Good</v>
      </c>
    </row>
    <row r="949" spans="1:9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 s="2">
        <v>3724</v>
      </c>
      <c r="G949">
        <v>276.85000000000002</v>
      </c>
      <c r="H949" s="2">
        <f>Table1[[#This Row],[Profit]]/Table1[[#This Row],[Sales]]*100</f>
        <v>7.4342105263157903</v>
      </c>
      <c r="I949" t="str">
        <f>IF(Table1[[#This Row],[Profit %]]&gt;20,"Excellent",IF(H949&gt;10.1,"Good","Low"))</f>
        <v>Low</v>
      </c>
    </row>
    <row r="950" spans="1:9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 s="2">
        <v>2220</v>
      </c>
      <c r="G950">
        <v>121.14</v>
      </c>
      <c r="H950" s="2">
        <f>Table1[[#This Row],[Profit]]/Table1[[#This Row],[Sales]]*100</f>
        <v>5.4567567567567563</v>
      </c>
      <c r="I950" t="str">
        <f>IF(Table1[[#This Row],[Profit %]]&gt;20,"Excellent",IF(H950&gt;10.1,"Good","Low"))</f>
        <v>Low</v>
      </c>
    </row>
    <row r="951" spans="1:9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 s="2">
        <v>9104</v>
      </c>
      <c r="G951">
        <v>2620.58</v>
      </c>
      <c r="H951" s="2">
        <f>Table1[[#This Row],[Profit]]/Table1[[#This Row],[Sales]]*100</f>
        <v>28.784929701230226</v>
      </c>
      <c r="I951" t="str">
        <f>IF(Table1[[#This Row],[Profit %]]&gt;20,"Excellent",IF(H951&gt;10.1,"Good","Low"))</f>
        <v>Excellent</v>
      </c>
    </row>
    <row r="952" spans="1:9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 s="2">
        <v>3093</v>
      </c>
      <c r="G952">
        <v>584.23</v>
      </c>
      <c r="H952" s="2">
        <f>Table1[[#This Row],[Profit]]/Table1[[#This Row],[Sales]]*100</f>
        <v>18.888781118655029</v>
      </c>
      <c r="I952" t="str">
        <f>IF(Table1[[#This Row],[Profit %]]&gt;20,"Excellent",IF(H952&gt;10.1,"Good","Low"))</f>
        <v>Good</v>
      </c>
    </row>
    <row r="953" spans="1:9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 s="2">
        <v>3048</v>
      </c>
      <c r="G953">
        <v>842.24</v>
      </c>
      <c r="H953" s="2">
        <f>Table1[[#This Row],[Profit]]/Table1[[#This Row],[Sales]]*100</f>
        <v>27.632545931758528</v>
      </c>
      <c r="I953" t="str">
        <f>IF(Table1[[#This Row],[Profit %]]&gt;20,"Excellent",IF(H953&gt;10.1,"Good","Low"))</f>
        <v>Excellent</v>
      </c>
    </row>
    <row r="954" spans="1:9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 s="2">
        <v>161</v>
      </c>
      <c r="G954">
        <v>36.58</v>
      </c>
      <c r="H954" s="2">
        <f>Table1[[#This Row],[Profit]]/Table1[[#This Row],[Sales]]*100</f>
        <v>22.720496894409937</v>
      </c>
      <c r="I954" t="str">
        <f>IF(Table1[[#This Row],[Profit %]]&gt;20,"Excellent",IF(H954&gt;10.1,"Good","Low"))</f>
        <v>Excellent</v>
      </c>
    </row>
    <row r="955" spans="1:9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 s="2">
        <v>7238</v>
      </c>
      <c r="G955">
        <v>1889.69</v>
      </c>
      <c r="H955" s="2">
        <f>Table1[[#This Row],[Profit]]/Table1[[#This Row],[Sales]]*100</f>
        <v>26.107902735562309</v>
      </c>
      <c r="I955" t="str">
        <f>IF(Table1[[#This Row],[Profit %]]&gt;20,"Excellent",IF(H955&gt;10.1,"Good","Low"))</f>
        <v>Excellent</v>
      </c>
    </row>
    <row r="956" spans="1:9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 s="2">
        <v>3561</v>
      </c>
      <c r="G956">
        <v>347.31</v>
      </c>
      <c r="H956" s="2">
        <f>Table1[[#This Row],[Profit]]/Table1[[#This Row],[Sales]]*100</f>
        <v>9.753159224936816</v>
      </c>
      <c r="I956" t="str">
        <f>IF(Table1[[#This Row],[Profit %]]&gt;20,"Excellent",IF(H956&gt;10.1,"Good","Low"))</f>
        <v>Low</v>
      </c>
    </row>
    <row r="957" spans="1:9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 s="2">
        <v>1850</v>
      </c>
      <c r="G957">
        <v>534.39</v>
      </c>
      <c r="H957" s="2">
        <f>Table1[[#This Row],[Profit]]/Table1[[#This Row],[Sales]]*100</f>
        <v>28.885945945945945</v>
      </c>
      <c r="I957" t="str">
        <f>IF(Table1[[#This Row],[Profit %]]&gt;20,"Excellent",IF(H957&gt;10.1,"Good","Low"))</f>
        <v>Excellent</v>
      </c>
    </row>
    <row r="958" spans="1:9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 s="2">
        <v>3522</v>
      </c>
      <c r="G958">
        <v>626.72</v>
      </c>
      <c r="H958" s="2">
        <f>Table1[[#This Row],[Profit]]/Table1[[#This Row],[Sales]]*100</f>
        <v>17.79443498012493</v>
      </c>
      <c r="I958" t="str">
        <f>IF(Table1[[#This Row],[Profit %]]&gt;20,"Excellent",IF(H958&gt;10.1,"Good","Low"))</f>
        <v>Good</v>
      </c>
    </row>
    <row r="959" spans="1:9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 s="2">
        <v>584</v>
      </c>
      <c r="G959">
        <v>172.4</v>
      </c>
      <c r="H959" s="2">
        <f>Table1[[#This Row],[Profit]]/Table1[[#This Row],[Sales]]*100</f>
        <v>29.520547945205482</v>
      </c>
      <c r="I959" t="str">
        <f>IF(Table1[[#This Row],[Profit %]]&gt;20,"Excellent",IF(H959&gt;10.1,"Good","Low"))</f>
        <v>Excellent</v>
      </c>
    </row>
    <row r="960" spans="1:9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 s="2">
        <v>2556</v>
      </c>
      <c r="G960">
        <v>412.44</v>
      </c>
      <c r="H960" s="2">
        <f>Table1[[#This Row],[Profit]]/Table1[[#This Row],[Sales]]*100</f>
        <v>16.136150234741784</v>
      </c>
      <c r="I960" t="str">
        <f>IF(Table1[[#This Row],[Profit %]]&gt;20,"Excellent",IF(H960&gt;10.1,"Good","Low"))</f>
        <v>Good</v>
      </c>
    </row>
    <row r="961" spans="1:9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 s="2">
        <v>348</v>
      </c>
      <c r="G961">
        <v>56.31</v>
      </c>
      <c r="H961" s="2">
        <f>Table1[[#This Row],[Profit]]/Table1[[#This Row],[Sales]]*100</f>
        <v>16.181034482758623</v>
      </c>
      <c r="I961" t="str">
        <f>IF(Table1[[#This Row],[Profit %]]&gt;20,"Excellent",IF(H961&gt;10.1,"Good","Low"))</f>
        <v>Good</v>
      </c>
    </row>
    <row r="962" spans="1:9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 s="2">
        <v>1602</v>
      </c>
      <c r="G962">
        <v>142.49</v>
      </c>
      <c r="H962" s="2">
        <f>Table1[[#This Row],[Profit]]/Table1[[#This Row],[Sales]]*100</f>
        <v>8.8945068664169789</v>
      </c>
      <c r="I962" t="str">
        <f>IF(Table1[[#This Row],[Profit %]]&gt;20,"Excellent",IF(H962&gt;10.1,"Good","Low"))</f>
        <v>Low</v>
      </c>
    </row>
    <row r="963" spans="1:9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 s="2">
        <v>2853</v>
      </c>
      <c r="G963">
        <v>437.59</v>
      </c>
      <c r="H963" s="2">
        <f>Table1[[#This Row],[Profit]]/Table1[[#This Row],[Sales]]*100</f>
        <v>15.337889940413598</v>
      </c>
      <c r="I963" t="str">
        <f>IF(Table1[[#This Row],[Profit %]]&gt;20,"Excellent",IF(H963&gt;10.1,"Good","Low"))</f>
        <v>Good</v>
      </c>
    </row>
    <row r="964" spans="1:9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 s="2">
        <v>1024</v>
      </c>
      <c r="G964">
        <v>230.3</v>
      </c>
      <c r="H964" s="2">
        <f>Table1[[#This Row],[Profit]]/Table1[[#This Row],[Sales]]*100</f>
        <v>22.490234375</v>
      </c>
      <c r="I964" t="str">
        <f>IF(Table1[[#This Row],[Profit %]]&gt;20,"Excellent",IF(H964&gt;10.1,"Good","Low"))</f>
        <v>Excellent</v>
      </c>
    </row>
    <row r="965" spans="1:9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 s="2">
        <v>4485</v>
      </c>
      <c r="G965">
        <v>1324.49</v>
      </c>
      <c r="H965" s="2">
        <f>Table1[[#This Row],[Profit]]/Table1[[#This Row],[Sales]]*100</f>
        <v>29.531549609810483</v>
      </c>
      <c r="I965" t="str">
        <f>IF(Table1[[#This Row],[Profit %]]&gt;20,"Excellent",IF(H965&gt;10.1,"Good","Low"))</f>
        <v>Excellent</v>
      </c>
    </row>
    <row r="966" spans="1:9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 s="2">
        <v>436</v>
      </c>
      <c r="G966">
        <v>79.69</v>
      </c>
      <c r="H966" s="2">
        <f>Table1[[#This Row],[Profit]]/Table1[[#This Row],[Sales]]*100</f>
        <v>18.277522935779817</v>
      </c>
      <c r="I966" t="str">
        <f>IF(Table1[[#This Row],[Profit %]]&gt;20,"Excellent",IF(H966&gt;10.1,"Good","Low"))</f>
        <v>Good</v>
      </c>
    </row>
    <row r="967" spans="1:9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 s="2">
        <v>2232</v>
      </c>
      <c r="G967">
        <v>150.12</v>
      </c>
      <c r="H967" s="2">
        <f>Table1[[#This Row],[Profit]]/Table1[[#This Row],[Sales]]*100</f>
        <v>6.7258064516129039</v>
      </c>
      <c r="I967" t="str">
        <f>IF(Table1[[#This Row],[Profit %]]&gt;20,"Excellent",IF(H967&gt;10.1,"Good","Low"))</f>
        <v>Low</v>
      </c>
    </row>
    <row r="968" spans="1:9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 s="2">
        <v>7056</v>
      </c>
      <c r="G968">
        <v>1445.01</v>
      </c>
      <c r="H968" s="2">
        <f>Table1[[#This Row],[Profit]]/Table1[[#This Row],[Sales]]*100</f>
        <v>20.479166666666668</v>
      </c>
      <c r="I968" t="str">
        <f>IF(Table1[[#This Row],[Profit %]]&gt;20,"Excellent",IF(H968&gt;10.1,"Good","Low"))</f>
        <v>Excellent</v>
      </c>
    </row>
    <row r="969" spans="1:9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 s="2">
        <v>875</v>
      </c>
      <c r="G969">
        <v>96.65</v>
      </c>
      <c r="H969" s="2">
        <f>Table1[[#This Row],[Profit]]/Table1[[#This Row],[Sales]]*100</f>
        <v>11.045714285714286</v>
      </c>
      <c r="I969" t="str">
        <f>IF(Table1[[#This Row],[Profit %]]&gt;20,"Excellent",IF(H969&gt;10.1,"Good","Low"))</f>
        <v>Good</v>
      </c>
    </row>
    <row r="970" spans="1:9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 s="2">
        <v>315</v>
      </c>
      <c r="G970">
        <v>61.94</v>
      </c>
      <c r="H970" s="2">
        <f>Table1[[#This Row],[Profit]]/Table1[[#This Row],[Sales]]*100</f>
        <v>19.663492063492065</v>
      </c>
      <c r="I970" t="str">
        <f>IF(Table1[[#This Row],[Profit %]]&gt;20,"Excellent",IF(H970&gt;10.1,"Good","Low"))</f>
        <v>Good</v>
      </c>
    </row>
    <row r="971" spans="1:9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 s="2">
        <v>358</v>
      </c>
      <c r="G971">
        <v>51.75</v>
      </c>
      <c r="H971" s="2">
        <f>Table1[[#This Row],[Profit]]/Table1[[#This Row],[Sales]]*100</f>
        <v>14.455307262569834</v>
      </c>
      <c r="I971" t="str">
        <f>IF(Table1[[#This Row],[Profit %]]&gt;20,"Excellent",IF(H971&gt;10.1,"Good","Low"))</f>
        <v>Good</v>
      </c>
    </row>
    <row r="972" spans="1:9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 s="2">
        <v>3451</v>
      </c>
      <c r="G972">
        <v>194.42</v>
      </c>
      <c r="H972" s="2">
        <f>Table1[[#This Row],[Profit]]/Table1[[#This Row],[Sales]]*100</f>
        <v>5.6337293538104891</v>
      </c>
      <c r="I972" t="str">
        <f>IF(Table1[[#This Row],[Profit %]]&gt;20,"Excellent",IF(H972&gt;10.1,"Good","Low"))</f>
        <v>Low</v>
      </c>
    </row>
    <row r="973" spans="1:9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 s="2">
        <v>1350</v>
      </c>
      <c r="G973">
        <v>189.13</v>
      </c>
      <c r="H973" s="2">
        <f>Table1[[#This Row],[Profit]]/Table1[[#This Row],[Sales]]*100</f>
        <v>14.009629629629631</v>
      </c>
      <c r="I973" t="str">
        <f>IF(Table1[[#This Row],[Profit %]]&gt;20,"Excellent",IF(H973&gt;10.1,"Good","Low"))</f>
        <v>Good</v>
      </c>
    </row>
    <row r="974" spans="1:9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 s="2">
        <v>3320</v>
      </c>
      <c r="G974">
        <v>413.32</v>
      </c>
      <c r="H974" s="2">
        <f>Table1[[#This Row],[Profit]]/Table1[[#This Row],[Sales]]*100</f>
        <v>12.449397590361446</v>
      </c>
      <c r="I974" t="str">
        <f>IF(Table1[[#This Row],[Profit %]]&gt;20,"Excellent",IF(H974&gt;10.1,"Good","Low"))</f>
        <v>Good</v>
      </c>
    </row>
    <row r="975" spans="1:9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 s="2">
        <v>8442</v>
      </c>
      <c r="G975">
        <v>940.33</v>
      </c>
      <c r="H975" s="2">
        <f>Table1[[#This Row],[Profit]]/Table1[[#This Row],[Sales]]*100</f>
        <v>11.138711205875387</v>
      </c>
      <c r="I975" t="str">
        <f>IF(Table1[[#This Row],[Profit %]]&gt;20,"Excellent",IF(H975&gt;10.1,"Good","Low"))</f>
        <v>Good</v>
      </c>
    </row>
    <row r="976" spans="1:9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 s="2">
        <v>166</v>
      </c>
      <c r="G976">
        <v>31.97</v>
      </c>
      <c r="H976" s="2">
        <f>Table1[[#This Row],[Profit]]/Table1[[#This Row],[Sales]]*100</f>
        <v>19.25903614457831</v>
      </c>
      <c r="I976" t="str">
        <f>IF(Table1[[#This Row],[Profit %]]&gt;20,"Excellent",IF(H976&gt;10.1,"Good","Low"))</f>
        <v>Good</v>
      </c>
    </row>
    <row r="977" spans="1:9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 s="2">
        <v>3720</v>
      </c>
      <c r="G977">
        <v>448.6</v>
      </c>
      <c r="H977" s="2">
        <f>Table1[[#This Row],[Profit]]/Table1[[#This Row],[Sales]]*100</f>
        <v>12.059139784946238</v>
      </c>
      <c r="I977" t="str">
        <f>IF(Table1[[#This Row],[Profit %]]&gt;20,"Excellent",IF(H977&gt;10.1,"Good","Low"))</f>
        <v>Good</v>
      </c>
    </row>
    <row r="978" spans="1:9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 s="2">
        <v>1090</v>
      </c>
      <c r="G978">
        <v>136.65</v>
      </c>
      <c r="H978" s="2">
        <f>Table1[[#This Row],[Profit]]/Table1[[#This Row],[Sales]]*100</f>
        <v>12.536697247706421</v>
      </c>
      <c r="I978" t="str">
        <f>IF(Table1[[#This Row],[Profit %]]&gt;20,"Excellent",IF(H978&gt;10.1,"Good","Low"))</f>
        <v>Good</v>
      </c>
    </row>
    <row r="979" spans="1:9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 s="2">
        <v>9783</v>
      </c>
      <c r="G979">
        <v>2347.4899999999998</v>
      </c>
      <c r="H979" s="2">
        <f>Table1[[#This Row],[Profit]]/Table1[[#This Row],[Sales]]*100</f>
        <v>23.99560462025963</v>
      </c>
      <c r="I979" t="str">
        <f>IF(Table1[[#This Row],[Profit %]]&gt;20,"Excellent",IF(H979&gt;10.1,"Good","Low"))</f>
        <v>Excellent</v>
      </c>
    </row>
    <row r="980" spans="1:9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 s="2">
        <v>2432</v>
      </c>
      <c r="G980">
        <v>657.18</v>
      </c>
      <c r="H980" s="2">
        <f>Table1[[#This Row],[Profit]]/Table1[[#This Row],[Sales]]*100</f>
        <v>27.022203947368418</v>
      </c>
      <c r="I980" t="str">
        <f>IF(Table1[[#This Row],[Profit %]]&gt;20,"Excellent",IF(H980&gt;10.1,"Good","Low"))</f>
        <v>Excellent</v>
      </c>
    </row>
    <row r="981" spans="1:9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 s="2">
        <v>4060</v>
      </c>
      <c r="G981">
        <v>291.42</v>
      </c>
      <c r="H981" s="2">
        <f>Table1[[#This Row],[Profit]]/Table1[[#This Row],[Sales]]*100</f>
        <v>7.1778325123152715</v>
      </c>
      <c r="I981" t="str">
        <f>IF(Table1[[#This Row],[Profit %]]&gt;20,"Excellent",IF(H981&gt;10.1,"Good","Low"))</f>
        <v>Low</v>
      </c>
    </row>
    <row r="982" spans="1:9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 s="2">
        <v>387</v>
      </c>
      <c r="G982">
        <v>99.59</v>
      </c>
      <c r="H982" s="2">
        <f>Table1[[#This Row],[Profit]]/Table1[[#This Row],[Sales]]*100</f>
        <v>25.733850129198967</v>
      </c>
      <c r="I982" t="str">
        <f>IF(Table1[[#This Row],[Profit %]]&gt;20,"Excellent",IF(H982&gt;10.1,"Good","Low"))</f>
        <v>Excellent</v>
      </c>
    </row>
    <row r="983" spans="1:9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 s="2">
        <v>966</v>
      </c>
      <c r="G983">
        <v>120.56</v>
      </c>
      <c r="H983" s="2">
        <f>Table1[[#This Row],[Profit]]/Table1[[#This Row],[Sales]]*100</f>
        <v>12.480331262939959</v>
      </c>
      <c r="I983" t="str">
        <f>IF(Table1[[#This Row],[Profit %]]&gt;20,"Excellent",IF(H983&gt;10.1,"Good","Low"))</f>
        <v>Good</v>
      </c>
    </row>
    <row r="984" spans="1:9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 s="2">
        <v>3366</v>
      </c>
      <c r="G984">
        <v>882.29</v>
      </c>
      <c r="H984" s="2">
        <f>Table1[[#This Row],[Profit]]/Table1[[#This Row],[Sales]]*100</f>
        <v>26.21182412358883</v>
      </c>
      <c r="I984" t="str">
        <f>IF(Table1[[#This Row],[Profit %]]&gt;20,"Excellent",IF(H984&gt;10.1,"Good","Low"))</f>
        <v>Excellent</v>
      </c>
    </row>
    <row r="985" spans="1:9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 s="2">
        <v>7833</v>
      </c>
      <c r="G985">
        <v>1843.94</v>
      </c>
      <c r="H985" s="2">
        <f>Table1[[#This Row],[Profit]]/Table1[[#This Row],[Sales]]*100</f>
        <v>23.540661304736371</v>
      </c>
      <c r="I985" t="str">
        <f>IF(Table1[[#This Row],[Profit %]]&gt;20,"Excellent",IF(H985&gt;10.1,"Good","Low"))</f>
        <v>Excellent</v>
      </c>
    </row>
    <row r="986" spans="1:9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 s="2">
        <v>610</v>
      </c>
      <c r="G986">
        <v>33.549999999999997</v>
      </c>
      <c r="H986" s="2">
        <f>Table1[[#This Row],[Profit]]/Table1[[#This Row],[Sales]]*100</f>
        <v>5.4999999999999991</v>
      </c>
      <c r="I986" t="str">
        <f>IF(Table1[[#This Row],[Profit %]]&gt;20,"Excellent",IF(H986&gt;10.1,"Good","Low"))</f>
        <v>Low</v>
      </c>
    </row>
    <row r="987" spans="1:9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 s="2">
        <v>4288</v>
      </c>
      <c r="G987">
        <v>597.09</v>
      </c>
      <c r="H987" s="2">
        <f>Table1[[#This Row],[Profit]]/Table1[[#This Row],[Sales]]*100</f>
        <v>13.924673507462687</v>
      </c>
      <c r="I987" t="str">
        <f>IF(Table1[[#This Row],[Profit %]]&gt;20,"Excellent",IF(H987&gt;10.1,"Good","Low"))</f>
        <v>Good</v>
      </c>
    </row>
    <row r="988" spans="1:9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 s="2">
        <v>7740</v>
      </c>
      <c r="G988">
        <v>605.35</v>
      </c>
      <c r="H988" s="2">
        <f>Table1[[#This Row],[Profit]]/Table1[[#This Row],[Sales]]*100</f>
        <v>7.8210594315245476</v>
      </c>
      <c r="I988" t="str">
        <f>IF(Table1[[#This Row],[Profit %]]&gt;20,"Excellent",IF(H988&gt;10.1,"Good","Low"))</f>
        <v>Low</v>
      </c>
    </row>
    <row r="989" spans="1:9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 s="2">
        <v>3150</v>
      </c>
      <c r="G989">
        <v>457.13</v>
      </c>
      <c r="H989" s="2">
        <f>Table1[[#This Row],[Profit]]/Table1[[#This Row],[Sales]]*100</f>
        <v>14.512063492063493</v>
      </c>
      <c r="I989" t="str">
        <f>IF(Table1[[#This Row],[Profit %]]&gt;20,"Excellent",IF(H989&gt;10.1,"Good","Low"))</f>
        <v>Good</v>
      </c>
    </row>
    <row r="990" spans="1:9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 s="2">
        <v>894</v>
      </c>
      <c r="G990">
        <v>224.75</v>
      </c>
      <c r="H990" s="2">
        <f>Table1[[#This Row],[Profit]]/Table1[[#This Row],[Sales]]*100</f>
        <v>25.139821029082775</v>
      </c>
      <c r="I990" t="str">
        <f>IF(Table1[[#This Row],[Profit %]]&gt;20,"Excellent",IF(H990&gt;10.1,"Good","Low"))</f>
        <v>Excellent</v>
      </c>
    </row>
    <row r="991" spans="1:9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 s="2">
        <v>7544</v>
      </c>
      <c r="G991">
        <v>1219.73</v>
      </c>
      <c r="H991" s="2">
        <f>Table1[[#This Row],[Profit]]/Table1[[#This Row],[Sales]]*100</f>
        <v>16.168213149522799</v>
      </c>
      <c r="I991" t="str">
        <f>IF(Table1[[#This Row],[Profit %]]&gt;20,"Excellent",IF(H991&gt;10.1,"Good","Low"))</f>
        <v>Good</v>
      </c>
    </row>
    <row r="992" spans="1:9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 s="2">
        <v>6360</v>
      </c>
      <c r="G992">
        <v>1871.88</v>
      </c>
      <c r="H992" s="2">
        <f>Table1[[#This Row],[Profit]]/Table1[[#This Row],[Sales]]*100</f>
        <v>29.432075471698116</v>
      </c>
      <c r="I992" t="str">
        <f>IF(Table1[[#This Row],[Profit %]]&gt;20,"Excellent",IF(H992&gt;10.1,"Good","Low"))</f>
        <v>Excellent</v>
      </c>
    </row>
    <row r="993" spans="1:9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 s="2">
        <v>2428</v>
      </c>
      <c r="G993">
        <v>485.75</v>
      </c>
      <c r="H993" s="2">
        <f>Table1[[#This Row],[Profit]]/Table1[[#This Row],[Sales]]*100</f>
        <v>20.006177924217464</v>
      </c>
      <c r="I993" t="str">
        <f>IF(Table1[[#This Row],[Profit %]]&gt;20,"Excellent",IF(H993&gt;10.1,"Good","Low"))</f>
        <v>Excellent</v>
      </c>
    </row>
    <row r="994" spans="1:9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 s="2">
        <v>574</v>
      </c>
      <c r="G994">
        <v>38.520000000000003</v>
      </c>
      <c r="H994" s="2">
        <f>Table1[[#This Row],[Profit]]/Table1[[#This Row],[Sales]]*100</f>
        <v>6.7108013937282234</v>
      </c>
      <c r="I994" t="str">
        <f>IF(Table1[[#This Row],[Profit %]]&gt;20,"Excellent",IF(H994&gt;10.1,"Good","Low"))</f>
        <v>Low</v>
      </c>
    </row>
    <row r="995" spans="1:9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 s="2">
        <v>6744</v>
      </c>
      <c r="G995">
        <v>660.47</v>
      </c>
      <c r="H995" s="2">
        <f>Table1[[#This Row],[Profit]]/Table1[[#This Row],[Sales]]*100</f>
        <v>9.7934460260972713</v>
      </c>
      <c r="I995" t="str">
        <f>IF(Table1[[#This Row],[Profit %]]&gt;20,"Excellent",IF(H995&gt;10.1,"Good","Low"))</f>
        <v>Low</v>
      </c>
    </row>
    <row r="996" spans="1:9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 s="2">
        <v>798</v>
      </c>
      <c r="G996">
        <v>213.4</v>
      </c>
      <c r="H996" s="2">
        <f>Table1[[#This Row],[Profit]]/Table1[[#This Row],[Sales]]*100</f>
        <v>26.741854636591476</v>
      </c>
      <c r="I996" t="str">
        <f>IF(Table1[[#This Row],[Profit %]]&gt;20,"Excellent",IF(H996&gt;10.1,"Good","Low"))</f>
        <v>Excellent</v>
      </c>
    </row>
    <row r="997" spans="1:9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 s="2">
        <v>2860</v>
      </c>
      <c r="G997">
        <v>339</v>
      </c>
      <c r="H997" s="2">
        <f>Table1[[#This Row],[Profit]]/Table1[[#This Row],[Sales]]*100</f>
        <v>11.853146853146853</v>
      </c>
      <c r="I997" t="str">
        <f>IF(Table1[[#This Row],[Profit %]]&gt;20,"Excellent",IF(H997&gt;10.1,"Good","Low"))</f>
        <v>Good</v>
      </c>
    </row>
    <row r="998" spans="1:9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 s="2">
        <v>5410</v>
      </c>
      <c r="G998">
        <v>1129.77</v>
      </c>
      <c r="H998" s="2">
        <f>Table1[[#This Row],[Profit]]/Table1[[#This Row],[Sales]]*100</f>
        <v>20.882994454713494</v>
      </c>
      <c r="I998" t="str">
        <f>IF(Table1[[#This Row],[Profit %]]&gt;20,"Excellent",IF(H998&gt;10.1,"Good","Low"))</f>
        <v>Excellent</v>
      </c>
    </row>
    <row r="999" spans="1:9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 s="2">
        <v>4445</v>
      </c>
      <c r="G999">
        <v>580.15</v>
      </c>
      <c r="H999" s="2">
        <f>Table1[[#This Row],[Profit]]/Table1[[#This Row],[Sales]]*100</f>
        <v>13.051743532058493</v>
      </c>
      <c r="I999" t="str">
        <f>IF(Table1[[#This Row],[Profit %]]&gt;20,"Excellent",IF(H999&gt;10.1,"Good","Low"))</f>
        <v>Good</v>
      </c>
    </row>
    <row r="1000" spans="1:9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 s="2">
        <v>7536</v>
      </c>
      <c r="G1000">
        <v>1197.0899999999999</v>
      </c>
      <c r="H1000" s="2">
        <f>Table1[[#This Row],[Profit]]/Table1[[#This Row],[Sales]]*100</f>
        <v>15.884952229299362</v>
      </c>
      <c r="I1000" t="str">
        <f>IF(Table1[[#This Row],[Profit %]]&gt;20,"Excellent",IF(H1000&gt;10.1,"Good","Low"))</f>
        <v>Good</v>
      </c>
    </row>
    <row r="1001" spans="1:9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 s="2">
        <v>4165</v>
      </c>
      <c r="G1001">
        <v>263.26</v>
      </c>
      <c r="H1001" s="2">
        <f>Table1[[#This Row],[Profit]]/Table1[[#This Row],[Sales]]*100</f>
        <v>6.3207683073229282</v>
      </c>
      <c r="I1001" t="str">
        <f>IF(Table1[[#This Row],[Profit %]]&gt;20,"Excellent",IF(H1001&gt;10.1,"Good","Low"))</f>
        <v>Low</v>
      </c>
    </row>
    <row r="1002" spans="1:9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 s="2">
        <v>3021</v>
      </c>
      <c r="G1002">
        <v>763.99</v>
      </c>
      <c r="H1002" s="2">
        <f>Table1[[#This Row],[Profit]]/Table1[[#This Row],[Sales]]*100</f>
        <v>25.289308176100629</v>
      </c>
      <c r="I1002" t="str">
        <f>IF(Table1[[#This Row],[Profit %]]&gt;20,"Excellent",IF(H1002&gt;10.1,"Good","Low"))</f>
        <v>Excellent</v>
      </c>
    </row>
    <row r="1003" spans="1:9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 s="2">
        <v>310</v>
      </c>
      <c r="G1003">
        <v>70.66</v>
      </c>
      <c r="H1003" s="2">
        <f>Table1[[#This Row],[Profit]]/Table1[[#This Row],[Sales]]*100</f>
        <v>22.793548387096774</v>
      </c>
      <c r="I1003" t="str">
        <f>IF(Table1[[#This Row],[Profit %]]&gt;20,"Excellent",IF(H1003&gt;10.1,"Good","Low"))</f>
        <v>Excellent</v>
      </c>
    </row>
    <row r="1004" spans="1:9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 s="2">
        <v>2170</v>
      </c>
      <c r="G1004">
        <v>522</v>
      </c>
      <c r="H1004" s="2">
        <f>Table1[[#This Row],[Profit]]/Table1[[#This Row],[Sales]]*100</f>
        <v>24.055299539170509</v>
      </c>
      <c r="I1004" t="str">
        <f>IF(Table1[[#This Row],[Profit %]]&gt;20,"Excellent",IF(H1004&gt;10.1,"Good","Low"))</f>
        <v>Excellent</v>
      </c>
    </row>
    <row r="1005" spans="1:9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 s="2">
        <v>2832</v>
      </c>
      <c r="G1005">
        <v>317.76</v>
      </c>
      <c r="H1005" s="2">
        <f>Table1[[#This Row],[Profit]]/Table1[[#This Row],[Sales]]*100</f>
        <v>11.220338983050846</v>
      </c>
      <c r="I1005" t="str">
        <f>IF(Table1[[#This Row],[Profit %]]&gt;20,"Excellent",IF(H1005&gt;10.1,"Good","Low"))</f>
        <v>Good</v>
      </c>
    </row>
    <row r="1006" spans="1:9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 s="2">
        <v>3945</v>
      </c>
      <c r="G1006">
        <v>392.09</v>
      </c>
      <c r="H1006" s="2">
        <f>Table1[[#This Row],[Profit]]/Table1[[#This Row],[Sales]]*100</f>
        <v>9.9389100126742704</v>
      </c>
      <c r="I1006" t="str">
        <f>IF(Table1[[#This Row],[Profit %]]&gt;20,"Excellent",IF(H1006&gt;10.1,"Good","Low"))</f>
        <v>Low</v>
      </c>
    </row>
    <row r="1007" spans="1:9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 s="2">
        <v>2104</v>
      </c>
      <c r="G1007">
        <v>308</v>
      </c>
      <c r="H1007" s="2">
        <f>Table1[[#This Row],[Profit]]/Table1[[#This Row],[Sales]]*100</f>
        <v>14.638783269961978</v>
      </c>
      <c r="I1007" t="str">
        <f>IF(Table1[[#This Row],[Profit %]]&gt;20,"Excellent",IF(H1007&gt;10.1,"Good","Low"))</f>
        <v>Good</v>
      </c>
    </row>
    <row r="1008" spans="1:9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 s="2">
        <v>2060</v>
      </c>
      <c r="G1008">
        <v>517.64</v>
      </c>
      <c r="H1008" s="2">
        <f>Table1[[#This Row],[Profit]]/Table1[[#This Row],[Sales]]*100</f>
        <v>25.128155339805826</v>
      </c>
      <c r="I1008" t="str">
        <f>IF(Table1[[#This Row],[Profit %]]&gt;20,"Excellent",IF(H1008&gt;10.1,"Good","Low"))</f>
        <v>Excellent</v>
      </c>
    </row>
    <row r="1009" spans="1:9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 s="2">
        <v>1060</v>
      </c>
      <c r="G1009">
        <v>155.78</v>
      </c>
      <c r="H1009" s="2">
        <f>Table1[[#This Row],[Profit]]/Table1[[#This Row],[Sales]]*100</f>
        <v>14.69622641509434</v>
      </c>
      <c r="I1009" t="str">
        <f>IF(Table1[[#This Row],[Profit %]]&gt;20,"Excellent",IF(H1009&gt;10.1,"Good","Low"))</f>
        <v>Good</v>
      </c>
    </row>
    <row r="1010" spans="1:9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 s="2">
        <v>810</v>
      </c>
      <c r="G1010">
        <v>108.61</v>
      </c>
      <c r="H1010" s="2">
        <f>Table1[[#This Row],[Profit]]/Table1[[#This Row],[Sales]]*100</f>
        <v>13.40864197530864</v>
      </c>
      <c r="I1010" t="str">
        <f>IF(Table1[[#This Row],[Profit %]]&gt;20,"Excellent",IF(H1010&gt;10.1,"Good","Low"))</f>
        <v>Good</v>
      </c>
    </row>
    <row r="1011" spans="1:9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 s="2">
        <v>873</v>
      </c>
      <c r="G1011">
        <v>57.42</v>
      </c>
      <c r="H1011" s="2">
        <f>Table1[[#This Row],[Profit]]/Table1[[#This Row],[Sales]]*100</f>
        <v>6.5773195876288657</v>
      </c>
      <c r="I1011" t="str">
        <f>IF(Table1[[#This Row],[Profit %]]&gt;20,"Excellent",IF(H1011&gt;10.1,"Good","Low"))</f>
        <v>Low</v>
      </c>
    </row>
    <row r="1012" spans="1:9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 s="2">
        <v>595</v>
      </c>
      <c r="G1012">
        <v>121.11</v>
      </c>
      <c r="H1012" s="2">
        <f>Table1[[#This Row],[Profit]]/Table1[[#This Row],[Sales]]*100</f>
        <v>20.354621848739495</v>
      </c>
      <c r="I1012" t="str">
        <f>IF(Table1[[#This Row],[Profit %]]&gt;20,"Excellent",IF(H1012&gt;10.1,"Good","Low"))</f>
        <v>Excellent</v>
      </c>
    </row>
    <row r="1013" spans="1:9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 s="2">
        <v>1562</v>
      </c>
      <c r="G1013">
        <v>119.56</v>
      </c>
      <c r="H1013" s="2">
        <f>Table1[[#This Row],[Profit]]/Table1[[#This Row],[Sales]]*100</f>
        <v>7.6542893725992318</v>
      </c>
      <c r="I1013" t="str">
        <f>IF(Table1[[#This Row],[Profit %]]&gt;20,"Excellent",IF(H1013&gt;10.1,"Good","Low"))</f>
        <v>Low</v>
      </c>
    </row>
    <row r="1014" spans="1:9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 s="2">
        <v>5337</v>
      </c>
      <c r="G1014">
        <v>1575.99</v>
      </c>
      <c r="H1014" s="2">
        <f>Table1[[#This Row],[Profit]]/Table1[[#This Row],[Sales]]*100</f>
        <v>29.529510961214168</v>
      </c>
      <c r="I1014" t="str">
        <f>IF(Table1[[#This Row],[Profit %]]&gt;20,"Excellent",IF(H1014&gt;10.1,"Good","Low"))</f>
        <v>Excellent</v>
      </c>
    </row>
    <row r="1015" spans="1:9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 s="2">
        <v>212</v>
      </c>
      <c r="G1015">
        <v>13.4</v>
      </c>
      <c r="H1015" s="2">
        <f>Table1[[#This Row],[Profit]]/Table1[[#This Row],[Sales]]*100</f>
        <v>6.3207547169811322</v>
      </c>
      <c r="I1015" t="str">
        <f>IF(Table1[[#This Row],[Profit %]]&gt;20,"Excellent",IF(H1015&gt;10.1,"Good","Low"))</f>
        <v>Low</v>
      </c>
    </row>
    <row r="1016" spans="1:9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 s="2">
        <v>2704</v>
      </c>
      <c r="G1016">
        <v>705.74</v>
      </c>
      <c r="H1016" s="2">
        <f>Table1[[#This Row],[Profit]]/Table1[[#This Row],[Sales]]*100</f>
        <v>26.09985207100592</v>
      </c>
      <c r="I1016" t="str">
        <f>IF(Table1[[#This Row],[Profit %]]&gt;20,"Excellent",IF(H1016&gt;10.1,"Good","Low"))</f>
        <v>Excellent</v>
      </c>
    </row>
    <row r="1017" spans="1:9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 s="2">
        <v>3225</v>
      </c>
      <c r="G1017">
        <v>523.32000000000005</v>
      </c>
      <c r="H1017" s="2">
        <f>Table1[[#This Row],[Profit]]/Table1[[#This Row],[Sales]]*100</f>
        <v>16.226976744186047</v>
      </c>
      <c r="I1017" t="str">
        <f>IF(Table1[[#This Row],[Profit %]]&gt;20,"Excellent",IF(H1017&gt;10.1,"Good","Low"))</f>
        <v>Good</v>
      </c>
    </row>
    <row r="1018" spans="1:9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 s="2">
        <v>1342</v>
      </c>
      <c r="G1018">
        <v>184.59</v>
      </c>
      <c r="H1018" s="2">
        <f>Table1[[#This Row],[Profit]]/Table1[[#This Row],[Sales]]*100</f>
        <v>13.754843517138598</v>
      </c>
      <c r="I1018" t="str">
        <f>IF(Table1[[#This Row],[Profit %]]&gt;20,"Excellent",IF(H1018&gt;10.1,"Good","Low"))</f>
        <v>Good</v>
      </c>
    </row>
    <row r="1019" spans="1:9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 s="2">
        <v>3395</v>
      </c>
      <c r="G1019">
        <v>1012.78</v>
      </c>
      <c r="H1019" s="2">
        <f>Table1[[#This Row],[Profit]]/Table1[[#This Row],[Sales]]*100</f>
        <v>29.831516936671576</v>
      </c>
      <c r="I1019" t="str">
        <f>IF(Table1[[#This Row],[Profit %]]&gt;20,"Excellent",IF(H1019&gt;10.1,"Good","Low"))</f>
        <v>Excellent</v>
      </c>
    </row>
    <row r="1020" spans="1:9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 s="2">
        <v>3968</v>
      </c>
      <c r="G1020">
        <v>480.72</v>
      </c>
      <c r="H1020" s="2">
        <f>Table1[[#This Row],[Profit]]/Table1[[#This Row],[Sales]]*100</f>
        <v>12.11491935483871</v>
      </c>
      <c r="I1020" t="str">
        <f>IF(Table1[[#This Row],[Profit %]]&gt;20,"Excellent",IF(H1020&gt;10.1,"Good","Low"))</f>
        <v>Good</v>
      </c>
    </row>
    <row r="1021" spans="1:9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 s="2">
        <v>4555</v>
      </c>
      <c r="G1021">
        <v>776.65</v>
      </c>
      <c r="H1021" s="2">
        <f>Table1[[#This Row],[Profit]]/Table1[[#This Row],[Sales]]*100</f>
        <v>17.050493962678377</v>
      </c>
      <c r="I1021" t="str">
        <f>IF(Table1[[#This Row],[Profit %]]&gt;20,"Excellent",IF(H1021&gt;10.1,"Good","Low"))</f>
        <v>Good</v>
      </c>
    </row>
    <row r="1022" spans="1:9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 s="2">
        <v>2132</v>
      </c>
      <c r="G1022">
        <v>365.44</v>
      </c>
      <c r="H1022" s="2">
        <f>Table1[[#This Row],[Profit]]/Table1[[#This Row],[Sales]]*100</f>
        <v>17.140712945590995</v>
      </c>
      <c r="I1022" t="str">
        <f>IF(Table1[[#This Row],[Profit %]]&gt;20,"Excellent",IF(H1022&gt;10.1,"Good","Low"))</f>
        <v>Good</v>
      </c>
    </row>
    <row r="1023" spans="1:9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 s="2">
        <v>6516</v>
      </c>
      <c r="G1023">
        <v>842.83</v>
      </c>
      <c r="H1023" s="2">
        <f>Table1[[#This Row],[Profit]]/Table1[[#This Row],[Sales]]*100</f>
        <v>12.934775936157154</v>
      </c>
      <c r="I1023" t="str">
        <f>IF(Table1[[#This Row],[Profit %]]&gt;20,"Excellent",IF(H1023&gt;10.1,"Good","Low"))</f>
        <v>Good</v>
      </c>
    </row>
    <row r="1024" spans="1:9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 s="2">
        <v>2040</v>
      </c>
      <c r="G1024">
        <v>481.15</v>
      </c>
      <c r="H1024" s="2">
        <f>Table1[[#This Row],[Profit]]/Table1[[#This Row],[Sales]]*100</f>
        <v>23.58578431372549</v>
      </c>
      <c r="I1024" t="str">
        <f>IF(Table1[[#This Row],[Profit %]]&gt;20,"Excellent",IF(H1024&gt;10.1,"Good","Low"))</f>
        <v>Excellent</v>
      </c>
    </row>
    <row r="1025" spans="1:9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 s="2">
        <v>6126</v>
      </c>
      <c r="G1025">
        <v>428.38</v>
      </c>
      <c r="H1025" s="2">
        <f>Table1[[#This Row],[Profit]]/Table1[[#This Row],[Sales]]*100</f>
        <v>6.9928174991838068</v>
      </c>
      <c r="I1025" t="str">
        <f>IF(Table1[[#This Row],[Profit %]]&gt;20,"Excellent",IF(H1025&gt;10.1,"Good","Low"))</f>
        <v>Low</v>
      </c>
    </row>
    <row r="1026" spans="1:9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 s="2">
        <v>520</v>
      </c>
      <c r="G1026">
        <v>30.58</v>
      </c>
      <c r="H1026" s="2">
        <f>Table1[[#This Row],[Profit]]/Table1[[#This Row],[Sales]]*100</f>
        <v>5.8807692307692303</v>
      </c>
      <c r="I1026" t="str">
        <f>IF(Table1[[#This Row],[Profit %]]&gt;20,"Excellent",IF(H1026&gt;10.1,"Good","Low"))</f>
        <v>Low</v>
      </c>
    </row>
    <row r="1027" spans="1:9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 s="2">
        <v>4470</v>
      </c>
      <c r="G1027">
        <v>526.96</v>
      </c>
      <c r="H1027" s="2">
        <f>Table1[[#This Row],[Profit]]/Table1[[#This Row],[Sales]]*100</f>
        <v>11.78881431767338</v>
      </c>
      <c r="I1027" t="str">
        <f>IF(Table1[[#This Row],[Profit %]]&gt;20,"Excellent",IF(H1027&gt;10.1,"Good","Low"))</f>
        <v>Good</v>
      </c>
    </row>
    <row r="1028" spans="1:9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 s="2">
        <v>5504</v>
      </c>
      <c r="G1028">
        <v>1196.78</v>
      </c>
      <c r="H1028" s="2">
        <f>Table1[[#This Row],[Profit]]/Table1[[#This Row],[Sales]]*100</f>
        <v>21.743822674418603</v>
      </c>
      <c r="I1028" t="str">
        <f>IF(Table1[[#This Row],[Profit %]]&gt;20,"Excellent",IF(H1028&gt;10.1,"Good","Low"))</f>
        <v>Excellent</v>
      </c>
    </row>
    <row r="1029" spans="1:9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 s="2">
        <v>3036</v>
      </c>
      <c r="G1029">
        <v>511.69</v>
      </c>
      <c r="H1029" s="2">
        <f>Table1[[#This Row],[Profit]]/Table1[[#This Row],[Sales]]*100</f>
        <v>16.854084321475625</v>
      </c>
      <c r="I1029" t="str">
        <f>IF(Table1[[#This Row],[Profit %]]&gt;20,"Excellent",IF(H1029&gt;10.1,"Good","Low"))</f>
        <v>Good</v>
      </c>
    </row>
    <row r="1030" spans="1:9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 s="2">
        <v>2725</v>
      </c>
      <c r="G1030">
        <v>308.29000000000002</v>
      </c>
      <c r="H1030" s="2">
        <f>Table1[[#This Row],[Profit]]/Table1[[#This Row],[Sales]]*100</f>
        <v>11.313394495412844</v>
      </c>
      <c r="I1030" t="str">
        <f>IF(Table1[[#This Row],[Profit %]]&gt;20,"Excellent",IF(H1030&gt;10.1,"Good","Low"))</f>
        <v>Good</v>
      </c>
    </row>
    <row r="1031" spans="1:9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 s="2">
        <v>4080</v>
      </c>
      <c r="G1031">
        <v>336.96</v>
      </c>
      <c r="H1031" s="2">
        <f>Table1[[#This Row],[Profit]]/Table1[[#This Row],[Sales]]*100</f>
        <v>8.2588235294117638</v>
      </c>
      <c r="I1031" t="str">
        <f>IF(Table1[[#This Row],[Profit %]]&gt;20,"Excellent",IF(H1031&gt;10.1,"Good","Low"))</f>
        <v>Low</v>
      </c>
    </row>
    <row r="1032" spans="1:9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 s="2">
        <v>3080</v>
      </c>
      <c r="G1032">
        <v>776.6</v>
      </c>
      <c r="H1032" s="2">
        <f>Table1[[#This Row],[Profit]]/Table1[[#This Row],[Sales]]*100</f>
        <v>25.214285714285715</v>
      </c>
      <c r="I1032" t="str">
        <f>IF(Table1[[#This Row],[Profit %]]&gt;20,"Excellent",IF(H1032&gt;10.1,"Good","Low"))</f>
        <v>Excellent</v>
      </c>
    </row>
    <row r="1033" spans="1:9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 s="2">
        <v>1525</v>
      </c>
      <c r="G1033">
        <v>413.75</v>
      </c>
      <c r="H1033" s="2">
        <f>Table1[[#This Row],[Profit]]/Table1[[#This Row],[Sales]]*100</f>
        <v>27.131147540983608</v>
      </c>
      <c r="I1033" t="str">
        <f>IF(Table1[[#This Row],[Profit %]]&gt;20,"Excellent",IF(H1033&gt;10.1,"Good","Low"))</f>
        <v>Excellent</v>
      </c>
    </row>
    <row r="1034" spans="1:9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 s="2">
        <v>1332</v>
      </c>
      <c r="G1034">
        <v>342.85</v>
      </c>
      <c r="H1034" s="2">
        <f>Table1[[#This Row],[Profit]]/Table1[[#This Row],[Sales]]*100</f>
        <v>25.739489489489493</v>
      </c>
      <c r="I1034" t="str">
        <f>IF(Table1[[#This Row],[Profit %]]&gt;20,"Excellent",IF(H1034&gt;10.1,"Good","Low"))</f>
        <v>Excellent</v>
      </c>
    </row>
    <row r="1035" spans="1:9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 s="2">
        <v>4669</v>
      </c>
      <c r="G1035">
        <v>803.21</v>
      </c>
      <c r="H1035" s="2">
        <f>Table1[[#This Row],[Profit]]/Table1[[#This Row],[Sales]]*100</f>
        <v>17.20304133647462</v>
      </c>
      <c r="I1035" t="str">
        <f>IF(Table1[[#This Row],[Profit %]]&gt;20,"Excellent",IF(H1035&gt;10.1,"Good","Low"))</f>
        <v>Good</v>
      </c>
    </row>
    <row r="1036" spans="1:9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 s="2">
        <v>5310</v>
      </c>
      <c r="G1036">
        <v>1099.8399999999999</v>
      </c>
      <c r="H1036" s="2">
        <f>Table1[[#This Row],[Profit]]/Table1[[#This Row],[Sales]]*100</f>
        <v>20.71261770244821</v>
      </c>
      <c r="I1036" t="str">
        <f>IF(Table1[[#This Row],[Profit %]]&gt;20,"Excellent",IF(H1036&gt;10.1,"Good","Low"))</f>
        <v>Excellent</v>
      </c>
    </row>
    <row r="1037" spans="1:9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 s="2">
        <v>9392</v>
      </c>
      <c r="G1037">
        <v>2651.84</v>
      </c>
      <c r="H1037" s="2">
        <f>Table1[[#This Row],[Profit]]/Table1[[#This Row],[Sales]]*100</f>
        <v>28.235093696763201</v>
      </c>
      <c r="I1037" t="str">
        <f>IF(Table1[[#This Row],[Profit %]]&gt;20,"Excellent",IF(H1037&gt;10.1,"Good","Low"))</f>
        <v>Excellent</v>
      </c>
    </row>
    <row r="1038" spans="1:9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 s="2">
        <v>1350</v>
      </c>
      <c r="G1038">
        <v>198.19</v>
      </c>
      <c r="H1038" s="2">
        <f>Table1[[#This Row],[Profit]]/Table1[[#This Row],[Sales]]*100</f>
        <v>14.680740740740742</v>
      </c>
      <c r="I1038" t="str">
        <f>IF(Table1[[#This Row],[Profit %]]&gt;20,"Excellent",IF(H1038&gt;10.1,"Good","Low"))</f>
        <v>Good</v>
      </c>
    </row>
    <row r="1039" spans="1:9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 s="2">
        <v>3648</v>
      </c>
      <c r="G1039">
        <v>768.61</v>
      </c>
      <c r="H1039" s="2">
        <f>Table1[[#This Row],[Profit]]/Table1[[#This Row],[Sales]]*100</f>
        <v>21.069353070175438</v>
      </c>
      <c r="I1039" t="str">
        <f>IF(Table1[[#This Row],[Profit %]]&gt;20,"Excellent",IF(H1039&gt;10.1,"Good","Low"))</f>
        <v>Excellent</v>
      </c>
    </row>
    <row r="1040" spans="1:9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 s="2">
        <v>300</v>
      </c>
      <c r="G1040">
        <v>47.59</v>
      </c>
      <c r="H1040" s="2">
        <f>Table1[[#This Row],[Profit]]/Table1[[#This Row],[Sales]]*100</f>
        <v>15.863333333333335</v>
      </c>
      <c r="I1040" t="str">
        <f>IF(Table1[[#This Row],[Profit %]]&gt;20,"Excellent",IF(H1040&gt;10.1,"Good","Low"))</f>
        <v>Good</v>
      </c>
    </row>
    <row r="1041" spans="1:9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 s="2">
        <v>3408</v>
      </c>
      <c r="G1041">
        <v>727.26</v>
      </c>
      <c r="H1041" s="2">
        <f>Table1[[#This Row],[Profit]]/Table1[[#This Row],[Sales]]*100</f>
        <v>21.339788732394364</v>
      </c>
      <c r="I1041" t="str">
        <f>IF(Table1[[#This Row],[Profit %]]&gt;20,"Excellent",IF(H1041&gt;10.1,"Good","Low"))</f>
        <v>Excellent</v>
      </c>
    </row>
    <row r="1042" spans="1:9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 s="2">
        <v>4302</v>
      </c>
      <c r="G1042">
        <v>475.96</v>
      </c>
      <c r="H1042" s="2">
        <f>Table1[[#This Row],[Profit]]/Table1[[#This Row],[Sales]]*100</f>
        <v>11.063691306369131</v>
      </c>
      <c r="I1042" t="str">
        <f>IF(Table1[[#This Row],[Profit %]]&gt;20,"Excellent",IF(H1042&gt;10.1,"Good","Low"))</f>
        <v>Good</v>
      </c>
    </row>
    <row r="1043" spans="1:9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 s="2">
        <v>4575</v>
      </c>
      <c r="G1043">
        <v>771.24</v>
      </c>
      <c r="H1043" s="2">
        <f>Table1[[#This Row],[Profit]]/Table1[[#This Row],[Sales]]*100</f>
        <v>16.857704918032788</v>
      </c>
      <c r="I1043" t="str">
        <f>IF(Table1[[#This Row],[Profit %]]&gt;20,"Excellent",IF(H1043&gt;10.1,"Good","Low"))</f>
        <v>Good</v>
      </c>
    </row>
    <row r="1044" spans="1:9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 s="2">
        <v>9304</v>
      </c>
      <c r="G1044">
        <v>1855.7</v>
      </c>
      <c r="H1044" s="2">
        <f>Table1[[#This Row],[Profit]]/Table1[[#This Row],[Sales]]*100</f>
        <v>19.945184866723988</v>
      </c>
      <c r="I1044" t="str">
        <f>IF(Table1[[#This Row],[Profit %]]&gt;20,"Excellent",IF(H1044&gt;10.1,"Good","Low"))</f>
        <v>Good</v>
      </c>
    </row>
    <row r="1045" spans="1:9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 s="2">
        <v>1928</v>
      </c>
      <c r="G1045">
        <v>232.48</v>
      </c>
      <c r="H1045" s="2">
        <f>Table1[[#This Row],[Profit]]/Table1[[#This Row],[Sales]]*100</f>
        <v>12.058091286307054</v>
      </c>
      <c r="I1045" t="str">
        <f>IF(Table1[[#This Row],[Profit %]]&gt;20,"Excellent",IF(H1045&gt;10.1,"Good","Low"))</f>
        <v>Good</v>
      </c>
    </row>
    <row r="1046" spans="1:9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 s="2">
        <v>1042</v>
      </c>
      <c r="G1046">
        <v>86.24</v>
      </c>
      <c r="H1046" s="2">
        <f>Table1[[#This Row],[Profit]]/Table1[[#This Row],[Sales]]*100</f>
        <v>8.276391554702494</v>
      </c>
      <c r="I1046" t="str">
        <f>IF(Table1[[#This Row],[Profit %]]&gt;20,"Excellent",IF(H1046&gt;10.1,"Good","Low"))</f>
        <v>Low</v>
      </c>
    </row>
    <row r="1047" spans="1:9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 s="2">
        <v>2214</v>
      </c>
      <c r="G1047">
        <v>507.7</v>
      </c>
      <c r="H1047" s="2">
        <f>Table1[[#This Row],[Profit]]/Table1[[#This Row],[Sales]]*100</f>
        <v>22.931345980126466</v>
      </c>
      <c r="I1047" t="str">
        <f>IF(Table1[[#This Row],[Profit %]]&gt;20,"Excellent",IF(H1047&gt;10.1,"Good","Low"))</f>
        <v>Excellent</v>
      </c>
    </row>
    <row r="1048" spans="1:9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 s="2">
        <v>3024</v>
      </c>
      <c r="G1048">
        <v>678.26</v>
      </c>
      <c r="H1048" s="2">
        <f>Table1[[#This Row],[Profit]]/Table1[[#This Row],[Sales]]*100</f>
        <v>22.429232804232804</v>
      </c>
      <c r="I1048" t="str">
        <f>IF(Table1[[#This Row],[Profit %]]&gt;20,"Excellent",IF(H1048&gt;10.1,"Good","Low"))</f>
        <v>Excellent</v>
      </c>
    </row>
    <row r="1049" spans="1:9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 s="2">
        <v>1104</v>
      </c>
      <c r="G1049">
        <v>173.01</v>
      </c>
      <c r="H1049" s="2">
        <f>Table1[[#This Row],[Profit]]/Table1[[#This Row],[Sales]]*100</f>
        <v>15.67119565217391</v>
      </c>
      <c r="I1049" t="str">
        <f>IF(Table1[[#This Row],[Profit %]]&gt;20,"Excellent",IF(H1049&gt;10.1,"Good","Low"))</f>
        <v>Good</v>
      </c>
    </row>
    <row r="1050" spans="1:9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 s="2">
        <v>6056</v>
      </c>
      <c r="G1050">
        <v>1631.71</v>
      </c>
      <c r="H1050" s="2">
        <f>Table1[[#This Row],[Profit]]/Table1[[#This Row],[Sales]]*100</f>
        <v>26.943692206076619</v>
      </c>
      <c r="I1050" t="str">
        <f>IF(Table1[[#This Row],[Profit %]]&gt;20,"Excellent",IF(H1050&gt;10.1,"Good","Low"))</f>
        <v>Excellent</v>
      </c>
    </row>
    <row r="1051" spans="1:9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 s="2">
        <v>5295</v>
      </c>
      <c r="G1051">
        <v>1375.98</v>
      </c>
      <c r="H1051" s="2">
        <f>Table1[[#This Row],[Profit]]/Table1[[#This Row],[Sales]]*100</f>
        <v>25.986402266288955</v>
      </c>
      <c r="I1051" t="str">
        <f>IF(Table1[[#This Row],[Profit %]]&gt;20,"Excellent",IF(H1051&gt;10.1,"Good","Low"))</f>
        <v>Excellent</v>
      </c>
    </row>
    <row r="1052" spans="1:9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 s="2">
        <v>3668</v>
      </c>
      <c r="G1052">
        <v>839.4</v>
      </c>
      <c r="H1052" s="2">
        <f>Table1[[#This Row],[Profit]]/Table1[[#This Row],[Sales]]*100</f>
        <v>22.884405670665213</v>
      </c>
      <c r="I1052" t="str">
        <f>IF(Table1[[#This Row],[Profit %]]&gt;20,"Excellent",IF(H1052&gt;10.1,"Good","Low"))</f>
        <v>Excellent</v>
      </c>
    </row>
    <row r="1053" spans="1:9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 s="2">
        <v>4293</v>
      </c>
      <c r="G1053">
        <v>295.47000000000003</v>
      </c>
      <c r="H1053" s="2">
        <f>Table1[[#This Row],[Profit]]/Table1[[#This Row],[Sales]]*100</f>
        <v>6.8825995807127889</v>
      </c>
      <c r="I1053" t="str">
        <f>IF(Table1[[#This Row],[Profit %]]&gt;20,"Excellent",IF(H1053&gt;10.1,"Good","Low"))</f>
        <v>Low</v>
      </c>
    </row>
    <row r="1054" spans="1:9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 s="2">
        <v>5789</v>
      </c>
      <c r="G1054">
        <v>950.45</v>
      </c>
      <c r="H1054" s="2">
        <f>Table1[[#This Row],[Profit]]/Table1[[#This Row],[Sales]]*100</f>
        <v>16.418206944204528</v>
      </c>
      <c r="I1054" t="str">
        <f>IF(Table1[[#This Row],[Profit %]]&gt;20,"Excellent",IF(H1054&gt;10.1,"Good","Low"))</f>
        <v>Good</v>
      </c>
    </row>
    <row r="1055" spans="1:9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 s="2">
        <v>4440</v>
      </c>
      <c r="G1055">
        <v>800.92</v>
      </c>
      <c r="H1055" s="2">
        <f>Table1[[#This Row],[Profit]]/Table1[[#This Row],[Sales]]*100</f>
        <v>18.03873873873874</v>
      </c>
      <c r="I1055" t="str">
        <f>IF(Table1[[#This Row],[Profit %]]&gt;20,"Excellent",IF(H1055&gt;10.1,"Good","Low"))</f>
        <v>Good</v>
      </c>
    </row>
    <row r="1056" spans="1:9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 s="2">
        <v>5515</v>
      </c>
      <c r="G1056">
        <v>330.02</v>
      </c>
      <c r="H1056" s="2">
        <f>Table1[[#This Row],[Profit]]/Table1[[#This Row],[Sales]]*100</f>
        <v>5.9840435176790567</v>
      </c>
      <c r="I1056" t="str">
        <f>IF(Table1[[#This Row],[Profit %]]&gt;20,"Excellent",IF(H1056&gt;10.1,"Good","Low"))</f>
        <v>Low</v>
      </c>
    </row>
    <row r="1057" spans="1:9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 s="2">
        <v>784</v>
      </c>
      <c r="G1057">
        <v>192.77</v>
      </c>
      <c r="H1057" s="2">
        <f>Table1[[#This Row],[Profit]]/Table1[[#This Row],[Sales]]*100</f>
        <v>24.588010204081634</v>
      </c>
      <c r="I1057" t="str">
        <f>IF(Table1[[#This Row],[Profit %]]&gt;20,"Excellent",IF(H1057&gt;10.1,"Good","Low"))</f>
        <v>Excellent</v>
      </c>
    </row>
    <row r="1058" spans="1:9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 s="2">
        <v>576</v>
      </c>
      <c r="G1058">
        <v>156.59</v>
      </c>
      <c r="H1058" s="2">
        <f>Table1[[#This Row],[Profit]]/Table1[[#This Row],[Sales]]*100</f>
        <v>27.185763888888893</v>
      </c>
      <c r="I1058" t="str">
        <f>IF(Table1[[#This Row],[Profit %]]&gt;20,"Excellent",IF(H1058&gt;10.1,"Good","Low"))</f>
        <v>Excellent</v>
      </c>
    </row>
    <row r="1059" spans="1:9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 s="2">
        <v>705</v>
      </c>
      <c r="G1059">
        <v>198.62</v>
      </c>
      <c r="H1059" s="2">
        <f>Table1[[#This Row],[Profit]]/Table1[[#This Row],[Sales]]*100</f>
        <v>28.173049645390069</v>
      </c>
      <c r="I1059" t="str">
        <f>IF(Table1[[#This Row],[Profit %]]&gt;20,"Excellent",IF(H1059&gt;10.1,"Good","Low"))</f>
        <v>Excellent</v>
      </c>
    </row>
    <row r="1060" spans="1:9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 s="2">
        <v>4458</v>
      </c>
      <c r="G1060">
        <v>1215.3</v>
      </c>
      <c r="H1060" s="2">
        <f>Table1[[#This Row],[Profit]]/Table1[[#This Row],[Sales]]*100</f>
        <v>27.261103633916555</v>
      </c>
      <c r="I1060" t="str">
        <f>IF(Table1[[#This Row],[Profit %]]&gt;20,"Excellent",IF(H1060&gt;10.1,"Good","Low"))</f>
        <v>Excellent</v>
      </c>
    </row>
    <row r="1061" spans="1:9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 s="2">
        <v>6780</v>
      </c>
      <c r="G1061">
        <v>811.92</v>
      </c>
      <c r="H1061" s="2">
        <f>Table1[[#This Row],[Profit]]/Table1[[#This Row],[Sales]]*100</f>
        <v>11.975221238938053</v>
      </c>
      <c r="I1061" t="str">
        <f>IF(Table1[[#This Row],[Profit %]]&gt;20,"Excellent",IF(H1061&gt;10.1,"Good","Low"))</f>
        <v>Good</v>
      </c>
    </row>
    <row r="1062" spans="1:9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 s="2">
        <v>3970</v>
      </c>
      <c r="G1062">
        <v>642.70000000000005</v>
      </c>
      <c r="H1062" s="2">
        <f>Table1[[#This Row],[Profit]]/Table1[[#This Row],[Sales]]*100</f>
        <v>16.188916876574307</v>
      </c>
      <c r="I1062" t="str">
        <f>IF(Table1[[#This Row],[Profit %]]&gt;20,"Excellent",IF(H1062&gt;10.1,"Good","Low"))</f>
        <v>Good</v>
      </c>
    </row>
    <row r="1063" spans="1:9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 s="2">
        <v>5131</v>
      </c>
      <c r="G1063">
        <v>368.11</v>
      </c>
      <c r="H1063" s="2">
        <f>Table1[[#This Row],[Profit]]/Table1[[#This Row],[Sales]]*100</f>
        <v>7.174235041902163</v>
      </c>
      <c r="I1063" t="str">
        <f>IF(Table1[[#This Row],[Profit %]]&gt;20,"Excellent",IF(H1063&gt;10.1,"Good","Low"))</f>
        <v>Low</v>
      </c>
    </row>
    <row r="1064" spans="1:9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 s="2">
        <v>1750</v>
      </c>
      <c r="G1064">
        <v>90.21</v>
      </c>
      <c r="H1064" s="2">
        <f>Table1[[#This Row],[Profit]]/Table1[[#This Row],[Sales]]*100</f>
        <v>5.1548571428571419</v>
      </c>
      <c r="I1064" t="str">
        <f>IF(Table1[[#This Row],[Profit %]]&gt;20,"Excellent",IF(H1064&gt;10.1,"Good","Low"))</f>
        <v>Low</v>
      </c>
    </row>
    <row r="1065" spans="1:9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 s="2">
        <v>8337</v>
      </c>
      <c r="G1065">
        <v>753.35</v>
      </c>
      <c r="H1065" s="2">
        <f>Table1[[#This Row],[Profit]]/Table1[[#This Row],[Sales]]*100</f>
        <v>9.0362240614129785</v>
      </c>
      <c r="I1065" t="str">
        <f>IF(Table1[[#This Row],[Profit %]]&gt;20,"Excellent",IF(H1065&gt;10.1,"Good","Low"))</f>
        <v>Low</v>
      </c>
    </row>
    <row r="1066" spans="1:9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 s="2">
        <v>9810</v>
      </c>
      <c r="G1066">
        <v>549.46</v>
      </c>
      <c r="H1066" s="2">
        <f>Table1[[#This Row],[Profit]]/Table1[[#This Row],[Sales]]*100</f>
        <v>5.6010193679918459</v>
      </c>
      <c r="I1066" t="str">
        <f>IF(Table1[[#This Row],[Profit %]]&gt;20,"Excellent",IF(H1066&gt;10.1,"Good","Low"))</f>
        <v>Low</v>
      </c>
    </row>
    <row r="1067" spans="1:9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 s="2">
        <v>2658</v>
      </c>
      <c r="G1067">
        <v>794.36</v>
      </c>
      <c r="H1067" s="2">
        <f>Table1[[#This Row],[Profit]]/Table1[[#This Row],[Sales]]*100</f>
        <v>29.885628291948834</v>
      </c>
      <c r="I1067" t="str">
        <f>IF(Table1[[#This Row],[Profit %]]&gt;20,"Excellent",IF(H1067&gt;10.1,"Good","Low"))</f>
        <v>Excellent</v>
      </c>
    </row>
    <row r="1068" spans="1:9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 s="2">
        <v>473</v>
      </c>
      <c r="G1068">
        <v>43.65</v>
      </c>
      <c r="H1068" s="2">
        <f>Table1[[#This Row],[Profit]]/Table1[[#This Row],[Sales]]*100</f>
        <v>9.2283298097251585</v>
      </c>
      <c r="I1068" t="str">
        <f>IF(Table1[[#This Row],[Profit %]]&gt;20,"Excellent",IF(H1068&gt;10.1,"Good","Low"))</f>
        <v>Low</v>
      </c>
    </row>
    <row r="1069" spans="1:9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 s="2">
        <v>2205</v>
      </c>
      <c r="G1069">
        <v>410.01</v>
      </c>
      <c r="H1069" s="2">
        <f>Table1[[#This Row],[Profit]]/Table1[[#This Row],[Sales]]*100</f>
        <v>18.59455782312925</v>
      </c>
      <c r="I1069" t="str">
        <f>IF(Table1[[#This Row],[Profit %]]&gt;20,"Excellent",IF(H1069&gt;10.1,"Good","Low"))</f>
        <v>Good</v>
      </c>
    </row>
    <row r="1070" spans="1:9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 s="2">
        <v>6948</v>
      </c>
      <c r="G1070">
        <v>1409.3</v>
      </c>
      <c r="H1070" s="2">
        <f>Table1[[#This Row],[Profit]]/Table1[[#This Row],[Sales]]*100</f>
        <v>20.283534830166953</v>
      </c>
      <c r="I1070" t="str">
        <f>IF(Table1[[#This Row],[Profit %]]&gt;20,"Excellent",IF(H1070&gt;10.1,"Good","Low"))</f>
        <v>Excellent</v>
      </c>
    </row>
    <row r="1071" spans="1:9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 s="2">
        <v>774</v>
      </c>
      <c r="G1071">
        <v>212.02</v>
      </c>
      <c r="H1071" s="2">
        <f>Table1[[#This Row],[Profit]]/Table1[[#This Row],[Sales]]*100</f>
        <v>27.392764857881136</v>
      </c>
      <c r="I1071" t="str">
        <f>IF(Table1[[#This Row],[Profit %]]&gt;20,"Excellent",IF(H1071&gt;10.1,"Good","Low"))</f>
        <v>Excellent</v>
      </c>
    </row>
    <row r="1072" spans="1:9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 s="2">
        <v>2532</v>
      </c>
      <c r="G1072">
        <v>343.13</v>
      </c>
      <c r="H1072" s="2">
        <f>Table1[[#This Row],[Profit]]/Table1[[#This Row],[Sales]]*100</f>
        <v>13.551737756714061</v>
      </c>
      <c r="I1072" t="str">
        <f>IF(Table1[[#This Row],[Profit %]]&gt;20,"Excellent",IF(H1072&gt;10.1,"Good","Low"))</f>
        <v>Good</v>
      </c>
    </row>
    <row r="1073" spans="1:9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 s="2">
        <v>6587</v>
      </c>
      <c r="G1073">
        <v>1173.9100000000001</v>
      </c>
      <c r="H1073" s="2">
        <f>Table1[[#This Row],[Profit]]/Table1[[#This Row],[Sales]]*100</f>
        <v>17.821618339152877</v>
      </c>
      <c r="I1073" t="str">
        <f>IF(Table1[[#This Row],[Profit %]]&gt;20,"Excellent",IF(H1073&gt;10.1,"Good","Low"))</f>
        <v>Good</v>
      </c>
    </row>
    <row r="1074" spans="1:9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 s="2">
        <v>7266</v>
      </c>
      <c r="G1074">
        <v>806.79</v>
      </c>
      <c r="H1074" s="2">
        <f>Table1[[#This Row],[Profit]]/Table1[[#This Row],[Sales]]*100</f>
        <v>11.103633360858794</v>
      </c>
      <c r="I1074" t="str">
        <f>IF(Table1[[#This Row],[Profit %]]&gt;20,"Excellent",IF(H1074&gt;10.1,"Good","Low"))</f>
        <v>Good</v>
      </c>
    </row>
    <row r="1075" spans="1:9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 s="2">
        <v>6867</v>
      </c>
      <c r="G1075">
        <v>502.06</v>
      </c>
      <c r="H1075" s="2">
        <f>Table1[[#This Row],[Profit]]/Table1[[#This Row],[Sales]]*100</f>
        <v>7.3111984855104115</v>
      </c>
      <c r="I1075" t="str">
        <f>IF(Table1[[#This Row],[Profit %]]&gt;20,"Excellent",IF(H1075&gt;10.1,"Good","Low"))</f>
        <v>Low</v>
      </c>
    </row>
    <row r="1076" spans="1:9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 s="2">
        <v>4887</v>
      </c>
      <c r="G1076">
        <v>396.36</v>
      </c>
      <c r="H1076" s="2">
        <f>Table1[[#This Row],[Profit]]/Table1[[#This Row],[Sales]]*100</f>
        <v>8.1104972375690618</v>
      </c>
      <c r="I1076" t="str">
        <f>IF(Table1[[#This Row],[Profit %]]&gt;20,"Excellent",IF(H1076&gt;10.1,"Good","Low"))</f>
        <v>Low</v>
      </c>
    </row>
    <row r="1077" spans="1:9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 s="2">
        <v>864</v>
      </c>
      <c r="G1077">
        <v>251.99</v>
      </c>
      <c r="H1077" s="2">
        <f>Table1[[#This Row],[Profit]]/Table1[[#This Row],[Sales]]*100</f>
        <v>29.16550925925926</v>
      </c>
      <c r="I1077" t="str">
        <f>IF(Table1[[#This Row],[Profit %]]&gt;20,"Excellent",IF(H1077&gt;10.1,"Good","Low"))</f>
        <v>Excellent</v>
      </c>
    </row>
    <row r="1078" spans="1:9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 s="2">
        <v>5190</v>
      </c>
      <c r="G1078">
        <v>1215.07</v>
      </c>
      <c r="H1078" s="2">
        <f>Table1[[#This Row],[Profit]]/Table1[[#This Row],[Sales]]*100</f>
        <v>23.411753371868976</v>
      </c>
      <c r="I1078" t="str">
        <f>IF(Table1[[#This Row],[Profit %]]&gt;20,"Excellent",IF(H1078&gt;10.1,"Good","Low"))</f>
        <v>Excellent</v>
      </c>
    </row>
    <row r="1079" spans="1:9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 s="2">
        <v>2128</v>
      </c>
      <c r="G1079">
        <v>294.45</v>
      </c>
      <c r="H1079" s="2">
        <f>Table1[[#This Row],[Profit]]/Table1[[#This Row],[Sales]]*100</f>
        <v>13.836936090225564</v>
      </c>
      <c r="I1079" t="str">
        <f>IF(Table1[[#This Row],[Profit %]]&gt;20,"Excellent",IF(H1079&gt;10.1,"Good","Low"))</f>
        <v>Good</v>
      </c>
    </row>
    <row r="1080" spans="1:9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 s="2">
        <v>1718</v>
      </c>
      <c r="G1080">
        <v>218.82</v>
      </c>
      <c r="H1080" s="2">
        <f>Table1[[#This Row],[Profit]]/Table1[[#This Row],[Sales]]*100</f>
        <v>12.736903376018628</v>
      </c>
      <c r="I1080" t="str">
        <f>IF(Table1[[#This Row],[Profit %]]&gt;20,"Excellent",IF(H1080&gt;10.1,"Good","Low"))</f>
        <v>Good</v>
      </c>
    </row>
    <row r="1081" spans="1:9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 s="2">
        <v>1270</v>
      </c>
      <c r="G1081">
        <v>229.39</v>
      </c>
      <c r="H1081" s="2">
        <f>Table1[[#This Row],[Profit]]/Table1[[#This Row],[Sales]]*100</f>
        <v>18.062204724409447</v>
      </c>
      <c r="I1081" t="str">
        <f>IF(Table1[[#This Row],[Profit %]]&gt;20,"Excellent",IF(H1081&gt;10.1,"Good","Low"))</f>
        <v>Good</v>
      </c>
    </row>
    <row r="1082" spans="1:9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 s="2">
        <v>2569</v>
      </c>
      <c r="G1082">
        <v>130.19</v>
      </c>
      <c r="H1082" s="2">
        <f>Table1[[#This Row],[Profit]]/Table1[[#This Row],[Sales]]*100</f>
        <v>5.0677306344881279</v>
      </c>
      <c r="I1082" t="str">
        <f>IF(Table1[[#This Row],[Profit %]]&gt;20,"Excellent",IF(H1082&gt;10.1,"Good","Low"))</f>
        <v>Low</v>
      </c>
    </row>
    <row r="1083" spans="1:9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 s="2">
        <v>1518</v>
      </c>
      <c r="G1083">
        <v>262.64999999999998</v>
      </c>
      <c r="H1083" s="2">
        <f>Table1[[#This Row],[Profit]]/Table1[[#This Row],[Sales]]*100</f>
        <v>17.302371541501973</v>
      </c>
      <c r="I1083" t="str">
        <f>IF(Table1[[#This Row],[Profit %]]&gt;20,"Excellent",IF(H1083&gt;10.1,"Good","Low"))</f>
        <v>Good</v>
      </c>
    </row>
    <row r="1084" spans="1:9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 s="2">
        <v>1210</v>
      </c>
      <c r="G1084">
        <v>268.37</v>
      </c>
      <c r="H1084" s="2">
        <f>Table1[[#This Row],[Profit]]/Table1[[#This Row],[Sales]]*100</f>
        <v>22.179338842975209</v>
      </c>
      <c r="I1084" t="str">
        <f>IF(Table1[[#This Row],[Profit %]]&gt;20,"Excellent",IF(H1084&gt;10.1,"Good","Low"))</f>
        <v>Excellent</v>
      </c>
    </row>
    <row r="1085" spans="1:9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 s="2">
        <v>1128</v>
      </c>
      <c r="G1085">
        <v>94.13</v>
      </c>
      <c r="H1085" s="2">
        <f>Table1[[#This Row],[Profit]]/Table1[[#This Row],[Sales]]*100</f>
        <v>8.3448581560283692</v>
      </c>
      <c r="I1085" t="str">
        <f>IF(Table1[[#This Row],[Profit %]]&gt;20,"Excellent",IF(H1085&gt;10.1,"Good","Low"))</f>
        <v>Low</v>
      </c>
    </row>
    <row r="1086" spans="1:9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 s="2">
        <v>1077</v>
      </c>
      <c r="G1086">
        <v>77.97</v>
      </c>
      <c r="H1086" s="2">
        <f>Table1[[#This Row],[Profit]]/Table1[[#This Row],[Sales]]*100</f>
        <v>7.2395543175487465</v>
      </c>
      <c r="I1086" t="str">
        <f>IF(Table1[[#This Row],[Profit %]]&gt;20,"Excellent",IF(H1086&gt;10.1,"Good","Low"))</f>
        <v>Low</v>
      </c>
    </row>
    <row r="1087" spans="1:9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 s="2">
        <v>2244</v>
      </c>
      <c r="G1087">
        <v>517.47</v>
      </c>
      <c r="H1087" s="2">
        <f>Table1[[#This Row],[Profit]]/Table1[[#This Row],[Sales]]*100</f>
        <v>23.060160427807489</v>
      </c>
      <c r="I1087" t="str">
        <f>IF(Table1[[#This Row],[Profit %]]&gt;20,"Excellent",IF(H1087&gt;10.1,"Good","Low"))</f>
        <v>Excellent</v>
      </c>
    </row>
    <row r="1088" spans="1:9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 s="2">
        <v>1608</v>
      </c>
      <c r="G1088">
        <v>464.18</v>
      </c>
      <c r="H1088" s="2">
        <f>Table1[[#This Row],[Profit]]/Table1[[#This Row],[Sales]]*100</f>
        <v>28.866915422885576</v>
      </c>
      <c r="I1088" t="str">
        <f>IF(Table1[[#This Row],[Profit %]]&gt;20,"Excellent",IF(H1088&gt;10.1,"Good","Low"))</f>
        <v>Excellent</v>
      </c>
    </row>
    <row r="1089" spans="1:9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 s="2">
        <v>3685</v>
      </c>
      <c r="G1089">
        <v>476.2</v>
      </c>
      <c r="H1089" s="2">
        <f>Table1[[#This Row],[Profit]]/Table1[[#This Row],[Sales]]*100</f>
        <v>12.922659430122115</v>
      </c>
      <c r="I1089" t="str">
        <f>IF(Table1[[#This Row],[Profit %]]&gt;20,"Excellent",IF(H1089&gt;10.1,"Good","Low"))</f>
        <v>Good</v>
      </c>
    </row>
    <row r="1090" spans="1:9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 s="2">
        <v>4080</v>
      </c>
      <c r="G1090">
        <v>1079.49</v>
      </c>
      <c r="H1090" s="2">
        <f>Table1[[#This Row],[Profit]]/Table1[[#This Row],[Sales]]*100</f>
        <v>26.45808823529412</v>
      </c>
      <c r="I1090" t="str">
        <f>IF(Table1[[#This Row],[Profit %]]&gt;20,"Excellent",IF(H1090&gt;10.1,"Good","Low"))</f>
        <v>Excellent</v>
      </c>
    </row>
    <row r="1091" spans="1:9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 s="2">
        <v>404</v>
      </c>
      <c r="G1091">
        <v>84.4</v>
      </c>
      <c r="H1091" s="2">
        <f>Table1[[#This Row],[Profit]]/Table1[[#This Row],[Sales]]*100</f>
        <v>20.891089108910894</v>
      </c>
      <c r="I1091" t="str">
        <f>IF(Table1[[#This Row],[Profit %]]&gt;20,"Excellent",IF(H1091&gt;10.1,"Good","Low"))</f>
        <v>Excellent</v>
      </c>
    </row>
    <row r="1092" spans="1:9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 s="2">
        <v>1738</v>
      </c>
      <c r="G1092">
        <v>163.38</v>
      </c>
      <c r="H1092" s="2">
        <f>Table1[[#This Row],[Profit]]/Table1[[#This Row],[Sales]]*100</f>
        <v>9.4004602991944761</v>
      </c>
      <c r="I1092" t="str">
        <f>IF(Table1[[#This Row],[Profit %]]&gt;20,"Excellent",IF(H1092&gt;10.1,"Good","Low"))</f>
        <v>Low</v>
      </c>
    </row>
    <row r="1093" spans="1:9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 s="2">
        <v>828</v>
      </c>
      <c r="G1093">
        <v>210.33</v>
      </c>
      <c r="H1093" s="2">
        <f>Table1[[#This Row],[Profit]]/Table1[[#This Row],[Sales]]*100</f>
        <v>25.40217391304348</v>
      </c>
      <c r="I1093" t="str">
        <f>IF(Table1[[#This Row],[Profit %]]&gt;20,"Excellent",IF(H1093&gt;10.1,"Good","Low"))</f>
        <v>Excellent</v>
      </c>
    </row>
    <row r="1094" spans="1:9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 s="2">
        <v>4344</v>
      </c>
      <c r="G1094">
        <v>461.72</v>
      </c>
      <c r="H1094" s="2">
        <f>Table1[[#This Row],[Profit]]/Table1[[#This Row],[Sales]]*100</f>
        <v>10.628913443830571</v>
      </c>
      <c r="I1094" t="str">
        <f>IF(Table1[[#This Row],[Profit %]]&gt;20,"Excellent",IF(H1094&gt;10.1,"Good","Low"))</f>
        <v>Good</v>
      </c>
    </row>
    <row r="1095" spans="1:9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 s="2">
        <v>1130</v>
      </c>
      <c r="G1095">
        <v>268.88</v>
      </c>
      <c r="H1095" s="2">
        <f>Table1[[#This Row],[Profit]]/Table1[[#This Row],[Sales]]*100</f>
        <v>23.794690265486725</v>
      </c>
      <c r="I1095" t="str">
        <f>IF(Table1[[#This Row],[Profit %]]&gt;20,"Excellent",IF(H1095&gt;10.1,"Good","Low"))</f>
        <v>Excellent</v>
      </c>
    </row>
    <row r="1096" spans="1:9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 s="2">
        <v>1698</v>
      </c>
      <c r="G1096">
        <v>304.91000000000003</v>
      </c>
      <c r="H1096" s="2">
        <f>Table1[[#This Row],[Profit]]/Table1[[#This Row],[Sales]]*100</f>
        <v>17.957008244994114</v>
      </c>
      <c r="I1096" t="str">
        <f>IF(Table1[[#This Row],[Profit %]]&gt;20,"Excellent",IF(H1096&gt;10.1,"Good","Low"))</f>
        <v>Good</v>
      </c>
    </row>
    <row r="1097" spans="1:9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 s="2">
        <v>844</v>
      </c>
      <c r="G1097">
        <v>136.02000000000001</v>
      </c>
      <c r="H1097" s="2">
        <f>Table1[[#This Row],[Profit]]/Table1[[#This Row],[Sales]]*100</f>
        <v>16.116113744075829</v>
      </c>
      <c r="I1097" t="str">
        <f>IF(Table1[[#This Row],[Profit %]]&gt;20,"Excellent",IF(H1097&gt;10.1,"Good","Low"))</f>
        <v>Good</v>
      </c>
    </row>
    <row r="1098" spans="1:9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 s="2">
        <v>2286</v>
      </c>
      <c r="G1098">
        <v>218.18</v>
      </c>
      <c r="H1098" s="2">
        <f>Table1[[#This Row],[Profit]]/Table1[[#This Row],[Sales]]*100</f>
        <v>9.544181977252844</v>
      </c>
      <c r="I1098" t="str">
        <f>IF(Table1[[#This Row],[Profit %]]&gt;20,"Excellent",IF(H1098&gt;10.1,"Good","Low"))</f>
        <v>Low</v>
      </c>
    </row>
    <row r="1099" spans="1:9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 s="2">
        <v>1026</v>
      </c>
      <c r="G1099">
        <v>170.31</v>
      </c>
      <c r="H1099" s="2">
        <f>Table1[[#This Row],[Profit]]/Table1[[#This Row],[Sales]]*100</f>
        <v>16.599415204678365</v>
      </c>
      <c r="I1099" t="str">
        <f>IF(Table1[[#This Row],[Profit %]]&gt;20,"Excellent",IF(H1099&gt;10.1,"Good","Low"))</f>
        <v>Good</v>
      </c>
    </row>
    <row r="1100" spans="1:9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 s="2">
        <v>6984</v>
      </c>
      <c r="G1100">
        <v>1433.65</v>
      </c>
      <c r="H1100" s="2">
        <f>Table1[[#This Row],[Profit]]/Table1[[#This Row],[Sales]]*100</f>
        <v>20.527634593356243</v>
      </c>
      <c r="I1100" t="str">
        <f>IF(Table1[[#This Row],[Profit %]]&gt;20,"Excellent",IF(H1100&gt;10.1,"Good","Low"))</f>
        <v>Excellent</v>
      </c>
    </row>
    <row r="1101" spans="1:9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 s="2">
        <v>1672</v>
      </c>
      <c r="G1101">
        <v>432.35</v>
      </c>
      <c r="H1101" s="2">
        <f>Table1[[#This Row],[Profit]]/Table1[[#This Row],[Sales]]*100</f>
        <v>25.858253588516749</v>
      </c>
      <c r="I1101" t="str">
        <f>IF(Table1[[#This Row],[Profit %]]&gt;20,"Excellent",IF(H1101&gt;10.1,"Good","Low"))</f>
        <v>Excellent</v>
      </c>
    </row>
    <row r="1102" spans="1:9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 s="2">
        <v>1092</v>
      </c>
      <c r="G1102">
        <v>63.98</v>
      </c>
      <c r="H1102" s="2">
        <f>Table1[[#This Row],[Profit]]/Table1[[#This Row],[Sales]]*100</f>
        <v>5.8589743589743586</v>
      </c>
      <c r="I1102" t="str">
        <f>IF(Table1[[#This Row],[Profit %]]&gt;20,"Excellent",IF(H1102&gt;10.1,"Good","Low"))</f>
        <v>Low</v>
      </c>
    </row>
    <row r="1103" spans="1:9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 s="2">
        <v>272</v>
      </c>
      <c r="G1103">
        <v>24.71</v>
      </c>
      <c r="H1103" s="2">
        <f>Table1[[#This Row],[Profit]]/Table1[[#This Row],[Sales]]*100</f>
        <v>9.084558823529413</v>
      </c>
      <c r="I1103" t="str">
        <f>IF(Table1[[#This Row],[Profit %]]&gt;20,"Excellent",IF(H1103&gt;10.1,"Good","Low"))</f>
        <v>Low</v>
      </c>
    </row>
    <row r="1104" spans="1:9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 s="2">
        <v>1126</v>
      </c>
      <c r="G1104">
        <v>204.99</v>
      </c>
      <c r="H1104" s="2">
        <f>Table1[[#This Row],[Profit]]/Table1[[#This Row],[Sales]]*100</f>
        <v>18.205150976909415</v>
      </c>
      <c r="I1104" t="str">
        <f>IF(Table1[[#This Row],[Profit %]]&gt;20,"Excellent",IF(H1104&gt;10.1,"Good","Low"))</f>
        <v>Good</v>
      </c>
    </row>
    <row r="1105" spans="1:9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 s="2">
        <v>8155</v>
      </c>
      <c r="G1105">
        <v>2177.38</v>
      </c>
      <c r="H1105" s="2">
        <f>Table1[[#This Row],[Profit]]/Table1[[#This Row],[Sales]]*100</f>
        <v>26.69993868792152</v>
      </c>
      <c r="I1105" t="str">
        <f>IF(Table1[[#This Row],[Profit %]]&gt;20,"Excellent",IF(H1105&gt;10.1,"Good","Low"))</f>
        <v>Excellent</v>
      </c>
    </row>
    <row r="1106" spans="1:9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 s="2">
        <v>4298</v>
      </c>
      <c r="G1106">
        <v>358.38</v>
      </c>
      <c r="H1106" s="2">
        <f>Table1[[#This Row],[Profit]]/Table1[[#This Row],[Sales]]*100</f>
        <v>8.3382968822708232</v>
      </c>
      <c r="I1106" t="str">
        <f>IF(Table1[[#This Row],[Profit %]]&gt;20,"Excellent",IF(H1106&gt;10.1,"Good","Low"))</f>
        <v>Low</v>
      </c>
    </row>
    <row r="1107" spans="1:9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 s="2">
        <v>1365</v>
      </c>
      <c r="G1107">
        <v>310.66000000000003</v>
      </c>
      <c r="H1107" s="2">
        <f>Table1[[#This Row],[Profit]]/Table1[[#This Row],[Sales]]*100</f>
        <v>22.75897435897436</v>
      </c>
      <c r="I1107" t="str">
        <f>IF(Table1[[#This Row],[Profit %]]&gt;20,"Excellent",IF(H1107&gt;10.1,"Good","Low"))</f>
        <v>Excellent</v>
      </c>
    </row>
    <row r="1108" spans="1:9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 s="2">
        <v>4116</v>
      </c>
      <c r="G1108">
        <v>381.35</v>
      </c>
      <c r="H1108" s="2">
        <f>Table1[[#This Row],[Profit]]/Table1[[#This Row],[Sales]]*100</f>
        <v>9.265063168124394</v>
      </c>
      <c r="I1108" t="str">
        <f>IF(Table1[[#This Row],[Profit %]]&gt;20,"Excellent",IF(H1108&gt;10.1,"Good","Low"))</f>
        <v>Low</v>
      </c>
    </row>
    <row r="1109" spans="1:9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 s="2">
        <v>904</v>
      </c>
      <c r="G1109">
        <v>181.45</v>
      </c>
      <c r="H1109" s="2">
        <f>Table1[[#This Row],[Profit]]/Table1[[#This Row],[Sales]]*100</f>
        <v>20.071902654867255</v>
      </c>
      <c r="I1109" t="str">
        <f>IF(Table1[[#This Row],[Profit %]]&gt;20,"Excellent",IF(H1109&gt;10.1,"Good","Low"))</f>
        <v>Excellent</v>
      </c>
    </row>
    <row r="1110" spans="1:9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 s="2">
        <v>70</v>
      </c>
      <c r="G1110">
        <v>10.64</v>
      </c>
      <c r="H1110" s="2">
        <f>Table1[[#This Row],[Profit]]/Table1[[#This Row],[Sales]]*100</f>
        <v>15.2</v>
      </c>
      <c r="I1110" t="str">
        <f>IF(Table1[[#This Row],[Profit %]]&gt;20,"Excellent",IF(H1110&gt;10.1,"Good","Low"))</f>
        <v>Good</v>
      </c>
    </row>
    <row r="1111" spans="1:9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 s="2">
        <v>344</v>
      </c>
      <c r="G1111">
        <v>72.87</v>
      </c>
      <c r="H1111" s="2">
        <f>Table1[[#This Row],[Profit]]/Table1[[#This Row],[Sales]]*100</f>
        <v>21.183139534883722</v>
      </c>
      <c r="I1111" t="str">
        <f>IF(Table1[[#This Row],[Profit %]]&gt;20,"Excellent",IF(H1111&gt;10.1,"Good","Low"))</f>
        <v>Excellent</v>
      </c>
    </row>
    <row r="1112" spans="1:9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 s="2">
        <v>330</v>
      </c>
      <c r="G1112">
        <v>78.52</v>
      </c>
      <c r="H1112" s="2">
        <f>Table1[[#This Row],[Profit]]/Table1[[#This Row],[Sales]]*100</f>
        <v>23.793939393939393</v>
      </c>
      <c r="I1112" t="str">
        <f>IF(Table1[[#This Row],[Profit %]]&gt;20,"Excellent",IF(H1112&gt;10.1,"Good","Low"))</f>
        <v>Excellent</v>
      </c>
    </row>
    <row r="1113" spans="1:9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 s="2">
        <v>518</v>
      </c>
      <c r="G1113">
        <v>34.22</v>
      </c>
      <c r="H1113" s="2">
        <f>Table1[[#This Row],[Profit]]/Table1[[#This Row],[Sales]]*100</f>
        <v>6.6061776061776056</v>
      </c>
      <c r="I1113" t="str">
        <f>IF(Table1[[#This Row],[Profit %]]&gt;20,"Excellent",IF(H1113&gt;10.1,"Good","Low"))</f>
        <v>Low</v>
      </c>
    </row>
    <row r="1114" spans="1:9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 s="2">
        <v>2763</v>
      </c>
      <c r="G1114">
        <v>458.4</v>
      </c>
      <c r="H1114" s="2">
        <f>Table1[[#This Row],[Profit]]/Table1[[#This Row],[Sales]]*100</f>
        <v>16.590662323561347</v>
      </c>
      <c r="I1114" t="str">
        <f>IF(Table1[[#This Row],[Profit %]]&gt;20,"Excellent",IF(H1114&gt;10.1,"Good","Low"))</f>
        <v>Good</v>
      </c>
    </row>
    <row r="1115" spans="1:9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 s="2">
        <v>2298</v>
      </c>
      <c r="G1115">
        <v>343.53</v>
      </c>
      <c r="H1115" s="2">
        <f>Table1[[#This Row],[Profit]]/Table1[[#This Row],[Sales]]*100</f>
        <v>14.949086161879894</v>
      </c>
      <c r="I1115" t="str">
        <f>IF(Table1[[#This Row],[Profit %]]&gt;20,"Excellent",IF(H1115&gt;10.1,"Good","Low"))</f>
        <v>Good</v>
      </c>
    </row>
    <row r="1116" spans="1:9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 s="2">
        <v>436</v>
      </c>
      <c r="G1116">
        <v>73.89</v>
      </c>
      <c r="H1116" s="2">
        <f>Table1[[#This Row],[Profit]]/Table1[[#This Row],[Sales]]*100</f>
        <v>16.947247706422019</v>
      </c>
      <c r="I1116" t="str">
        <f>IF(Table1[[#This Row],[Profit %]]&gt;20,"Excellent",IF(H1116&gt;10.1,"Good","Low"))</f>
        <v>Good</v>
      </c>
    </row>
    <row r="1117" spans="1:9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 s="2">
        <v>1824</v>
      </c>
      <c r="G1117">
        <v>213.47</v>
      </c>
      <c r="H1117" s="2">
        <f>Table1[[#This Row],[Profit]]/Table1[[#This Row],[Sales]]*100</f>
        <v>11.703399122807017</v>
      </c>
      <c r="I1117" t="str">
        <f>IF(Table1[[#This Row],[Profit %]]&gt;20,"Excellent",IF(H1117&gt;10.1,"Good","Low"))</f>
        <v>Good</v>
      </c>
    </row>
    <row r="1118" spans="1:9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 s="2">
        <v>1540</v>
      </c>
      <c r="G1118">
        <v>411.83</v>
      </c>
      <c r="H1118" s="2">
        <f>Table1[[#This Row],[Profit]]/Table1[[#This Row],[Sales]]*100</f>
        <v>26.74220779220779</v>
      </c>
      <c r="I1118" t="str">
        <f>IF(Table1[[#This Row],[Profit %]]&gt;20,"Excellent",IF(H1118&gt;10.1,"Good","Low"))</f>
        <v>Excellent</v>
      </c>
    </row>
    <row r="1119" spans="1:9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 s="2">
        <v>5572</v>
      </c>
      <c r="G1119">
        <v>385.82</v>
      </c>
      <c r="H1119" s="2">
        <f>Table1[[#This Row],[Profit]]/Table1[[#This Row],[Sales]]*100</f>
        <v>6.9242641780330221</v>
      </c>
      <c r="I1119" t="str">
        <f>IF(Table1[[#This Row],[Profit %]]&gt;20,"Excellent",IF(H1119&gt;10.1,"Good","Low"))</f>
        <v>Low</v>
      </c>
    </row>
    <row r="1120" spans="1:9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 s="2">
        <v>3030</v>
      </c>
      <c r="G1120">
        <v>335.71</v>
      </c>
      <c r="H1120" s="2">
        <f>Table1[[#This Row],[Profit]]/Table1[[#This Row],[Sales]]*100</f>
        <v>11.079537953795379</v>
      </c>
      <c r="I1120" t="str">
        <f>IF(Table1[[#This Row],[Profit %]]&gt;20,"Excellent",IF(H1120&gt;10.1,"Good","Low"))</f>
        <v>Good</v>
      </c>
    </row>
    <row r="1121" spans="1:9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 s="2">
        <v>1245</v>
      </c>
      <c r="G1121">
        <v>345.84</v>
      </c>
      <c r="H1121" s="2">
        <f>Table1[[#This Row],[Profit]]/Table1[[#This Row],[Sales]]*100</f>
        <v>27.778313253012044</v>
      </c>
      <c r="I1121" t="str">
        <f>IF(Table1[[#This Row],[Profit %]]&gt;20,"Excellent",IF(H1121&gt;10.1,"Good","Low"))</f>
        <v>Excellent</v>
      </c>
    </row>
    <row r="1122" spans="1:9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 s="2">
        <v>1252</v>
      </c>
      <c r="G1122">
        <v>326.69</v>
      </c>
      <c r="H1122" s="2">
        <f>Table1[[#This Row],[Profit]]/Table1[[#This Row],[Sales]]*100</f>
        <v>26.093450479233226</v>
      </c>
      <c r="I1122" t="str">
        <f>IF(Table1[[#This Row],[Profit %]]&gt;20,"Excellent",IF(H1122&gt;10.1,"Good","Low"))</f>
        <v>Excellent</v>
      </c>
    </row>
    <row r="1123" spans="1:9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 s="2">
        <v>4959</v>
      </c>
      <c r="G1123">
        <v>479.28</v>
      </c>
      <c r="H1123" s="2">
        <f>Table1[[#This Row],[Profit]]/Table1[[#This Row],[Sales]]*100</f>
        <v>9.6648517846339992</v>
      </c>
      <c r="I1123" t="str">
        <f>IF(Table1[[#This Row],[Profit %]]&gt;20,"Excellent",IF(H1123&gt;10.1,"Good","Low"))</f>
        <v>Low</v>
      </c>
    </row>
    <row r="1124" spans="1:9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 s="2">
        <v>8162</v>
      </c>
      <c r="G1124">
        <v>443.81</v>
      </c>
      <c r="H1124" s="2">
        <f>Table1[[#This Row],[Profit]]/Table1[[#This Row],[Sales]]*100</f>
        <v>5.4375153148738056</v>
      </c>
      <c r="I1124" t="str">
        <f>IF(Table1[[#This Row],[Profit %]]&gt;20,"Excellent",IF(H1124&gt;10.1,"Good","Low"))</f>
        <v>Low</v>
      </c>
    </row>
    <row r="1125" spans="1:9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 s="2">
        <v>1370</v>
      </c>
      <c r="G1125">
        <v>253.92</v>
      </c>
      <c r="H1125" s="2">
        <f>Table1[[#This Row],[Profit]]/Table1[[#This Row],[Sales]]*100</f>
        <v>18.534306569343066</v>
      </c>
      <c r="I1125" t="str">
        <f>IF(Table1[[#This Row],[Profit %]]&gt;20,"Excellent",IF(H1125&gt;10.1,"Good","Low"))</f>
        <v>Good</v>
      </c>
    </row>
    <row r="1126" spans="1:9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 s="2">
        <v>3111</v>
      </c>
      <c r="G1126">
        <v>607.23</v>
      </c>
      <c r="H1126" s="2">
        <f>Table1[[#This Row],[Profit]]/Table1[[#This Row],[Sales]]*100</f>
        <v>19.518804243008681</v>
      </c>
      <c r="I1126" t="str">
        <f>IF(Table1[[#This Row],[Profit %]]&gt;20,"Excellent",IF(H1126&gt;10.1,"Good","Low"))</f>
        <v>Good</v>
      </c>
    </row>
    <row r="1127" spans="1:9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 s="2">
        <v>7805</v>
      </c>
      <c r="G1127">
        <v>1078.03</v>
      </c>
      <c r="H1127" s="2">
        <f>Table1[[#This Row],[Profit]]/Table1[[#This Row],[Sales]]*100</f>
        <v>13.812043561819346</v>
      </c>
      <c r="I1127" t="str">
        <f>IF(Table1[[#This Row],[Profit %]]&gt;20,"Excellent",IF(H1127&gt;10.1,"Good","Low"))</f>
        <v>Good</v>
      </c>
    </row>
    <row r="1128" spans="1:9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 s="2">
        <v>10314</v>
      </c>
      <c r="G1128">
        <v>2729.6</v>
      </c>
      <c r="H1128" s="2">
        <f>Table1[[#This Row],[Profit]]/Table1[[#This Row],[Sales]]*100</f>
        <v>26.464999030444051</v>
      </c>
      <c r="I1128" t="str">
        <f>IF(Table1[[#This Row],[Profit %]]&gt;20,"Excellent",IF(H1128&gt;10.1,"Good","Low"))</f>
        <v>Excellent</v>
      </c>
    </row>
    <row r="1129" spans="1:9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 s="2">
        <v>10782</v>
      </c>
      <c r="G1129">
        <v>2730.14</v>
      </c>
      <c r="H1129" s="2">
        <f>Table1[[#This Row],[Profit]]/Table1[[#This Row],[Sales]]*100</f>
        <v>25.321276201075865</v>
      </c>
      <c r="I1129" t="str">
        <f>IF(Table1[[#This Row],[Profit %]]&gt;20,"Excellent",IF(H1129&gt;10.1,"Good","Low"))</f>
        <v>Excellent</v>
      </c>
    </row>
    <row r="1130" spans="1:9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 s="2">
        <v>4375</v>
      </c>
      <c r="G1130">
        <v>987.96</v>
      </c>
      <c r="H1130" s="2">
        <f>Table1[[#This Row],[Profit]]/Table1[[#This Row],[Sales]]*100</f>
        <v>22.58194285714286</v>
      </c>
      <c r="I1130" t="str">
        <f>IF(Table1[[#This Row],[Profit %]]&gt;20,"Excellent",IF(H1130&gt;10.1,"Good","Low"))</f>
        <v>Excellent</v>
      </c>
    </row>
    <row r="1131" spans="1:9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 s="2">
        <v>2265</v>
      </c>
      <c r="G1131">
        <v>595.04999999999995</v>
      </c>
      <c r="H1131" s="2">
        <f>Table1[[#This Row],[Profit]]/Table1[[#This Row],[Sales]]*100</f>
        <v>26.271523178807943</v>
      </c>
      <c r="I1131" t="str">
        <f>IF(Table1[[#This Row],[Profit %]]&gt;20,"Excellent",IF(H1131&gt;10.1,"Good","Low"))</f>
        <v>Excellent</v>
      </c>
    </row>
    <row r="1132" spans="1:9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 s="2">
        <v>166</v>
      </c>
      <c r="G1132">
        <v>9.69</v>
      </c>
      <c r="H1132" s="2">
        <f>Table1[[#This Row],[Profit]]/Table1[[#This Row],[Sales]]*100</f>
        <v>5.8373493975903612</v>
      </c>
      <c r="I1132" t="str">
        <f>IF(Table1[[#This Row],[Profit %]]&gt;20,"Excellent",IF(H1132&gt;10.1,"Good","Low"))</f>
        <v>Low</v>
      </c>
    </row>
    <row r="1133" spans="1:9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 s="2">
        <v>7217</v>
      </c>
      <c r="G1133">
        <v>1481.7</v>
      </c>
      <c r="H1133" s="2">
        <f>Table1[[#This Row],[Profit]]/Table1[[#This Row],[Sales]]*100</f>
        <v>20.530691423028959</v>
      </c>
      <c r="I1133" t="str">
        <f>IF(Table1[[#This Row],[Profit %]]&gt;20,"Excellent",IF(H1133&gt;10.1,"Good","Low"))</f>
        <v>Excellent</v>
      </c>
    </row>
    <row r="1134" spans="1:9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 s="2">
        <v>1767</v>
      </c>
      <c r="G1134">
        <v>186.54</v>
      </c>
      <c r="H1134" s="2">
        <f>Table1[[#This Row],[Profit]]/Table1[[#This Row],[Sales]]*100</f>
        <v>10.556876061120542</v>
      </c>
      <c r="I1134" t="str">
        <f>IF(Table1[[#This Row],[Profit %]]&gt;20,"Excellent",IF(H1134&gt;10.1,"Good","Low"))</f>
        <v>Good</v>
      </c>
    </row>
    <row r="1135" spans="1:9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 s="2">
        <v>2883</v>
      </c>
      <c r="G1135">
        <v>557.80999999999995</v>
      </c>
      <c r="H1135" s="2">
        <f>Table1[[#This Row],[Profit]]/Table1[[#This Row],[Sales]]*100</f>
        <v>19.348248352410682</v>
      </c>
      <c r="I1135" t="str">
        <f>IF(Table1[[#This Row],[Profit %]]&gt;20,"Excellent",IF(H1135&gt;10.1,"Good","Low"))</f>
        <v>Good</v>
      </c>
    </row>
    <row r="1136" spans="1:9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 s="2">
        <v>1338</v>
      </c>
      <c r="G1136">
        <v>396.08</v>
      </c>
      <c r="H1136" s="2">
        <f>Table1[[#This Row],[Profit]]/Table1[[#This Row],[Sales]]*100</f>
        <v>29.602391629297458</v>
      </c>
      <c r="I1136" t="str">
        <f>IF(Table1[[#This Row],[Profit %]]&gt;20,"Excellent",IF(H1136&gt;10.1,"Good","Low"))</f>
        <v>Excellent</v>
      </c>
    </row>
    <row r="1137" spans="1:9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 s="2">
        <v>9459</v>
      </c>
      <c r="G1137">
        <v>604.05999999999995</v>
      </c>
      <c r="H1137" s="2">
        <f>Table1[[#This Row],[Profit]]/Table1[[#This Row],[Sales]]*100</f>
        <v>6.3860873242414629</v>
      </c>
      <c r="I1137" t="str">
        <f>IF(Table1[[#This Row],[Profit %]]&gt;20,"Excellent",IF(H1137&gt;10.1,"Good","Low"))</f>
        <v>Low</v>
      </c>
    </row>
    <row r="1138" spans="1:9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 s="2">
        <v>168</v>
      </c>
      <c r="G1138">
        <v>45.31</v>
      </c>
      <c r="H1138" s="2">
        <f>Table1[[#This Row],[Profit]]/Table1[[#This Row],[Sales]]*100</f>
        <v>26.970238095238098</v>
      </c>
      <c r="I1138" t="str">
        <f>IF(Table1[[#This Row],[Profit %]]&gt;20,"Excellent",IF(H1138&gt;10.1,"Good","Low"))</f>
        <v>Excellent</v>
      </c>
    </row>
    <row r="1139" spans="1:9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 s="2">
        <v>4536</v>
      </c>
      <c r="G1139">
        <v>479.78</v>
      </c>
      <c r="H1139" s="2">
        <f>Table1[[#This Row],[Profit]]/Table1[[#This Row],[Sales]]*100</f>
        <v>10.57716049382716</v>
      </c>
      <c r="I1139" t="str">
        <f>IF(Table1[[#This Row],[Profit %]]&gt;20,"Excellent",IF(H1139&gt;10.1,"Good","Low"))</f>
        <v>Good</v>
      </c>
    </row>
    <row r="1140" spans="1:9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 s="2">
        <v>4404</v>
      </c>
      <c r="G1140">
        <v>793.7</v>
      </c>
      <c r="H1140" s="2">
        <f>Table1[[#This Row],[Profit]]/Table1[[#This Row],[Sales]]*100</f>
        <v>18.022252497729337</v>
      </c>
      <c r="I1140" t="str">
        <f>IF(Table1[[#This Row],[Profit %]]&gt;20,"Excellent",IF(H1140&gt;10.1,"Good","Low"))</f>
        <v>Good</v>
      </c>
    </row>
    <row r="1141" spans="1:9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 s="2">
        <v>1952</v>
      </c>
      <c r="G1141">
        <v>148.66999999999999</v>
      </c>
      <c r="H1141" s="2">
        <f>Table1[[#This Row],[Profit]]/Table1[[#This Row],[Sales]]*100</f>
        <v>7.6162909836065564</v>
      </c>
      <c r="I1141" t="str">
        <f>IF(Table1[[#This Row],[Profit %]]&gt;20,"Excellent",IF(H1141&gt;10.1,"Good","Low"))</f>
        <v>Low</v>
      </c>
    </row>
    <row r="1142" spans="1:9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 s="2">
        <v>2004</v>
      </c>
      <c r="G1142">
        <v>467.76</v>
      </c>
      <c r="H1142" s="2">
        <f>Table1[[#This Row],[Profit]]/Table1[[#This Row],[Sales]]*100</f>
        <v>23.341317365269461</v>
      </c>
      <c r="I1142" t="str">
        <f>IF(Table1[[#This Row],[Profit %]]&gt;20,"Excellent",IF(H1142&gt;10.1,"Good","Low"))</f>
        <v>Excellent</v>
      </c>
    </row>
    <row r="1143" spans="1:9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 s="2">
        <v>468</v>
      </c>
      <c r="G1143">
        <v>131.47999999999999</v>
      </c>
      <c r="H1143" s="2">
        <f>Table1[[#This Row],[Profit]]/Table1[[#This Row],[Sales]]*100</f>
        <v>28.094017094017094</v>
      </c>
      <c r="I1143" t="str">
        <f>IF(Table1[[#This Row],[Profit %]]&gt;20,"Excellent",IF(H1143&gt;10.1,"Good","Low"))</f>
        <v>Excellent</v>
      </c>
    </row>
    <row r="1144" spans="1:9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 s="2">
        <v>8667</v>
      </c>
      <c r="G1144">
        <v>1597.49</v>
      </c>
      <c r="H1144" s="2">
        <f>Table1[[#This Row],[Profit]]/Table1[[#This Row],[Sales]]*100</f>
        <v>18.43186800507673</v>
      </c>
      <c r="I1144" t="str">
        <f>IF(Table1[[#This Row],[Profit %]]&gt;20,"Excellent",IF(H1144&gt;10.1,"Good","Low"))</f>
        <v>Good</v>
      </c>
    </row>
    <row r="1145" spans="1:9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 s="2">
        <v>6097</v>
      </c>
      <c r="G1145">
        <v>567.32000000000005</v>
      </c>
      <c r="H1145" s="2">
        <f>Table1[[#This Row],[Profit]]/Table1[[#This Row],[Sales]]*100</f>
        <v>9.3049040511727092</v>
      </c>
      <c r="I1145" t="str">
        <f>IF(Table1[[#This Row],[Profit %]]&gt;20,"Excellent",IF(H1145&gt;10.1,"Good","Low"))</f>
        <v>Low</v>
      </c>
    </row>
    <row r="1146" spans="1:9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 s="2">
        <v>4752</v>
      </c>
      <c r="G1146">
        <v>1415.65</v>
      </c>
      <c r="H1146" s="2">
        <f>Table1[[#This Row],[Profit]]/Table1[[#This Row],[Sales]]*100</f>
        <v>29.790614478114481</v>
      </c>
      <c r="I1146" t="str">
        <f>IF(Table1[[#This Row],[Profit %]]&gt;20,"Excellent",IF(H1146&gt;10.1,"Good","Low"))</f>
        <v>Excellent</v>
      </c>
    </row>
    <row r="1147" spans="1:9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 s="2">
        <v>1172</v>
      </c>
      <c r="G1147">
        <v>124.9</v>
      </c>
      <c r="H1147" s="2">
        <f>Table1[[#This Row],[Profit]]/Table1[[#This Row],[Sales]]*100</f>
        <v>10.656996587030717</v>
      </c>
      <c r="I1147" t="str">
        <f>IF(Table1[[#This Row],[Profit %]]&gt;20,"Excellent",IF(H1147&gt;10.1,"Good","Low"))</f>
        <v>Good</v>
      </c>
    </row>
    <row r="1148" spans="1:9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 s="2">
        <v>1608</v>
      </c>
      <c r="G1148">
        <v>170.29</v>
      </c>
      <c r="H1148" s="2">
        <f>Table1[[#This Row],[Profit]]/Table1[[#This Row],[Sales]]*100</f>
        <v>10.590174129353233</v>
      </c>
      <c r="I1148" t="str">
        <f>IF(Table1[[#This Row],[Profit %]]&gt;20,"Excellent",IF(H1148&gt;10.1,"Good","Low"))</f>
        <v>Good</v>
      </c>
    </row>
    <row r="1149" spans="1:9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 s="2">
        <v>7595</v>
      </c>
      <c r="G1149">
        <v>969.07</v>
      </c>
      <c r="H1149" s="2">
        <f>Table1[[#This Row],[Profit]]/Table1[[#This Row],[Sales]]*100</f>
        <v>12.759315339038842</v>
      </c>
      <c r="I1149" t="str">
        <f>IF(Table1[[#This Row],[Profit %]]&gt;20,"Excellent",IF(H1149&gt;10.1,"Good","Low"))</f>
        <v>Good</v>
      </c>
    </row>
    <row r="1150" spans="1:9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 s="2">
        <v>1142</v>
      </c>
      <c r="G1150">
        <v>306.83999999999997</v>
      </c>
      <c r="H1150" s="2">
        <f>Table1[[#This Row],[Profit]]/Table1[[#This Row],[Sales]]*100</f>
        <v>26.868651488616464</v>
      </c>
      <c r="I1150" t="str">
        <f>IF(Table1[[#This Row],[Profit %]]&gt;20,"Excellent",IF(H1150&gt;10.1,"Good","Low"))</f>
        <v>Excellent</v>
      </c>
    </row>
    <row r="1151" spans="1:9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 s="2">
        <v>116</v>
      </c>
      <c r="G1151">
        <v>13.67</v>
      </c>
      <c r="H1151" s="2">
        <f>Table1[[#This Row],[Profit]]/Table1[[#This Row],[Sales]]*100</f>
        <v>11.78448275862069</v>
      </c>
      <c r="I1151" t="str">
        <f>IF(Table1[[#This Row],[Profit %]]&gt;20,"Excellent",IF(H1151&gt;10.1,"Good","Low"))</f>
        <v>Good</v>
      </c>
    </row>
    <row r="1152" spans="1:9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 s="2">
        <v>3951</v>
      </c>
      <c r="G1152">
        <v>908.13</v>
      </c>
      <c r="H1152" s="2">
        <f>Table1[[#This Row],[Profit]]/Table1[[#This Row],[Sales]]*100</f>
        <v>22.984813971146544</v>
      </c>
      <c r="I1152" t="str">
        <f>IF(Table1[[#This Row],[Profit %]]&gt;20,"Excellent",IF(H1152&gt;10.1,"Good","Low"))</f>
        <v>Excellent</v>
      </c>
    </row>
    <row r="1153" spans="1:9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 s="2">
        <v>1606</v>
      </c>
      <c r="G1153">
        <v>138.96</v>
      </c>
      <c r="H1153" s="2">
        <f>Table1[[#This Row],[Profit]]/Table1[[#This Row],[Sales]]*100</f>
        <v>8.6525529265255301</v>
      </c>
      <c r="I1153" t="str">
        <f>IF(Table1[[#This Row],[Profit %]]&gt;20,"Excellent",IF(H1153&gt;10.1,"Good","Low"))</f>
        <v>Low</v>
      </c>
    </row>
    <row r="1154" spans="1:9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 s="2">
        <v>2025</v>
      </c>
      <c r="G1154">
        <v>403</v>
      </c>
      <c r="H1154" s="2">
        <f>Table1[[#This Row],[Profit]]/Table1[[#This Row],[Sales]]*100</f>
        <v>19.901234567901234</v>
      </c>
      <c r="I1154" t="str">
        <f>IF(Table1[[#This Row],[Profit %]]&gt;20,"Excellent",IF(H1154&gt;10.1,"Good","Low"))</f>
        <v>Good</v>
      </c>
    </row>
    <row r="1155" spans="1:9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 s="2">
        <v>2006</v>
      </c>
      <c r="G1155">
        <v>235.52</v>
      </c>
      <c r="H1155" s="2">
        <f>Table1[[#This Row],[Profit]]/Table1[[#This Row],[Sales]]*100</f>
        <v>11.740777666999005</v>
      </c>
      <c r="I1155" t="str">
        <f>IF(Table1[[#This Row],[Profit %]]&gt;20,"Excellent",IF(H1155&gt;10.1,"Good","Low"))</f>
        <v>Good</v>
      </c>
    </row>
    <row r="1156" spans="1:9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 s="2">
        <v>9423</v>
      </c>
      <c r="G1156">
        <v>652.05999999999995</v>
      </c>
      <c r="H1156" s="2">
        <f>Table1[[#This Row],[Profit]]/Table1[[#This Row],[Sales]]*100</f>
        <v>6.9198768969542606</v>
      </c>
      <c r="I1156" t="str">
        <f>IF(Table1[[#This Row],[Profit %]]&gt;20,"Excellent",IF(H1156&gt;10.1,"Good","Low"))</f>
        <v>Low</v>
      </c>
    </row>
    <row r="1157" spans="1:9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 s="2">
        <v>2276</v>
      </c>
      <c r="G1157">
        <v>399.94</v>
      </c>
      <c r="H1157" s="2">
        <f>Table1[[#This Row],[Profit]]/Table1[[#This Row],[Sales]]*100</f>
        <v>17.572056239015819</v>
      </c>
      <c r="I1157" t="str">
        <f>IF(Table1[[#This Row],[Profit %]]&gt;20,"Excellent",IF(H1157&gt;10.1,"Good","Low"))</f>
        <v>Good</v>
      </c>
    </row>
    <row r="1158" spans="1:9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 s="2">
        <v>4880</v>
      </c>
      <c r="G1158">
        <v>664.06</v>
      </c>
      <c r="H1158" s="2">
        <f>Table1[[#This Row],[Profit]]/Table1[[#This Row],[Sales]]*100</f>
        <v>13.607786885245901</v>
      </c>
      <c r="I1158" t="str">
        <f>IF(Table1[[#This Row],[Profit %]]&gt;20,"Excellent",IF(H1158&gt;10.1,"Good","Low"))</f>
        <v>Good</v>
      </c>
    </row>
    <row r="1159" spans="1:9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 s="2">
        <v>1773</v>
      </c>
      <c r="G1159">
        <v>183.15</v>
      </c>
      <c r="H1159" s="2">
        <f>Table1[[#This Row],[Profit]]/Table1[[#This Row],[Sales]]*100</f>
        <v>10.329949238578681</v>
      </c>
      <c r="I1159" t="str">
        <f>IF(Table1[[#This Row],[Profit %]]&gt;20,"Excellent",IF(H1159&gt;10.1,"Good","Low"))</f>
        <v>Good</v>
      </c>
    </row>
    <row r="1160" spans="1:9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 s="2">
        <v>2718</v>
      </c>
      <c r="G1160">
        <v>195.97</v>
      </c>
      <c r="H1160" s="2">
        <f>Table1[[#This Row],[Profit]]/Table1[[#This Row],[Sales]]*100</f>
        <v>7.2100809418690206</v>
      </c>
      <c r="I1160" t="str">
        <f>IF(Table1[[#This Row],[Profit %]]&gt;20,"Excellent",IF(H1160&gt;10.1,"Good","Low"))</f>
        <v>Low</v>
      </c>
    </row>
    <row r="1161" spans="1:9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 s="2">
        <v>3168</v>
      </c>
      <c r="G1161">
        <v>939.45</v>
      </c>
      <c r="H1161" s="2">
        <f>Table1[[#This Row],[Profit]]/Table1[[#This Row],[Sales]]*100</f>
        <v>29.654356060606062</v>
      </c>
      <c r="I1161" t="str">
        <f>IF(Table1[[#This Row],[Profit %]]&gt;20,"Excellent",IF(H1161&gt;10.1,"Good","Low"))</f>
        <v>Excellent</v>
      </c>
    </row>
    <row r="1162" spans="1:9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 s="2">
        <v>1716</v>
      </c>
      <c r="G1162">
        <v>368.06</v>
      </c>
      <c r="H1162" s="2">
        <f>Table1[[#This Row],[Profit]]/Table1[[#This Row],[Sales]]*100</f>
        <v>21.448717948717949</v>
      </c>
      <c r="I1162" t="str">
        <f>IF(Table1[[#This Row],[Profit %]]&gt;20,"Excellent",IF(H1162&gt;10.1,"Good","Low"))</f>
        <v>Excellent</v>
      </c>
    </row>
    <row r="1163" spans="1:9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 s="2">
        <v>214</v>
      </c>
      <c r="G1163">
        <v>14.08</v>
      </c>
      <c r="H1163" s="2">
        <f>Table1[[#This Row],[Profit]]/Table1[[#This Row],[Sales]]*100</f>
        <v>6.5794392523364484</v>
      </c>
      <c r="I1163" t="str">
        <f>IF(Table1[[#This Row],[Profit %]]&gt;20,"Excellent",IF(H1163&gt;10.1,"Good","Low"))</f>
        <v>Low</v>
      </c>
    </row>
    <row r="1164" spans="1:9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 s="2">
        <v>2092</v>
      </c>
      <c r="G1164">
        <v>366.12</v>
      </c>
      <c r="H1164" s="2">
        <f>Table1[[#This Row],[Profit]]/Table1[[#This Row],[Sales]]*100</f>
        <v>17.50095602294455</v>
      </c>
      <c r="I1164" t="str">
        <f>IF(Table1[[#This Row],[Profit %]]&gt;20,"Excellent",IF(H1164&gt;10.1,"Good","Low"))</f>
        <v>Good</v>
      </c>
    </row>
    <row r="1165" spans="1:9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 s="2">
        <v>225</v>
      </c>
      <c r="G1165">
        <v>46.96</v>
      </c>
      <c r="H1165" s="2">
        <f>Table1[[#This Row],[Profit]]/Table1[[#This Row],[Sales]]*100</f>
        <v>20.871111111111112</v>
      </c>
      <c r="I1165" t="str">
        <f>IF(Table1[[#This Row],[Profit %]]&gt;20,"Excellent",IF(H1165&gt;10.1,"Good","Low"))</f>
        <v>Excellent</v>
      </c>
    </row>
    <row r="1166" spans="1:9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 s="2">
        <v>859</v>
      </c>
      <c r="G1166">
        <v>217.67</v>
      </c>
      <c r="H1166" s="2">
        <f>Table1[[#This Row],[Profit]]/Table1[[#This Row],[Sales]]*100</f>
        <v>25.339930151338763</v>
      </c>
      <c r="I1166" t="str">
        <f>IF(Table1[[#This Row],[Profit %]]&gt;20,"Excellent",IF(H1166&gt;10.1,"Good","Low"))</f>
        <v>Excellent</v>
      </c>
    </row>
    <row r="1167" spans="1:9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 s="2">
        <v>2070</v>
      </c>
      <c r="G1167">
        <v>183.41</v>
      </c>
      <c r="H1167" s="2">
        <f>Table1[[#This Row],[Profit]]/Table1[[#This Row],[Sales]]*100</f>
        <v>8.8603864734299513</v>
      </c>
      <c r="I1167" t="str">
        <f>IF(Table1[[#This Row],[Profit %]]&gt;20,"Excellent",IF(H1167&gt;10.1,"Good","Low"))</f>
        <v>Low</v>
      </c>
    </row>
    <row r="1168" spans="1:9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 s="2">
        <v>3240</v>
      </c>
      <c r="G1168">
        <v>758.19</v>
      </c>
      <c r="H1168" s="2">
        <f>Table1[[#This Row],[Profit]]/Table1[[#This Row],[Sales]]*100</f>
        <v>23.400925925925929</v>
      </c>
      <c r="I1168" t="str">
        <f>IF(Table1[[#This Row],[Profit %]]&gt;20,"Excellent",IF(H1168&gt;10.1,"Good","Low"))</f>
        <v>Excellent</v>
      </c>
    </row>
    <row r="1169" spans="1:9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 s="2">
        <v>1748</v>
      </c>
      <c r="G1169">
        <v>506.52</v>
      </c>
      <c r="H1169" s="2">
        <f>Table1[[#This Row],[Profit]]/Table1[[#This Row],[Sales]]*100</f>
        <v>28.977116704805489</v>
      </c>
      <c r="I1169" t="str">
        <f>IF(Table1[[#This Row],[Profit %]]&gt;20,"Excellent",IF(H1169&gt;10.1,"Good","Low"))</f>
        <v>Excellent</v>
      </c>
    </row>
    <row r="1170" spans="1:9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 s="2">
        <v>2080</v>
      </c>
      <c r="G1170">
        <v>108.48</v>
      </c>
      <c r="H1170" s="2">
        <f>Table1[[#This Row],[Profit]]/Table1[[#This Row],[Sales]]*100</f>
        <v>5.2153846153846155</v>
      </c>
      <c r="I1170" t="str">
        <f>IF(Table1[[#This Row],[Profit %]]&gt;20,"Excellent",IF(H1170&gt;10.1,"Good","Low"))</f>
        <v>Low</v>
      </c>
    </row>
    <row r="1171" spans="1:9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 s="2">
        <v>2193</v>
      </c>
      <c r="G1171">
        <v>521.14</v>
      </c>
      <c r="H1171" s="2">
        <f>Table1[[#This Row],[Profit]]/Table1[[#This Row],[Sales]]*100</f>
        <v>23.763793889648881</v>
      </c>
      <c r="I1171" t="str">
        <f>IF(Table1[[#This Row],[Profit %]]&gt;20,"Excellent",IF(H1171&gt;10.1,"Good","Low"))</f>
        <v>Excellent</v>
      </c>
    </row>
    <row r="1172" spans="1:9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 s="2">
        <v>2080</v>
      </c>
      <c r="G1172">
        <v>614.77</v>
      </c>
      <c r="H1172" s="2">
        <f>Table1[[#This Row],[Profit]]/Table1[[#This Row],[Sales]]*100</f>
        <v>29.556250000000002</v>
      </c>
      <c r="I1172" t="str">
        <f>IF(Table1[[#This Row],[Profit %]]&gt;20,"Excellent",IF(H1172&gt;10.1,"Good","Low"))</f>
        <v>Excellent</v>
      </c>
    </row>
    <row r="1173" spans="1:9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 s="2">
        <v>5070</v>
      </c>
      <c r="G1173">
        <v>986.39</v>
      </c>
      <c r="H1173" s="2">
        <f>Table1[[#This Row],[Profit]]/Table1[[#This Row],[Sales]]*100</f>
        <v>19.455424063116368</v>
      </c>
      <c r="I1173" t="str">
        <f>IF(Table1[[#This Row],[Profit %]]&gt;20,"Excellent",IF(H1173&gt;10.1,"Good","Low"))</f>
        <v>Good</v>
      </c>
    </row>
    <row r="1174" spans="1:9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 s="2">
        <v>469</v>
      </c>
      <c r="G1174">
        <v>47.4</v>
      </c>
      <c r="H1174" s="2">
        <f>Table1[[#This Row],[Profit]]/Table1[[#This Row],[Sales]]*100</f>
        <v>10.106609808102345</v>
      </c>
      <c r="I1174" t="str">
        <f>IF(Table1[[#This Row],[Profit %]]&gt;20,"Excellent",IF(H1174&gt;10.1,"Good","Low"))</f>
        <v>Good</v>
      </c>
    </row>
    <row r="1175" spans="1:9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 s="2">
        <v>802</v>
      </c>
      <c r="G1175">
        <v>153.55000000000001</v>
      </c>
      <c r="H1175" s="2">
        <f>Table1[[#This Row],[Profit]]/Table1[[#This Row],[Sales]]*100</f>
        <v>19.145885286783042</v>
      </c>
      <c r="I1175" t="str">
        <f>IF(Table1[[#This Row],[Profit %]]&gt;20,"Excellent",IF(H1175&gt;10.1,"Good","Low"))</f>
        <v>Good</v>
      </c>
    </row>
    <row r="1176" spans="1:9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 s="2">
        <v>930</v>
      </c>
      <c r="G1176">
        <v>213.6</v>
      </c>
      <c r="H1176" s="2">
        <f>Table1[[#This Row],[Profit]]/Table1[[#This Row],[Sales]]*100</f>
        <v>22.967741935483872</v>
      </c>
      <c r="I1176" t="str">
        <f>IF(Table1[[#This Row],[Profit %]]&gt;20,"Excellent",IF(H1176&gt;10.1,"Good","Low"))</f>
        <v>Excellent</v>
      </c>
    </row>
    <row r="1177" spans="1:9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 s="2">
        <v>495</v>
      </c>
      <c r="G1177">
        <v>55.17</v>
      </c>
      <c r="H1177" s="2">
        <f>Table1[[#This Row],[Profit]]/Table1[[#This Row],[Sales]]*100</f>
        <v>11.145454545454546</v>
      </c>
      <c r="I1177" t="str">
        <f>IF(Table1[[#This Row],[Profit %]]&gt;20,"Excellent",IF(H1177&gt;10.1,"Good","Low"))</f>
        <v>Good</v>
      </c>
    </row>
    <row r="1178" spans="1:9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 s="2">
        <v>4938</v>
      </c>
      <c r="G1178">
        <v>847.89</v>
      </c>
      <c r="H1178" s="2">
        <f>Table1[[#This Row],[Profit]]/Table1[[#This Row],[Sales]]*100</f>
        <v>17.17071688942892</v>
      </c>
      <c r="I1178" t="str">
        <f>IF(Table1[[#This Row],[Profit %]]&gt;20,"Excellent",IF(H1178&gt;10.1,"Good","Low"))</f>
        <v>Good</v>
      </c>
    </row>
    <row r="1179" spans="1:9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 s="2">
        <v>1300</v>
      </c>
      <c r="G1179">
        <v>267.45999999999998</v>
      </c>
      <c r="H1179" s="2">
        <f>Table1[[#This Row],[Profit]]/Table1[[#This Row],[Sales]]*100</f>
        <v>20.573846153846151</v>
      </c>
      <c r="I1179" t="str">
        <f>IF(Table1[[#This Row],[Profit %]]&gt;20,"Excellent",IF(H1179&gt;10.1,"Good","Low"))</f>
        <v>Excellent</v>
      </c>
    </row>
    <row r="1180" spans="1:9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 s="2">
        <v>2100</v>
      </c>
      <c r="G1180">
        <v>131.66999999999999</v>
      </c>
      <c r="H1180" s="2">
        <f>Table1[[#This Row],[Profit]]/Table1[[#This Row],[Sales]]*100</f>
        <v>6.27</v>
      </c>
      <c r="I1180" t="str">
        <f>IF(Table1[[#This Row],[Profit %]]&gt;20,"Excellent",IF(H1180&gt;10.1,"Good","Low"))</f>
        <v>Low</v>
      </c>
    </row>
    <row r="1181" spans="1:9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 s="2">
        <v>2248</v>
      </c>
      <c r="G1181">
        <v>636.52</v>
      </c>
      <c r="H1181" s="2">
        <f>Table1[[#This Row],[Profit]]/Table1[[#This Row],[Sales]]*100</f>
        <v>28.314946619217078</v>
      </c>
      <c r="I1181" t="str">
        <f>IF(Table1[[#This Row],[Profit %]]&gt;20,"Excellent",IF(H1181&gt;10.1,"Good","Low"))</f>
        <v>Excellent</v>
      </c>
    </row>
    <row r="1182" spans="1:9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 s="2">
        <v>7096</v>
      </c>
      <c r="G1182">
        <v>991.23</v>
      </c>
      <c r="H1182" s="2">
        <f>Table1[[#This Row],[Profit]]/Table1[[#This Row],[Sales]]*100</f>
        <v>13.968855693348365</v>
      </c>
      <c r="I1182" t="str">
        <f>IF(Table1[[#This Row],[Profit %]]&gt;20,"Excellent",IF(H1182&gt;10.1,"Good","Low"))</f>
        <v>Good</v>
      </c>
    </row>
    <row r="1183" spans="1:9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 s="2">
        <v>1992</v>
      </c>
      <c r="G1183">
        <v>252.21</v>
      </c>
      <c r="H1183" s="2">
        <f>Table1[[#This Row],[Profit]]/Table1[[#This Row],[Sales]]*100</f>
        <v>12.661144578313255</v>
      </c>
      <c r="I1183" t="str">
        <f>IF(Table1[[#This Row],[Profit %]]&gt;20,"Excellent",IF(H1183&gt;10.1,"Good","Low"))</f>
        <v>Good</v>
      </c>
    </row>
    <row r="1184" spans="1:9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 s="2">
        <v>4056</v>
      </c>
      <c r="G1184">
        <v>1189.26</v>
      </c>
      <c r="H1184" s="2">
        <f>Table1[[#This Row],[Profit]]/Table1[[#This Row],[Sales]]*100</f>
        <v>29.321005917159766</v>
      </c>
      <c r="I1184" t="str">
        <f>IF(Table1[[#This Row],[Profit %]]&gt;20,"Excellent",IF(H1184&gt;10.1,"Good","Low"))</f>
        <v>Excellent</v>
      </c>
    </row>
    <row r="1185" spans="1:9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 s="2">
        <v>1986</v>
      </c>
      <c r="G1185">
        <v>208.88</v>
      </c>
      <c r="H1185" s="2">
        <f>Table1[[#This Row],[Profit]]/Table1[[#This Row],[Sales]]*100</f>
        <v>10.517623363544812</v>
      </c>
      <c r="I1185" t="str">
        <f>IF(Table1[[#This Row],[Profit %]]&gt;20,"Excellent",IF(H1185&gt;10.1,"Good","Low"))</f>
        <v>Good</v>
      </c>
    </row>
    <row r="1186" spans="1:9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 s="2">
        <v>1635</v>
      </c>
      <c r="G1186">
        <v>196.73</v>
      </c>
      <c r="H1186" s="2">
        <f>Table1[[#This Row],[Profit]]/Table1[[#This Row],[Sales]]*100</f>
        <v>12.032415902140672</v>
      </c>
      <c r="I1186" t="str">
        <f>IF(Table1[[#This Row],[Profit %]]&gt;20,"Excellent",IF(H1186&gt;10.1,"Good","Low"))</f>
        <v>Good</v>
      </c>
    </row>
    <row r="1187" spans="1:9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 s="2">
        <v>3132</v>
      </c>
      <c r="G1187">
        <v>443.27</v>
      </c>
      <c r="H1187" s="2">
        <f>Table1[[#This Row],[Profit]]/Table1[[#This Row],[Sales]]*100</f>
        <v>14.152937420178798</v>
      </c>
      <c r="I1187" t="str">
        <f>IF(Table1[[#This Row],[Profit %]]&gt;20,"Excellent",IF(H1187&gt;10.1,"Good","Low"))</f>
        <v>Good</v>
      </c>
    </row>
    <row r="1188" spans="1:9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 s="2">
        <v>7064</v>
      </c>
      <c r="G1188">
        <v>1554.52</v>
      </c>
      <c r="H1188" s="2">
        <f>Table1[[#This Row],[Profit]]/Table1[[#This Row],[Sales]]*100</f>
        <v>22.006228765571915</v>
      </c>
      <c r="I1188" t="str">
        <f>IF(Table1[[#This Row],[Profit %]]&gt;20,"Excellent",IF(H1188&gt;10.1,"Good","Low"))</f>
        <v>Excellent</v>
      </c>
    </row>
    <row r="1189" spans="1:9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 s="2">
        <v>907</v>
      </c>
      <c r="G1189">
        <v>249.2</v>
      </c>
      <c r="H1189" s="2">
        <f>Table1[[#This Row],[Profit]]/Table1[[#This Row],[Sales]]*100</f>
        <v>27.475192943770672</v>
      </c>
      <c r="I1189" t="str">
        <f>IF(Table1[[#This Row],[Profit %]]&gt;20,"Excellent",IF(H1189&gt;10.1,"Good","Low"))</f>
        <v>Excellent</v>
      </c>
    </row>
    <row r="1190" spans="1:9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 s="2">
        <v>7938</v>
      </c>
      <c r="G1190">
        <v>1191.4100000000001</v>
      </c>
      <c r="H1190" s="2">
        <f>Table1[[#This Row],[Profit]]/Table1[[#This Row],[Sales]]*100</f>
        <v>15.008944318468128</v>
      </c>
      <c r="I1190" t="str">
        <f>IF(Table1[[#This Row],[Profit %]]&gt;20,"Excellent",IF(H1190&gt;10.1,"Good","Low"))</f>
        <v>Good</v>
      </c>
    </row>
    <row r="1191" spans="1:9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 s="2">
        <v>4360</v>
      </c>
      <c r="G1191">
        <v>1207.46</v>
      </c>
      <c r="H1191" s="2">
        <f>Table1[[#This Row],[Profit]]/Table1[[#This Row],[Sales]]*100</f>
        <v>27.694036697247711</v>
      </c>
      <c r="I1191" t="str">
        <f>IF(Table1[[#This Row],[Profit %]]&gt;20,"Excellent",IF(H1191&gt;10.1,"Good","Low"))</f>
        <v>Excellent</v>
      </c>
    </row>
    <row r="1192" spans="1:9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 s="2">
        <v>375</v>
      </c>
      <c r="G1192">
        <v>95.04</v>
      </c>
      <c r="H1192" s="2">
        <f>Table1[[#This Row],[Profit]]/Table1[[#This Row],[Sales]]*100</f>
        <v>25.344000000000001</v>
      </c>
      <c r="I1192" t="str">
        <f>IF(Table1[[#This Row],[Profit %]]&gt;20,"Excellent",IF(H1192&gt;10.1,"Good","Low"))</f>
        <v>Excellent</v>
      </c>
    </row>
    <row r="1193" spans="1:9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 s="2">
        <v>826</v>
      </c>
      <c r="G1193">
        <v>101.01</v>
      </c>
      <c r="H1193" s="2">
        <f>Table1[[#This Row],[Profit]]/Table1[[#This Row],[Sales]]*100</f>
        <v>12.228813559322035</v>
      </c>
      <c r="I1193" t="str">
        <f>IF(Table1[[#This Row],[Profit %]]&gt;20,"Excellent",IF(H1193&gt;10.1,"Good","Low"))</f>
        <v>Good</v>
      </c>
    </row>
    <row r="1194" spans="1:9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 s="2">
        <v>1011</v>
      </c>
      <c r="G1194">
        <v>186.42</v>
      </c>
      <c r="H1194" s="2">
        <f>Table1[[#This Row],[Profit]]/Table1[[#This Row],[Sales]]*100</f>
        <v>18.439169139465875</v>
      </c>
      <c r="I1194" t="str">
        <f>IF(Table1[[#This Row],[Profit %]]&gt;20,"Excellent",IF(H1194&gt;10.1,"Good","Low"))</f>
        <v>Good</v>
      </c>
    </row>
    <row r="1195" spans="1:9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 s="2">
        <v>807</v>
      </c>
      <c r="G1195">
        <v>148.58000000000001</v>
      </c>
      <c r="H1195" s="2">
        <f>Table1[[#This Row],[Profit]]/Table1[[#This Row],[Sales]]*100</f>
        <v>18.411400247831473</v>
      </c>
      <c r="I1195" t="str">
        <f>IF(Table1[[#This Row],[Profit %]]&gt;20,"Excellent",IF(H1195&gt;10.1,"Good","Low"))</f>
        <v>Good</v>
      </c>
    </row>
    <row r="1196" spans="1:9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 s="2">
        <v>1840</v>
      </c>
      <c r="G1196">
        <v>367.7</v>
      </c>
      <c r="H1196" s="2">
        <f>Table1[[#This Row],[Profit]]/Table1[[#This Row],[Sales]]*100</f>
        <v>19.983695652173914</v>
      </c>
      <c r="I1196" t="str">
        <f>IF(Table1[[#This Row],[Profit %]]&gt;20,"Excellent",IF(H1196&gt;10.1,"Good","Low"))</f>
        <v>Good</v>
      </c>
    </row>
    <row r="1197" spans="1:9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 s="2">
        <v>4550</v>
      </c>
      <c r="G1197">
        <v>1039.3399999999999</v>
      </c>
      <c r="H1197" s="2">
        <f>Table1[[#This Row],[Profit]]/Table1[[#This Row],[Sales]]*100</f>
        <v>22.842637362637362</v>
      </c>
      <c r="I1197" t="str">
        <f>IF(Table1[[#This Row],[Profit %]]&gt;20,"Excellent",IF(H1197&gt;10.1,"Good","Low"))</f>
        <v>Excellent</v>
      </c>
    </row>
    <row r="1198" spans="1:9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 s="2">
        <v>8793</v>
      </c>
      <c r="G1198">
        <v>901.7</v>
      </c>
      <c r="H1198" s="2">
        <f>Table1[[#This Row],[Profit]]/Table1[[#This Row],[Sales]]*100</f>
        <v>10.254748095075628</v>
      </c>
      <c r="I1198" t="str">
        <f>IF(Table1[[#This Row],[Profit %]]&gt;20,"Excellent",IF(H1198&gt;10.1,"Good","Low"))</f>
        <v>Good</v>
      </c>
    </row>
    <row r="1199" spans="1:9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 s="2">
        <v>310</v>
      </c>
      <c r="G1199">
        <v>32.01</v>
      </c>
      <c r="H1199" s="2">
        <f>Table1[[#This Row],[Profit]]/Table1[[#This Row],[Sales]]*100</f>
        <v>10.325806451612902</v>
      </c>
      <c r="I1199" t="str">
        <f>IF(Table1[[#This Row],[Profit %]]&gt;20,"Excellent",IF(H1199&gt;10.1,"Good","Low"))</f>
        <v>Good</v>
      </c>
    </row>
    <row r="1200" spans="1:9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 s="2">
        <v>1143</v>
      </c>
      <c r="G1200">
        <v>275.04000000000002</v>
      </c>
      <c r="H1200" s="2">
        <f>Table1[[#This Row],[Profit]]/Table1[[#This Row],[Sales]]*100</f>
        <v>24.062992125984252</v>
      </c>
      <c r="I1200" t="str">
        <f>IF(Table1[[#This Row],[Profit %]]&gt;20,"Excellent",IF(H1200&gt;10.1,"Good","Low"))</f>
        <v>Excellent</v>
      </c>
    </row>
    <row r="1201" spans="1:9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 s="2">
        <v>2610</v>
      </c>
      <c r="G1201">
        <v>740.21</v>
      </c>
      <c r="H1201" s="2">
        <f>Table1[[#This Row],[Profit]]/Table1[[#This Row],[Sales]]*100</f>
        <v>28.360536398467435</v>
      </c>
      <c r="I1201" t="str">
        <f>IF(Table1[[#This Row],[Profit %]]&gt;20,"Excellent",IF(H1201&gt;10.1,"Good","Low"))</f>
        <v>Excellent</v>
      </c>
    </row>
    <row r="1202" spans="1:9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 s="2">
        <v>1494</v>
      </c>
      <c r="G1202">
        <v>269.25</v>
      </c>
      <c r="H1202" s="2">
        <f>Table1[[#This Row],[Profit]]/Table1[[#This Row],[Sales]]*100</f>
        <v>18.022088353413654</v>
      </c>
      <c r="I1202" t="str">
        <f>IF(Table1[[#This Row],[Profit %]]&gt;20,"Excellent",IF(H1202&gt;10.1,"Good","Low"))</f>
        <v>Good</v>
      </c>
    </row>
    <row r="1203" spans="1:9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 s="2">
        <v>1524</v>
      </c>
      <c r="G1203">
        <v>189.32</v>
      </c>
      <c r="H1203" s="2">
        <f>Table1[[#This Row],[Profit]]/Table1[[#This Row],[Sales]]*100</f>
        <v>12.42257217847769</v>
      </c>
      <c r="I1203" t="str">
        <f>IF(Table1[[#This Row],[Profit %]]&gt;20,"Excellent",IF(H1203&gt;10.1,"Good","Low"))</f>
        <v>Good</v>
      </c>
    </row>
    <row r="1204" spans="1:9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 s="2">
        <v>9441</v>
      </c>
      <c r="G1204">
        <v>2171.42</v>
      </c>
      <c r="H1204" s="2">
        <f>Table1[[#This Row],[Profit]]/Table1[[#This Row],[Sales]]*100</f>
        <v>22.999894079017054</v>
      </c>
      <c r="I1204" t="str">
        <f>IF(Table1[[#This Row],[Profit %]]&gt;20,"Excellent",IF(H1204&gt;10.1,"Good","Low"))</f>
        <v>Excellent</v>
      </c>
    </row>
    <row r="1205" spans="1:9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 s="2">
        <v>3520</v>
      </c>
      <c r="G1205">
        <v>417.26</v>
      </c>
      <c r="H1205" s="2">
        <f>Table1[[#This Row],[Profit]]/Table1[[#This Row],[Sales]]*100</f>
        <v>11.853977272727272</v>
      </c>
      <c r="I1205" t="str">
        <f>IF(Table1[[#This Row],[Profit %]]&gt;20,"Excellent",IF(H1205&gt;10.1,"Good","Low"))</f>
        <v>Good</v>
      </c>
    </row>
    <row r="1206" spans="1:9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 s="2">
        <v>390</v>
      </c>
      <c r="G1206">
        <v>103.99</v>
      </c>
      <c r="H1206" s="2">
        <f>Table1[[#This Row],[Profit]]/Table1[[#This Row],[Sales]]*100</f>
        <v>26.664102564102564</v>
      </c>
      <c r="I1206" t="str">
        <f>IF(Table1[[#This Row],[Profit %]]&gt;20,"Excellent",IF(H1206&gt;10.1,"Good","Low"))</f>
        <v>Excellent</v>
      </c>
    </row>
    <row r="1207" spans="1:9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 s="2">
        <v>3219</v>
      </c>
      <c r="G1207">
        <v>255.09</v>
      </c>
      <c r="H1207" s="2">
        <f>Table1[[#This Row],[Profit]]/Table1[[#This Row],[Sales]]*100</f>
        <v>7.9245107176141669</v>
      </c>
      <c r="I1207" t="str">
        <f>IF(Table1[[#This Row],[Profit %]]&gt;20,"Excellent",IF(H1207&gt;10.1,"Good","Low"))</f>
        <v>Low</v>
      </c>
    </row>
    <row r="1208" spans="1:9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 s="2">
        <v>450</v>
      </c>
      <c r="G1208">
        <v>75.89</v>
      </c>
      <c r="H1208" s="2">
        <f>Table1[[#This Row],[Profit]]/Table1[[#This Row],[Sales]]*100</f>
        <v>16.864444444444445</v>
      </c>
      <c r="I1208" t="str">
        <f>IF(Table1[[#This Row],[Profit %]]&gt;20,"Excellent",IF(H1208&gt;10.1,"Good","Low"))</f>
        <v>Good</v>
      </c>
    </row>
    <row r="1209" spans="1:9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 s="2">
        <v>828</v>
      </c>
      <c r="G1209">
        <v>216.98</v>
      </c>
      <c r="H1209" s="2">
        <f>Table1[[#This Row],[Profit]]/Table1[[#This Row],[Sales]]*100</f>
        <v>26.205314009661834</v>
      </c>
      <c r="I1209" t="str">
        <f>IF(Table1[[#This Row],[Profit %]]&gt;20,"Excellent",IF(H1209&gt;10.1,"Good","Low"))</f>
        <v>Excellent</v>
      </c>
    </row>
    <row r="1210" spans="1:9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 s="2">
        <v>1146</v>
      </c>
      <c r="G1210">
        <v>152.79</v>
      </c>
      <c r="H1210" s="2">
        <f>Table1[[#This Row],[Profit]]/Table1[[#This Row],[Sales]]*100</f>
        <v>13.332460732984291</v>
      </c>
      <c r="I1210" t="str">
        <f>IF(Table1[[#This Row],[Profit %]]&gt;20,"Excellent",IF(H1210&gt;10.1,"Good","Low"))</f>
        <v>Good</v>
      </c>
    </row>
    <row r="1211" spans="1:9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 s="2">
        <v>1986</v>
      </c>
      <c r="G1211">
        <v>361.33</v>
      </c>
      <c r="H1211" s="2">
        <f>Table1[[#This Row],[Profit]]/Table1[[#This Row],[Sales]]*100</f>
        <v>18.193856998992949</v>
      </c>
      <c r="I1211" t="str">
        <f>IF(Table1[[#This Row],[Profit %]]&gt;20,"Excellent",IF(H1211&gt;10.1,"Good","Low"))</f>
        <v>Good</v>
      </c>
    </row>
    <row r="1212" spans="1:9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 s="2">
        <v>7264</v>
      </c>
      <c r="G1212">
        <v>1776.83</v>
      </c>
      <c r="H1212" s="2">
        <f>Table1[[#This Row],[Profit]]/Table1[[#This Row],[Sales]]*100</f>
        <v>24.460765418502202</v>
      </c>
      <c r="I1212" t="str">
        <f>IF(Table1[[#This Row],[Profit %]]&gt;20,"Excellent",IF(H1212&gt;10.1,"Good","Low"))</f>
        <v>Excellent</v>
      </c>
    </row>
    <row r="1213" spans="1:9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 s="2">
        <v>7469</v>
      </c>
      <c r="G1213">
        <v>915.63</v>
      </c>
      <c r="H1213" s="2">
        <f>Table1[[#This Row],[Profit]]/Table1[[#This Row],[Sales]]*100</f>
        <v>12.259070826081135</v>
      </c>
      <c r="I1213" t="str">
        <f>IF(Table1[[#This Row],[Profit %]]&gt;20,"Excellent",IF(H1213&gt;10.1,"Good","Low"))</f>
        <v>Good</v>
      </c>
    </row>
    <row r="1214" spans="1:9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 s="2">
        <v>1385</v>
      </c>
      <c r="G1214">
        <v>165.55</v>
      </c>
      <c r="H1214" s="2">
        <f>Table1[[#This Row],[Profit]]/Table1[[#This Row],[Sales]]*100</f>
        <v>11.953068592057763</v>
      </c>
      <c r="I1214" t="str">
        <f>IF(Table1[[#This Row],[Profit %]]&gt;20,"Excellent",IF(H1214&gt;10.1,"Good","Low"))</f>
        <v>Good</v>
      </c>
    </row>
    <row r="1215" spans="1:9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 s="2">
        <v>4556</v>
      </c>
      <c r="G1215">
        <v>315.07</v>
      </c>
      <c r="H1215" s="2">
        <f>Table1[[#This Row],[Profit]]/Table1[[#This Row],[Sales]]*100</f>
        <v>6.9154960491659354</v>
      </c>
      <c r="I1215" t="str">
        <f>IF(Table1[[#This Row],[Profit %]]&gt;20,"Excellent",IF(H1215&gt;10.1,"Good","Low"))</f>
        <v>Low</v>
      </c>
    </row>
    <row r="1216" spans="1:9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 s="2">
        <v>456</v>
      </c>
      <c r="G1216">
        <v>61.42</v>
      </c>
      <c r="H1216" s="2">
        <f>Table1[[#This Row],[Profit]]/Table1[[#This Row],[Sales]]*100</f>
        <v>13.469298245614036</v>
      </c>
      <c r="I1216" t="str">
        <f>IF(Table1[[#This Row],[Profit %]]&gt;20,"Excellent",IF(H1216&gt;10.1,"Good","Low"))</f>
        <v>Good</v>
      </c>
    </row>
    <row r="1217" spans="1:9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 s="2">
        <v>1984</v>
      </c>
      <c r="G1217">
        <v>125.13</v>
      </c>
      <c r="H1217" s="2">
        <f>Table1[[#This Row],[Profit]]/Table1[[#This Row],[Sales]]*100</f>
        <v>6.30695564516129</v>
      </c>
      <c r="I1217" t="str">
        <f>IF(Table1[[#This Row],[Profit %]]&gt;20,"Excellent",IF(H1217&gt;10.1,"Good","Low"))</f>
        <v>Low</v>
      </c>
    </row>
    <row r="1218" spans="1:9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 s="2">
        <v>5178</v>
      </c>
      <c r="G1218">
        <v>1321.58</v>
      </c>
      <c r="H1218" s="2">
        <f>Table1[[#This Row],[Profit]]/Table1[[#This Row],[Sales]]*100</f>
        <v>25.522981846272693</v>
      </c>
      <c r="I1218" t="str">
        <f>IF(Table1[[#This Row],[Profit %]]&gt;20,"Excellent",IF(H1218&gt;10.1,"Good","Low"))</f>
        <v>Excellent</v>
      </c>
    </row>
    <row r="1219" spans="1:9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 s="2">
        <v>281</v>
      </c>
      <c r="G1219">
        <v>30.51</v>
      </c>
      <c r="H1219" s="2">
        <f>Table1[[#This Row],[Profit]]/Table1[[#This Row],[Sales]]*100</f>
        <v>10.857651245551601</v>
      </c>
      <c r="I1219" t="str">
        <f>IF(Table1[[#This Row],[Profit %]]&gt;20,"Excellent",IF(H1219&gt;10.1,"Good","Low"))</f>
        <v>Good</v>
      </c>
    </row>
    <row r="1220" spans="1:9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 s="2">
        <v>3033</v>
      </c>
      <c r="G1220">
        <v>177.92</v>
      </c>
      <c r="H1220" s="2">
        <f>Table1[[#This Row],[Profit]]/Table1[[#This Row],[Sales]]*100</f>
        <v>5.86613913616881</v>
      </c>
      <c r="I1220" t="str">
        <f>IF(Table1[[#This Row],[Profit %]]&gt;20,"Excellent",IF(H1220&gt;10.1,"Good","Low"))</f>
        <v>Low</v>
      </c>
    </row>
    <row r="1221" spans="1:9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 s="2">
        <v>1107</v>
      </c>
      <c r="G1221">
        <v>65.88</v>
      </c>
      <c r="H1221" s="2">
        <f>Table1[[#This Row],[Profit]]/Table1[[#This Row],[Sales]]*100</f>
        <v>5.9512195121951219</v>
      </c>
      <c r="I1221" t="str">
        <f>IF(Table1[[#This Row],[Profit %]]&gt;20,"Excellent",IF(H1221&gt;10.1,"Good","Low"))</f>
        <v>Low</v>
      </c>
    </row>
    <row r="1222" spans="1:9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 s="2">
        <v>1446</v>
      </c>
      <c r="G1222">
        <v>356.7</v>
      </c>
      <c r="H1222" s="2">
        <f>Table1[[#This Row],[Profit]]/Table1[[#This Row],[Sales]]*100</f>
        <v>24.668049792531118</v>
      </c>
      <c r="I1222" t="str">
        <f>IF(Table1[[#This Row],[Profit %]]&gt;20,"Excellent",IF(H1222&gt;10.1,"Good","Low"))</f>
        <v>Excellent</v>
      </c>
    </row>
    <row r="1223" spans="1:9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 s="2">
        <v>1335</v>
      </c>
      <c r="G1223">
        <v>263.04000000000002</v>
      </c>
      <c r="H1223" s="2">
        <f>Table1[[#This Row],[Profit]]/Table1[[#This Row],[Sales]]*100</f>
        <v>19.703370786516857</v>
      </c>
      <c r="I1223" t="str">
        <f>IF(Table1[[#This Row],[Profit %]]&gt;20,"Excellent",IF(H1223&gt;10.1,"Good","Low"))</f>
        <v>Good</v>
      </c>
    </row>
    <row r="1224" spans="1:9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 s="2">
        <v>266</v>
      </c>
      <c r="G1224">
        <v>20.11</v>
      </c>
      <c r="H1224" s="2">
        <f>Table1[[#This Row],[Profit]]/Table1[[#This Row],[Sales]]*100</f>
        <v>7.5601503759398492</v>
      </c>
      <c r="I1224" t="str">
        <f>IF(Table1[[#This Row],[Profit %]]&gt;20,"Excellent",IF(H1224&gt;10.1,"Good","Low"))</f>
        <v>Low</v>
      </c>
    </row>
    <row r="1225" spans="1:9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 s="2">
        <v>648</v>
      </c>
      <c r="G1225">
        <v>162.30000000000001</v>
      </c>
      <c r="H1225" s="2">
        <f>Table1[[#This Row],[Profit]]/Table1[[#This Row],[Sales]]*100</f>
        <v>25.046296296296301</v>
      </c>
      <c r="I1225" t="str">
        <f>IF(Table1[[#This Row],[Profit %]]&gt;20,"Excellent",IF(H1225&gt;10.1,"Good","Low"))</f>
        <v>Excellent</v>
      </c>
    </row>
    <row r="1226" spans="1:9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 s="2">
        <v>344</v>
      </c>
      <c r="G1226">
        <v>80.87</v>
      </c>
      <c r="H1226" s="2">
        <f>Table1[[#This Row],[Profit]]/Table1[[#This Row],[Sales]]*100</f>
        <v>23.50872093023256</v>
      </c>
      <c r="I1226" t="str">
        <f>IF(Table1[[#This Row],[Profit %]]&gt;20,"Excellent",IF(H1226&gt;10.1,"Good","Low"))</f>
        <v>Excellent</v>
      </c>
    </row>
    <row r="1227" spans="1:9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 s="2">
        <v>5724</v>
      </c>
      <c r="G1227">
        <v>1640.19</v>
      </c>
      <c r="H1227" s="2">
        <f>Table1[[#This Row],[Profit]]/Table1[[#This Row],[Sales]]*100</f>
        <v>28.65461215932914</v>
      </c>
      <c r="I1227" t="str">
        <f>IF(Table1[[#This Row],[Profit %]]&gt;20,"Excellent",IF(H1227&gt;10.1,"Good","Low"))</f>
        <v>Excellent</v>
      </c>
    </row>
    <row r="1228" spans="1:9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 s="2">
        <v>4920</v>
      </c>
      <c r="G1228">
        <v>323.38</v>
      </c>
      <c r="H1228" s="2">
        <f>Table1[[#This Row],[Profit]]/Table1[[#This Row],[Sales]]*100</f>
        <v>6.572764227642276</v>
      </c>
      <c r="I1228" t="str">
        <f>IF(Table1[[#This Row],[Profit %]]&gt;20,"Excellent",IF(H1228&gt;10.1,"Good","Low"))</f>
        <v>Low</v>
      </c>
    </row>
    <row r="1229" spans="1:9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 s="2">
        <v>5440</v>
      </c>
      <c r="G1229">
        <v>457.04</v>
      </c>
      <c r="H1229" s="2">
        <f>Table1[[#This Row],[Profit]]/Table1[[#This Row],[Sales]]*100</f>
        <v>8.4014705882352949</v>
      </c>
      <c r="I1229" t="str">
        <f>IF(Table1[[#This Row],[Profit %]]&gt;20,"Excellent",IF(H1229&gt;10.1,"Good","Low"))</f>
        <v>Low</v>
      </c>
    </row>
    <row r="1230" spans="1:9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 s="2">
        <v>7994</v>
      </c>
      <c r="G1230">
        <v>908.65</v>
      </c>
      <c r="H1230" s="2">
        <f>Table1[[#This Row],[Profit]]/Table1[[#This Row],[Sales]]*100</f>
        <v>11.366649987490618</v>
      </c>
      <c r="I1230" t="str">
        <f>IF(Table1[[#This Row],[Profit %]]&gt;20,"Excellent",IF(H1230&gt;10.1,"Good","Low"))</f>
        <v>Good</v>
      </c>
    </row>
    <row r="1231" spans="1:9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 s="2">
        <v>3780</v>
      </c>
      <c r="G1231">
        <v>724.36</v>
      </c>
      <c r="H1231" s="2">
        <f>Table1[[#This Row],[Profit]]/Table1[[#This Row],[Sales]]*100</f>
        <v>19.162962962962961</v>
      </c>
      <c r="I1231" t="str">
        <f>IF(Table1[[#This Row],[Profit %]]&gt;20,"Excellent",IF(H1231&gt;10.1,"Good","Low"))</f>
        <v>Good</v>
      </c>
    </row>
    <row r="1232" spans="1:9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 s="2">
        <v>1017</v>
      </c>
      <c r="G1232">
        <v>209.97</v>
      </c>
      <c r="H1232" s="2">
        <f>Table1[[#This Row],[Profit]]/Table1[[#This Row],[Sales]]*100</f>
        <v>20.646017699115042</v>
      </c>
      <c r="I1232" t="str">
        <f>IF(Table1[[#This Row],[Profit %]]&gt;20,"Excellent",IF(H1232&gt;10.1,"Good","Low"))</f>
        <v>Excellent</v>
      </c>
    </row>
    <row r="1233" spans="1:9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 s="2">
        <v>1578</v>
      </c>
      <c r="G1233">
        <v>82.85</v>
      </c>
      <c r="H1233" s="2">
        <f>Table1[[#This Row],[Profit]]/Table1[[#This Row],[Sales]]*100</f>
        <v>5.250316856780735</v>
      </c>
      <c r="I1233" t="str">
        <f>IF(Table1[[#This Row],[Profit %]]&gt;20,"Excellent",IF(H1233&gt;10.1,"Good","Low"))</f>
        <v>Low</v>
      </c>
    </row>
    <row r="1234" spans="1:9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 s="2">
        <v>912</v>
      </c>
      <c r="G1234">
        <v>161.37</v>
      </c>
      <c r="H1234" s="2">
        <f>Table1[[#This Row],[Profit]]/Table1[[#This Row],[Sales]]*100</f>
        <v>17.694078947368421</v>
      </c>
      <c r="I1234" t="str">
        <f>IF(Table1[[#This Row],[Profit %]]&gt;20,"Excellent",IF(H1234&gt;10.1,"Good","Low"))</f>
        <v>Good</v>
      </c>
    </row>
    <row r="1235" spans="1:9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 s="2">
        <v>2520</v>
      </c>
      <c r="G1235">
        <v>182.59</v>
      </c>
      <c r="H1235" s="2">
        <f>Table1[[#This Row],[Profit]]/Table1[[#This Row],[Sales]]*100</f>
        <v>7.2456349206349202</v>
      </c>
      <c r="I1235" t="str">
        <f>IF(Table1[[#This Row],[Profit %]]&gt;20,"Excellent",IF(H1235&gt;10.1,"Good","Low"))</f>
        <v>Low</v>
      </c>
    </row>
    <row r="1236" spans="1:9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 s="2">
        <v>2632</v>
      </c>
      <c r="G1236">
        <v>262.55</v>
      </c>
      <c r="H1236" s="2">
        <f>Table1[[#This Row],[Profit]]/Table1[[#This Row],[Sales]]*100</f>
        <v>9.9753039513677813</v>
      </c>
      <c r="I1236" t="str">
        <f>IF(Table1[[#This Row],[Profit %]]&gt;20,"Excellent",IF(H1236&gt;10.1,"Good","Low"))</f>
        <v>Low</v>
      </c>
    </row>
    <row r="1237" spans="1:9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 s="2">
        <v>6582</v>
      </c>
      <c r="G1237">
        <v>729.68</v>
      </c>
      <c r="H1237" s="2">
        <f>Table1[[#This Row],[Profit]]/Table1[[#This Row],[Sales]]*100</f>
        <v>11.085992099665756</v>
      </c>
      <c r="I1237" t="str">
        <f>IF(Table1[[#This Row],[Profit %]]&gt;20,"Excellent",IF(H1237&gt;10.1,"Good","Low"))</f>
        <v>Good</v>
      </c>
    </row>
    <row r="1238" spans="1:9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 s="2">
        <v>3432</v>
      </c>
      <c r="G1238">
        <v>172.69</v>
      </c>
      <c r="H1238" s="2">
        <f>Table1[[#This Row],[Profit]]/Table1[[#This Row],[Sales]]*100</f>
        <v>5.0317599067599073</v>
      </c>
      <c r="I1238" t="str">
        <f>IF(Table1[[#This Row],[Profit %]]&gt;20,"Excellent",IF(H1238&gt;10.1,"Good","Low"))</f>
        <v>Low</v>
      </c>
    </row>
    <row r="1239" spans="1:9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 s="2">
        <v>1030</v>
      </c>
      <c r="G1239">
        <v>254.65</v>
      </c>
      <c r="H1239" s="2">
        <f>Table1[[#This Row],[Profit]]/Table1[[#This Row],[Sales]]*100</f>
        <v>24.723300970873787</v>
      </c>
      <c r="I1239" t="str">
        <f>IF(Table1[[#This Row],[Profit %]]&gt;20,"Excellent",IF(H1239&gt;10.1,"Good","Low"))</f>
        <v>Excellent</v>
      </c>
    </row>
    <row r="1240" spans="1:9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 s="2">
        <v>1192</v>
      </c>
      <c r="G1240">
        <v>289.91000000000003</v>
      </c>
      <c r="H1240" s="2">
        <f>Table1[[#This Row],[Profit]]/Table1[[#This Row],[Sales]]*100</f>
        <v>24.321308724832218</v>
      </c>
      <c r="I1240" t="str">
        <f>IF(Table1[[#This Row],[Profit %]]&gt;20,"Excellent",IF(H1240&gt;10.1,"Good","Low"))</f>
        <v>Excellent</v>
      </c>
    </row>
    <row r="1241" spans="1:9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 s="2">
        <v>7083</v>
      </c>
      <c r="G1241">
        <v>994.47</v>
      </c>
      <c r="H1241" s="2">
        <f>Table1[[#This Row],[Profit]]/Table1[[#This Row],[Sales]]*100</f>
        <v>14.040237187632359</v>
      </c>
      <c r="I1241" t="str">
        <f>IF(Table1[[#This Row],[Profit %]]&gt;20,"Excellent",IF(H1241&gt;10.1,"Good","Low"))</f>
        <v>Good</v>
      </c>
    </row>
    <row r="1242" spans="1:9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 s="2">
        <v>3675</v>
      </c>
      <c r="G1242">
        <v>227.14</v>
      </c>
      <c r="H1242" s="2">
        <f>Table1[[#This Row],[Profit]]/Table1[[#This Row],[Sales]]*100</f>
        <v>6.1806802721088436</v>
      </c>
      <c r="I1242" t="str">
        <f>IF(Table1[[#This Row],[Profit %]]&gt;20,"Excellent",IF(H1242&gt;10.1,"Good","Low"))</f>
        <v>Low</v>
      </c>
    </row>
    <row r="1243" spans="1:9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 s="2">
        <v>4740</v>
      </c>
      <c r="G1243">
        <v>833.27</v>
      </c>
      <c r="H1243" s="2">
        <f>Table1[[#This Row],[Profit]]/Table1[[#This Row],[Sales]]*100</f>
        <v>17.579535864978901</v>
      </c>
      <c r="I1243" t="str">
        <f>IF(Table1[[#This Row],[Profit %]]&gt;20,"Excellent",IF(H1243&gt;10.1,"Good","Low"))</f>
        <v>Good</v>
      </c>
    </row>
    <row r="1244" spans="1:9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 s="2">
        <v>1716</v>
      </c>
      <c r="G1244">
        <v>364.96</v>
      </c>
      <c r="H1244" s="2">
        <f>Table1[[#This Row],[Profit]]/Table1[[#This Row],[Sales]]*100</f>
        <v>21.268065268065268</v>
      </c>
      <c r="I1244" t="str">
        <f>IF(Table1[[#This Row],[Profit %]]&gt;20,"Excellent",IF(H1244&gt;10.1,"Good","Low"))</f>
        <v>Excellent</v>
      </c>
    </row>
    <row r="1245" spans="1:9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 s="2">
        <v>3528</v>
      </c>
      <c r="G1245">
        <v>260.06</v>
      </c>
      <c r="H1245" s="2">
        <f>Table1[[#This Row],[Profit]]/Table1[[#This Row],[Sales]]*100</f>
        <v>7.3713151927437641</v>
      </c>
      <c r="I1245" t="str">
        <f>IF(Table1[[#This Row],[Profit %]]&gt;20,"Excellent",IF(H1245&gt;10.1,"Good","Low"))</f>
        <v>Low</v>
      </c>
    </row>
    <row r="1246" spans="1:9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 s="2">
        <v>777</v>
      </c>
      <c r="G1246">
        <v>71.72</v>
      </c>
      <c r="H1246" s="2">
        <f>Table1[[#This Row],[Profit]]/Table1[[#This Row],[Sales]]*100</f>
        <v>9.23037323037323</v>
      </c>
      <c r="I1246" t="str">
        <f>IF(Table1[[#This Row],[Profit %]]&gt;20,"Excellent",IF(H1246&gt;10.1,"Good","Low"))</f>
        <v>Low</v>
      </c>
    </row>
    <row r="1247" spans="1:9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 s="2">
        <v>3368</v>
      </c>
      <c r="G1247">
        <v>558.92999999999995</v>
      </c>
      <c r="H1247" s="2">
        <f>Table1[[#This Row],[Profit]]/Table1[[#This Row],[Sales]]*100</f>
        <v>16.595308788598572</v>
      </c>
      <c r="I1247" t="str">
        <f>IF(Table1[[#This Row],[Profit %]]&gt;20,"Excellent",IF(H1247&gt;10.1,"Good","Low"))</f>
        <v>Good</v>
      </c>
    </row>
    <row r="1248" spans="1:9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 s="2">
        <v>4240</v>
      </c>
      <c r="G1248">
        <v>251.46</v>
      </c>
      <c r="H1248" s="2">
        <f>Table1[[#This Row],[Profit]]/Table1[[#This Row],[Sales]]*100</f>
        <v>5.9306603773584907</v>
      </c>
      <c r="I1248" t="str">
        <f>IF(Table1[[#This Row],[Profit %]]&gt;20,"Excellent",IF(H1248&gt;10.1,"Good","Low"))</f>
        <v>Low</v>
      </c>
    </row>
    <row r="1249" spans="1:9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 s="2">
        <v>3285</v>
      </c>
      <c r="G1249">
        <v>292.87</v>
      </c>
      <c r="H1249" s="2">
        <f>Table1[[#This Row],[Profit]]/Table1[[#This Row],[Sales]]*100</f>
        <v>8.9153729071537295</v>
      </c>
      <c r="I1249" t="str">
        <f>IF(Table1[[#This Row],[Profit %]]&gt;20,"Excellent",IF(H1249&gt;10.1,"Good","Low"))</f>
        <v>Low</v>
      </c>
    </row>
    <row r="1250" spans="1:9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 s="2">
        <v>4872</v>
      </c>
      <c r="G1250">
        <v>612.73</v>
      </c>
      <c r="H1250" s="2">
        <f>Table1[[#This Row],[Profit]]/Table1[[#This Row],[Sales]]*100</f>
        <v>12.576559934318555</v>
      </c>
      <c r="I1250" t="str">
        <f>IF(Table1[[#This Row],[Profit %]]&gt;20,"Excellent",IF(H1250&gt;10.1,"Good","Low"))</f>
        <v>Good</v>
      </c>
    </row>
    <row r="1251" spans="1:9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 s="2">
        <v>2466</v>
      </c>
      <c r="G1251">
        <v>638.41</v>
      </c>
      <c r="H1251" s="2">
        <f>Table1[[#This Row],[Profit]]/Table1[[#This Row],[Sales]]*100</f>
        <v>25.888483373884831</v>
      </c>
      <c r="I1251" t="str">
        <f>IF(Table1[[#This Row],[Profit %]]&gt;20,"Excellent",IF(H1251&gt;10.1,"Good","Low"))</f>
        <v>Excellent</v>
      </c>
    </row>
    <row r="1252" spans="1:9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 s="2">
        <v>2465</v>
      </c>
      <c r="G1252">
        <v>497.19</v>
      </c>
      <c r="H1252" s="2">
        <f>Table1[[#This Row],[Profit]]/Table1[[#This Row],[Sales]]*100</f>
        <v>20.16997971602434</v>
      </c>
      <c r="I1252" t="str">
        <f>IF(Table1[[#This Row],[Profit %]]&gt;20,"Excellent",IF(H1252&gt;10.1,"Good","Low"))</f>
        <v>Excellent</v>
      </c>
    </row>
    <row r="1253" spans="1:9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 s="2">
        <v>612</v>
      </c>
      <c r="G1253">
        <v>40.15</v>
      </c>
      <c r="H1253" s="2">
        <f>Table1[[#This Row],[Profit]]/Table1[[#This Row],[Sales]]*100</f>
        <v>6.56045751633987</v>
      </c>
      <c r="I1253" t="str">
        <f>IF(Table1[[#This Row],[Profit %]]&gt;20,"Excellent",IF(H1253&gt;10.1,"Good","Low"))</f>
        <v>Low</v>
      </c>
    </row>
    <row r="1254" spans="1:9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 s="2">
        <v>4170</v>
      </c>
      <c r="G1254">
        <v>658.98</v>
      </c>
      <c r="H1254" s="2">
        <f>Table1[[#This Row],[Profit]]/Table1[[#This Row],[Sales]]*100</f>
        <v>15.802877697841728</v>
      </c>
      <c r="I1254" t="str">
        <f>IF(Table1[[#This Row],[Profit %]]&gt;20,"Excellent",IF(H1254&gt;10.1,"Good","Low"))</f>
        <v>Good</v>
      </c>
    </row>
    <row r="1255" spans="1:9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 s="2">
        <v>1088</v>
      </c>
      <c r="G1255">
        <v>160.33000000000001</v>
      </c>
      <c r="H1255" s="2">
        <f>Table1[[#This Row],[Profit]]/Table1[[#This Row],[Sales]]*100</f>
        <v>14.736213235294118</v>
      </c>
      <c r="I1255" t="str">
        <f>IF(Table1[[#This Row],[Profit %]]&gt;20,"Excellent",IF(H1255&gt;10.1,"Good","Low"))</f>
        <v>Good</v>
      </c>
    </row>
    <row r="1256" spans="1:9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 s="2">
        <v>1626</v>
      </c>
      <c r="G1256">
        <v>354.49</v>
      </c>
      <c r="H1256" s="2">
        <f>Table1[[#This Row],[Profit]]/Table1[[#This Row],[Sales]]*100</f>
        <v>21.801353013530136</v>
      </c>
      <c r="I1256" t="str">
        <f>IF(Table1[[#This Row],[Profit %]]&gt;20,"Excellent",IF(H1256&gt;10.1,"Good","Low"))</f>
        <v>Excellent</v>
      </c>
    </row>
    <row r="1257" spans="1:9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 s="2">
        <v>6486</v>
      </c>
      <c r="G1257">
        <v>359.49</v>
      </c>
      <c r="H1257" s="2">
        <f>Table1[[#This Row],[Profit]]/Table1[[#This Row],[Sales]]*100</f>
        <v>5.542553191489362</v>
      </c>
      <c r="I1257" t="str">
        <f>IF(Table1[[#This Row],[Profit %]]&gt;20,"Excellent",IF(H1257&gt;10.1,"Good","Low"))</f>
        <v>Low</v>
      </c>
    </row>
    <row r="1258" spans="1:9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 s="2">
        <v>6968</v>
      </c>
      <c r="G1258">
        <v>1226.22</v>
      </c>
      <c r="H1258" s="2">
        <f>Table1[[#This Row],[Profit]]/Table1[[#This Row],[Sales]]*100</f>
        <v>17.597876004592422</v>
      </c>
      <c r="I1258" t="str">
        <f>IF(Table1[[#This Row],[Profit %]]&gt;20,"Excellent",IF(H1258&gt;10.1,"Good","Low"))</f>
        <v>Good</v>
      </c>
    </row>
    <row r="1259" spans="1:9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 s="2">
        <v>357</v>
      </c>
      <c r="G1259">
        <v>82.86</v>
      </c>
      <c r="H1259" s="2">
        <f>Table1[[#This Row],[Profit]]/Table1[[#This Row],[Sales]]*100</f>
        <v>23.210084033613445</v>
      </c>
      <c r="I1259" t="str">
        <f>IF(Table1[[#This Row],[Profit %]]&gt;20,"Excellent",IF(H1259&gt;10.1,"Good","Low"))</f>
        <v>Excellent</v>
      </c>
    </row>
    <row r="1260" spans="1:9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 s="2">
        <v>454</v>
      </c>
      <c r="G1260">
        <v>58.4</v>
      </c>
      <c r="H1260" s="2">
        <f>Table1[[#This Row],[Profit]]/Table1[[#This Row],[Sales]]*100</f>
        <v>12.863436123348018</v>
      </c>
      <c r="I1260" t="str">
        <f>IF(Table1[[#This Row],[Profit %]]&gt;20,"Excellent",IF(H1260&gt;10.1,"Good","Low"))</f>
        <v>Good</v>
      </c>
    </row>
    <row r="1261" spans="1:9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 s="2">
        <v>3582</v>
      </c>
      <c r="G1261">
        <v>501.47</v>
      </c>
      <c r="H1261" s="2">
        <f>Table1[[#This Row],[Profit]]/Table1[[#This Row],[Sales]]*100</f>
        <v>13.999720826353993</v>
      </c>
      <c r="I1261" t="str">
        <f>IF(Table1[[#This Row],[Profit %]]&gt;20,"Excellent",IF(H1261&gt;10.1,"Good","Low"))</f>
        <v>Good</v>
      </c>
    </row>
    <row r="1262" spans="1:9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 s="2">
        <v>3762</v>
      </c>
      <c r="G1262">
        <v>484.75</v>
      </c>
      <c r="H1262" s="2">
        <f>Table1[[#This Row],[Profit]]/Table1[[#This Row],[Sales]]*100</f>
        <v>12.885433280170123</v>
      </c>
      <c r="I1262" t="str">
        <f>IF(Table1[[#This Row],[Profit %]]&gt;20,"Excellent",IF(H1262&gt;10.1,"Good","Low"))</f>
        <v>Good</v>
      </c>
    </row>
    <row r="1263" spans="1:9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 s="2">
        <v>6642</v>
      </c>
      <c r="G1263">
        <v>394.48</v>
      </c>
      <c r="H1263" s="2">
        <f>Table1[[#This Row],[Profit]]/Table1[[#This Row],[Sales]]*100</f>
        <v>5.9391749473050286</v>
      </c>
      <c r="I1263" t="str">
        <f>IF(Table1[[#This Row],[Profit %]]&gt;20,"Excellent",IF(H1263&gt;10.1,"Good","Low"))</f>
        <v>Low</v>
      </c>
    </row>
    <row r="1264" spans="1:9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 s="2">
        <v>408</v>
      </c>
      <c r="G1264">
        <v>45.2</v>
      </c>
      <c r="H1264" s="2">
        <f>Table1[[#This Row],[Profit]]/Table1[[#This Row],[Sales]]*100</f>
        <v>11.078431372549021</v>
      </c>
      <c r="I1264" t="str">
        <f>IF(Table1[[#This Row],[Profit %]]&gt;20,"Excellent",IF(H1264&gt;10.1,"Good","Low"))</f>
        <v>Good</v>
      </c>
    </row>
    <row r="1265" spans="1:9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 s="2">
        <v>105</v>
      </c>
      <c r="G1265">
        <v>25.26</v>
      </c>
      <c r="H1265" s="2">
        <f>Table1[[#This Row],[Profit]]/Table1[[#This Row],[Sales]]*100</f>
        <v>24.057142857142857</v>
      </c>
      <c r="I1265" t="str">
        <f>IF(Table1[[#This Row],[Profit %]]&gt;20,"Excellent",IF(H1265&gt;10.1,"Good","Low"))</f>
        <v>Excellent</v>
      </c>
    </row>
    <row r="1266" spans="1:9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 s="2">
        <v>2682</v>
      </c>
      <c r="G1266">
        <v>584.69000000000005</v>
      </c>
      <c r="H1266" s="2">
        <f>Table1[[#This Row],[Profit]]/Table1[[#This Row],[Sales]]*100</f>
        <v>21.800521998508579</v>
      </c>
      <c r="I1266" t="str">
        <f>IF(Table1[[#This Row],[Profit %]]&gt;20,"Excellent",IF(H1266&gt;10.1,"Good","Low"))</f>
        <v>Excellent</v>
      </c>
    </row>
    <row r="1267" spans="1:9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 s="2">
        <v>497</v>
      </c>
      <c r="G1267">
        <v>76.31</v>
      </c>
      <c r="H1267" s="2">
        <f>Table1[[#This Row],[Profit]]/Table1[[#This Row],[Sales]]*100</f>
        <v>15.354124748490946</v>
      </c>
      <c r="I1267" t="str">
        <f>IF(Table1[[#This Row],[Profit %]]&gt;20,"Excellent",IF(H1267&gt;10.1,"Good","Low"))</f>
        <v>Good</v>
      </c>
    </row>
    <row r="1268" spans="1:9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 s="2">
        <v>4823</v>
      </c>
      <c r="G1268">
        <v>420.58</v>
      </c>
      <c r="H1268" s="2">
        <f>Table1[[#This Row],[Profit]]/Table1[[#This Row],[Sales]]*100</f>
        <v>8.7202985693551724</v>
      </c>
      <c r="I1268" t="str">
        <f>IF(Table1[[#This Row],[Profit %]]&gt;20,"Excellent",IF(H1268&gt;10.1,"Good","Low"))</f>
        <v>Low</v>
      </c>
    </row>
    <row r="1269" spans="1:9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 s="2">
        <v>4048</v>
      </c>
      <c r="G1269">
        <v>666.1</v>
      </c>
      <c r="H1269" s="2">
        <f>Table1[[#This Row],[Profit]]/Table1[[#This Row],[Sales]]*100</f>
        <v>16.455039525691699</v>
      </c>
      <c r="I1269" t="str">
        <f>IF(Table1[[#This Row],[Profit %]]&gt;20,"Excellent",IF(H1269&gt;10.1,"Good","Low"))</f>
        <v>Good</v>
      </c>
    </row>
    <row r="1270" spans="1:9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 s="2">
        <v>2758</v>
      </c>
      <c r="G1270">
        <v>459.02</v>
      </c>
      <c r="H1270" s="2">
        <f>Table1[[#This Row],[Profit]]/Table1[[#This Row],[Sales]]*100</f>
        <v>16.643219724437998</v>
      </c>
      <c r="I1270" t="str">
        <f>IF(Table1[[#This Row],[Profit %]]&gt;20,"Excellent",IF(H1270&gt;10.1,"Good","Low"))</f>
        <v>Good</v>
      </c>
    </row>
    <row r="1271" spans="1:9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 s="2">
        <v>4096</v>
      </c>
      <c r="G1271">
        <v>266.35000000000002</v>
      </c>
      <c r="H1271" s="2">
        <f>Table1[[#This Row],[Profit]]/Table1[[#This Row],[Sales]]*100</f>
        <v>6.5026855468750009</v>
      </c>
      <c r="I1271" t="str">
        <f>IF(Table1[[#This Row],[Profit %]]&gt;20,"Excellent",IF(H1271&gt;10.1,"Good","Low"))</f>
        <v>Low</v>
      </c>
    </row>
    <row r="1272" spans="1:9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 s="2">
        <v>7264</v>
      </c>
      <c r="G1272">
        <v>1318</v>
      </c>
      <c r="H1272" s="2">
        <f>Table1[[#This Row],[Profit]]/Table1[[#This Row],[Sales]]*100</f>
        <v>18.144273127753305</v>
      </c>
      <c r="I1272" t="str">
        <f>IF(Table1[[#This Row],[Profit %]]&gt;20,"Excellent",IF(H1272&gt;10.1,"Good","Low"))</f>
        <v>Good</v>
      </c>
    </row>
    <row r="1273" spans="1:9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 s="2">
        <v>4302</v>
      </c>
      <c r="G1273">
        <v>957.38</v>
      </c>
      <c r="H1273" s="2">
        <f>Table1[[#This Row],[Profit]]/Table1[[#This Row],[Sales]]*100</f>
        <v>22.25430032543003</v>
      </c>
      <c r="I1273" t="str">
        <f>IF(Table1[[#This Row],[Profit %]]&gt;20,"Excellent",IF(H1273&gt;10.1,"Good","Low"))</f>
        <v>Excellent</v>
      </c>
    </row>
    <row r="1274" spans="1:9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 s="2">
        <v>3297</v>
      </c>
      <c r="G1274">
        <v>583.86</v>
      </c>
      <c r="H1274" s="2">
        <f>Table1[[#This Row],[Profit]]/Table1[[#This Row],[Sales]]*100</f>
        <v>17.708826205641493</v>
      </c>
      <c r="I1274" t="str">
        <f>IF(Table1[[#This Row],[Profit %]]&gt;20,"Excellent",IF(H1274&gt;10.1,"Good","Low"))</f>
        <v>Good</v>
      </c>
    </row>
    <row r="1275" spans="1:9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 s="2">
        <v>5960</v>
      </c>
      <c r="G1275">
        <v>1139.78</v>
      </c>
      <c r="H1275" s="2">
        <f>Table1[[#This Row],[Profit]]/Table1[[#This Row],[Sales]]*100</f>
        <v>19.123825503355704</v>
      </c>
      <c r="I1275" t="str">
        <f>IF(Table1[[#This Row],[Profit %]]&gt;20,"Excellent",IF(H1275&gt;10.1,"Good","Low"))</f>
        <v>Good</v>
      </c>
    </row>
    <row r="1276" spans="1:9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 s="2">
        <v>386</v>
      </c>
      <c r="G1276">
        <v>114.9</v>
      </c>
      <c r="H1276" s="2">
        <f>Table1[[#This Row],[Profit]]/Table1[[#This Row],[Sales]]*100</f>
        <v>29.766839378238341</v>
      </c>
      <c r="I1276" t="str">
        <f>IF(Table1[[#This Row],[Profit %]]&gt;20,"Excellent",IF(H1276&gt;10.1,"Good","Low"))</f>
        <v>Excellent</v>
      </c>
    </row>
    <row r="1277" spans="1:9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 s="2">
        <v>684</v>
      </c>
      <c r="G1277">
        <v>170.36</v>
      </c>
      <c r="H1277" s="2">
        <f>Table1[[#This Row],[Profit]]/Table1[[#This Row],[Sales]]*100</f>
        <v>24.906432748538013</v>
      </c>
      <c r="I1277" t="str">
        <f>IF(Table1[[#This Row],[Profit %]]&gt;20,"Excellent",IF(H1277&gt;10.1,"Good","Low"))</f>
        <v>Excellent</v>
      </c>
    </row>
    <row r="1278" spans="1:9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 s="2">
        <v>1275</v>
      </c>
      <c r="G1278">
        <v>168.64</v>
      </c>
      <c r="H1278" s="2">
        <f>Table1[[#This Row],[Profit]]/Table1[[#This Row],[Sales]]*100</f>
        <v>13.226666666666665</v>
      </c>
      <c r="I1278" t="str">
        <f>IF(Table1[[#This Row],[Profit %]]&gt;20,"Excellent",IF(H1278&gt;10.1,"Good","Low"))</f>
        <v>Good</v>
      </c>
    </row>
    <row r="1279" spans="1:9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 s="2">
        <v>5949</v>
      </c>
      <c r="G1279">
        <v>368.51</v>
      </c>
      <c r="H1279" s="2">
        <f>Table1[[#This Row],[Profit]]/Table1[[#This Row],[Sales]]*100</f>
        <v>6.1944864683140022</v>
      </c>
      <c r="I1279" t="str">
        <f>IF(Table1[[#This Row],[Profit %]]&gt;20,"Excellent",IF(H1279&gt;10.1,"Good","Low"))</f>
        <v>Low</v>
      </c>
    </row>
    <row r="1280" spans="1:9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 s="2">
        <v>5159</v>
      </c>
      <c r="G1280">
        <v>755.22</v>
      </c>
      <c r="H1280" s="2">
        <f>Table1[[#This Row],[Profit]]/Table1[[#This Row],[Sales]]*100</f>
        <v>14.638883504555148</v>
      </c>
      <c r="I1280" t="str">
        <f>IF(Table1[[#This Row],[Profit %]]&gt;20,"Excellent",IF(H1280&gt;10.1,"Good","Low"))</f>
        <v>Good</v>
      </c>
    </row>
    <row r="1281" spans="1:9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 s="2">
        <v>1100</v>
      </c>
      <c r="G1281">
        <v>127.13</v>
      </c>
      <c r="H1281" s="2">
        <f>Table1[[#This Row],[Profit]]/Table1[[#This Row],[Sales]]*100</f>
        <v>11.557272727272727</v>
      </c>
      <c r="I1281" t="str">
        <f>IF(Table1[[#This Row],[Profit %]]&gt;20,"Excellent",IF(H1281&gt;10.1,"Good","Low"))</f>
        <v>Good</v>
      </c>
    </row>
    <row r="1282" spans="1:9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 s="2">
        <v>290</v>
      </c>
      <c r="G1282">
        <v>50.23</v>
      </c>
      <c r="H1282" s="2">
        <f>Table1[[#This Row],[Profit]]/Table1[[#This Row],[Sales]]*100</f>
        <v>17.320689655172412</v>
      </c>
      <c r="I1282" t="str">
        <f>IF(Table1[[#This Row],[Profit %]]&gt;20,"Excellent",IF(H1282&gt;10.1,"Good","Low"))</f>
        <v>Good</v>
      </c>
    </row>
    <row r="1283" spans="1:9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 s="2">
        <v>7144</v>
      </c>
      <c r="G1283">
        <v>492.1</v>
      </c>
      <c r="H1283" s="2">
        <f>Table1[[#This Row],[Profit]]/Table1[[#This Row],[Sales]]*100</f>
        <v>6.8882978723404262</v>
      </c>
      <c r="I1283" t="str">
        <f>IF(Table1[[#This Row],[Profit %]]&gt;20,"Excellent",IF(H1283&gt;10.1,"Good","Low"))</f>
        <v>Low</v>
      </c>
    </row>
    <row r="1284" spans="1:9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 s="2">
        <v>4200</v>
      </c>
      <c r="G1284">
        <v>330.48</v>
      </c>
      <c r="H1284" s="2">
        <f>Table1[[#This Row],[Profit]]/Table1[[#This Row],[Sales]]*100</f>
        <v>7.8685714285714292</v>
      </c>
      <c r="I1284" t="str">
        <f>IF(Table1[[#This Row],[Profit %]]&gt;20,"Excellent",IF(H1284&gt;10.1,"Good","Low"))</f>
        <v>Low</v>
      </c>
    </row>
    <row r="1285" spans="1:9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 s="2">
        <v>5022</v>
      </c>
      <c r="G1285">
        <v>291.89</v>
      </c>
      <c r="H1285" s="2">
        <f>Table1[[#This Row],[Profit]]/Table1[[#This Row],[Sales]]*100</f>
        <v>5.8122262046993232</v>
      </c>
      <c r="I1285" t="str">
        <f>IF(Table1[[#This Row],[Profit %]]&gt;20,"Excellent",IF(H1285&gt;10.1,"Good","Low"))</f>
        <v>Low</v>
      </c>
    </row>
    <row r="1286" spans="1:9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 s="2">
        <v>2354</v>
      </c>
      <c r="G1286">
        <v>371.34</v>
      </c>
      <c r="H1286" s="2">
        <f>Table1[[#This Row],[Profit]]/Table1[[#This Row],[Sales]]*100</f>
        <v>15.774851316907391</v>
      </c>
      <c r="I1286" t="str">
        <f>IF(Table1[[#This Row],[Profit %]]&gt;20,"Excellent",IF(H1286&gt;10.1,"Good","Low"))</f>
        <v>Good</v>
      </c>
    </row>
    <row r="1287" spans="1:9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 s="2">
        <v>2032</v>
      </c>
      <c r="G1287">
        <v>149.69999999999999</v>
      </c>
      <c r="H1287" s="2">
        <f>Table1[[#This Row],[Profit]]/Table1[[#This Row],[Sales]]*100</f>
        <v>7.3671259842519685</v>
      </c>
      <c r="I1287" t="str">
        <f>IF(Table1[[#This Row],[Profit %]]&gt;20,"Excellent",IF(H1287&gt;10.1,"Good","Low"))</f>
        <v>Low</v>
      </c>
    </row>
    <row r="1288" spans="1:9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 s="2">
        <v>9528</v>
      </c>
      <c r="G1288">
        <v>1942.35</v>
      </c>
      <c r="H1288" s="2">
        <f>Table1[[#This Row],[Profit]]/Table1[[#This Row],[Sales]]*100</f>
        <v>20.385705289672543</v>
      </c>
      <c r="I1288" t="str">
        <f>IF(Table1[[#This Row],[Profit %]]&gt;20,"Excellent",IF(H1288&gt;10.1,"Good","Low"))</f>
        <v>Excellent</v>
      </c>
    </row>
    <row r="1289" spans="1:9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 s="2">
        <v>2372</v>
      </c>
      <c r="G1289">
        <v>275.88</v>
      </c>
      <c r="H1289" s="2">
        <f>Table1[[#This Row],[Profit]]/Table1[[#This Row],[Sales]]*100</f>
        <v>11.630691399662732</v>
      </c>
      <c r="I1289" t="str">
        <f>IF(Table1[[#This Row],[Profit %]]&gt;20,"Excellent",IF(H1289&gt;10.1,"Good","Low"))</f>
        <v>Good</v>
      </c>
    </row>
    <row r="1290" spans="1:9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 s="2">
        <v>2703</v>
      </c>
      <c r="G1290">
        <v>609.75</v>
      </c>
      <c r="H1290" s="2">
        <f>Table1[[#This Row],[Profit]]/Table1[[#This Row],[Sales]]*100</f>
        <v>22.55826859045505</v>
      </c>
      <c r="I1290" t="str">
        <f>IF(Table1[[#This Row],[Profit %]]&gt;20,"Excellent",IF(H1290&gt;10.1,"Good","Low"))</f>
        <v>Excellent</v>
      </c>
    </row>
    <row r="1291" spans="1:9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 s="2">
        <v>1264</v>
      </c>
      <c r="G1291">
        <v>267.82</v>
      </c>
      <c r="H1291" s="2">
        <f>Table1[[#This Row],[Profit]]/Table1[[#This Row],[Sales]]*100</f>
        <v>21.188291139240505</v>
      </c>
      <c r="I1291" t="str">
        <f>IF(Table1[[#This Row],[Profit %]]&gt;20,"Excellent",IF(H1291&gt;10.1,"Good","Low"))</f>
        <v>Excellent</v>
      </c>
    </row>
    <row r="1292" spans="1:9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 s="2">
        <v>1624</v>
      </c>
      <c r="G1292">
        <v>333.74</v>
      </c>
      <c r="H1292" s="2">
        <f>Table1[[#This Row],[Profit]]/Table1[[#This Row],[Sales]]*100</f>
        <v>20.550492610837441</v>
      </c>
      <c r="I1292" t="str">
        <f>IF(Table1[[#This Row],[Profit %]]&gt;20,"Excellent",IF(H1292&gt;10.1,"Good","Low"))</f>
        <v>Excellent</v>
      </c>
    </row>
    <row r="1293" spans="1:9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 s="2">
        <v>2976</v>
      </c>
      <c r="G1293">
        <v>507.77</v>
      </c>
      <c r="H1293" s="2">
        <f>Table1[[#This Row],[Profit]]/Table1[[#This Row],[Sales]]*100</f>
        <v>17.062163978494624</v>
      </c>
      <c r="I1293" t="str">
        <f>IF(Table1[[#This Row],[Profit %]]&gt;20,"Excellent",IF(H1293&gt;10.1,"Good","Low"))</f>
        <v>Good</v>
      </c>
    </row>
    <row r="1294" spans="1:9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 s="2">
        <v>4998</v>
      </c>
      <c r="G1294">
        <v>863.82</v>
      </c>
      <c r="H1294" s="2">
        <f>Table1[[#This Row],[Profit]]/Table1[[#This Row],[Sales]]*100</f>
        <v>17.283313325330134</v>
      </c>
      <c r="I1294" t="str">
        <f>IF(Table1[[#This Row],[Profit %]]&gt;20,"Excellent",IF(H1294&gt;10.1,"Good","Low"))</f>
        <v>Good</v>
      </c>
    </row>
    <row r="1295" spans="1:9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 s="2">
        <v>445</v>
      </c>
      <c r="G1295">
        <v>29.57</v>
      </c>
      <c r="H1295" s="2">
        <f>Table1[[#This Row],[Profit]]/Table1[[#This Row],[Sales]]*100</f>
        <v>6.6449438202247189</v>
      </c>
      <c r="I1295" t="str">
        <f>IF(Table1[[#This Row],[Profit %]]&gt;20,"Excellent",IF(H1295&gt;10.1,"Good","Low"))</f>
        <v>Low</v>
      </c>
    </row>
    <row r="1296" spans="1:9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 s="2">
        <v>98</v>
      </c>
      <c r="G1296">
        <v>28.57</v>
      </c>
      <c r="H1296" s="2">
        <f>Table1[[#This Row],[Profit]]/Table1[[#This Row],[Sales]]*100</f>
        <v>29.153061224489797</v>
      </c>
      <c r="I1296" t="str">
        <f>IF(Table1[[#This Row],[Profit %]]&gt;20,"Excellent",IF(H1296&gt;10.1,"Good","Low"))</f>
        <v>Excellent</v>
      </c>
    </row>
    <row r="1297" spans="1:9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 s="2">
        <v>4102</v>
      </c>
      <c r="G1297">
        <v>354.03</v>
      </c>
      <c r="H1297" s="2">
        <f>Table1[[#This Row],[Profit]]/Table1[[#This Row],[Sales]]*100</f>
        <v>8.63066796684544</v>
      </c>
      <c r="I1297" t="str">
        <f>IF(Table1[[#This Row],[Profit %]]&gt;20,"Excellent",IF(H1297&gt;10.1,"Good","Low"))</f>
        <v>Low</v>
      </c>
    </row>
    <row r="1298" spans="1:9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 s="2">
        <v>1016</v>
      </c>
      <c r="G1298">
        <v>171.31</v>
      </c>
      <c r="H1298" s="2">
        <f>Table1[[#This Row],[Profit]]/Table1[[#This Row],[Sales]]*100</f>
        <v>16.861220472440948</v>
      </c>
      <c r="I1298" t="str">
        <f>IF(Table1[[#This Row],[Profit %]]&gt;20,"Excellent",IF(H1298&gt;10.1,"Good","Low"))</f>
        <v>Good</v>
      </c>
    </row>
    <row r="1299" spans="1:9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 s="2">
        <v>1960</v>
      </c>
      <c r="G1299">
        <v>234.88</v>
      </c>
      <c r="H1299" s="2">
        <f>Table1[[#This Row],[Profit]]/Table1[[#This Row],[Sales]]*100</f>
        <v>11.983673469387755</v>
      </c>
      <c r="I1299" t="str">
        <f>IF(Table1[[#This Row],[Profit %]]&gt;20,"Excellent",IF(H1299&gt;10.1,"Good","Low"))</f>
        <v>Good</v>
      </c>
    </row>
    <row r="1300" spans="1:9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 s="2">
        <v>2751</v>
      </c>
      <c r="G1300">
        <v>675.95</v>
      </c>
      <c r="H1300" s="2">
        <f>Table1[[#This Row],[Profit]]/Table1[[#This Row],[Sales]]*100</f>
        <v>24.571065067248274</v>
      </c>
      <c r="I1300" t="str">
        <f>IF(Table1[[#This Row],[Profit %]]&gt;20,"Excellent",IF(H1300&gt;10.1,"Good","Low"))</f>
        <v>Excellent</v>
      </c>
    </row>
    <row r="1301" spans="1:9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 s="2">
        <v>4032</v>
      </c>
      <c r="G1301">
        <v>742.98</v>
      </c>
      <c r="H1301" s="2">
        <f>Table1[[#This Row],[Profit]]/Table1[[#This Row],[Sales]]*100</f>
        <v>18.427083333333332</v>
      </c>
      <c r="I1301" t="str">
        <f>IF(Table1[[#This Row],[Profit %]]&gt;20,"Excellent",IF(H1301&gt;10.1,"Good","Low"))</f>
        <v>Good</v>
      </c>
    </row>
    <row r="1302" spans="1:9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 s="2">
        <v>5978</v>
      </c>
      <c r="G1302">
        <v>1791.25</v>
      </c>
      <c r="H1302" s="2">
        <f>Table1[[#This Row],[Profit]]/Table1[[#This Row],[Sales]]*100</f>
        <v>29.96403479424557</v>
      </c>
      <c r="I1302" t="str">
        <f>IF(Table1[[#This Row],[Profit %]]&gt;20,"Excellent",IF(H1302&gt;10.1,"Good","Low"))</f>
        <v>Excellent</v>
      </c>
    </row>
    <row r="1303" spans="1:9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 s="2">
        <v>8050</v>
      </c>
      <c r="G1303">
        <v>2129.9699999999998</v>
      </c>
      <c r="H1303" s="2">
        <f>Table1[[#This Row],[Profit]]/Table1[[#This Row],[Sales]]*100</f>
        <v>26.459254658385088</v>
      </c>
      <c r="I1303" t="str">
        <f>IF(Table1[[#This Row],[Profit %]]&gt;20,"Excellent",IF(H1303&gt;10.1,"Good","Low"))</f>
        <v>Excellent</v>
      </c>
    </row>
    <row r="1304" spans="1:9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 s="2">
        <v>4648</v>
      </c>
      <c r="G1304">
        <v>1240.98</v>
      </c>
      <c r="H1304" s="2">
        <f>Table1[[#This Row],[Profit]]/Table1[[#This Row],[Sales]]*100</f>
        <v>26.699225473321857</v>
      </c>
      <c r="I1304" t="str">
        <f>IF(Table1[[#This Row],[Profit %]]&gt;20,"Excellent",IF(H1304&gt;10.1,"Good","Low"))</f>
        <v>Excellent</v>
      </c>
    </row>
    <row r="1305" spans="1:9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 s="2">
        <v>1119</v>
      </c>
      <c r="G1305">
        <v>108.68</v>
      </c>
      <c r="H1305" s="2">
        <f>Table1[[#This Row],[Profit]]/Table1[[#This Row],[Sales]]*100</f>
        <v>9.7122430741733705</v>
      </c>
      <c r="I1305" t="str">
        <f>IF(Table1[[#This Row],[Profit %]]&gt;20,"Excellent",IF(H1305&gt;10.1,"Good","Low"))</f>
        <v>Low</v>
      </c>
    </row>
    <row r="1306" spans="1:9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 s="2">
        <v>2178</v>
      </c>
      <c r="G1306">
        <v>382.67</v>
      </c>
      <c r="H1306" s="2">
        <f>Table1[[#This Row],[Profit]]/Table1[[#This Row],[Sales]]*100</f>
        <v>17.569788797061527</v>
      </c>
      <c r="I1306" t="str">
        <f>IF(Table1[[#This Row],[Profit %]]&gt;20,"Excellent",IF(H1306&gt;10.1,"Good","Low"))</f>
        <v>Good</v>
      </c>
    </row>
    <row r="1307" spans="1:9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 s="2">
        <v>918</v>
      </c>
      <c r="G1307">
        <v>180.31</v>
      </c>
      <c r="H1307" s="2">
        <f>Table1[[#This Row],[Profit]]/Table1[[#This Row],[Sales]]*100</f>
        <v>19.641612200435731</v>
      </c>
      <c r="I1307" t="str">
        <f>IF(Table1[[#This Row],[Profit %]]&gt;20,"Excellent",IF(H1307&gt;10.1,"Good","Low"))</f>
        <v>Good</v>
      </c>
    </row>
    <row r="1308" spans="1:9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 s="2">
        <v>6903</v>
      </c>
      <c r="G1308">
        <v>837.35</v>
      </c>
      <c r="H1308" s="2">
        <f>Table1[[#This Row],[Profit]]/Table1[[#This Row],[Sales]]*100</f>
        <v>12.130233231928148</v>
      </c>
      <c r="I1308" t="str">
        <f>IF(Table1[[#This Row],[Profit %]]&gt;20,"Excellent",IF(H1308&gt;10.1,"Good","Low"))</f>
        <v>Good</v>
      </c>
    </row>
    <row r="1309" spans="1:9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 s="2">
        <v>4855</v>
      </c>
      <c r="G1309">
        <v>534.23</v>
      </c>
      <c r="H1309" s="2">
        <f>Table1[[#This Row],[Profit]]/Table1[[#This Row],[Sales]]*100</f>
        <v>11.003707518022656</v>
      </c>
      <c r="I1309" t="str">
        <f>IF(Table1[[#This Row],[Profit %]]&gt;20,"Excellent",IF(H1309&gt;10.1,"Good","Low"))</f>
        <v>Good</v>
      </c>
    </row>
    <row r="1310" spans="1:9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 s="2">
        <v>2158</v>
      </c>
      <c r="G1310">
        <v>483.94</v>
      </c>
      <c r="H1310" s="2">
        <f>Table1[[#This Row],[Profit]]/Table1[[#This Row],[Sales]]*100</f>
        <v>22.425393883225208</v>
      </c>
      <c r="I1310" t="str">
        <f>IF(Table1[[#This Row],[Profit %]]&gt;20,"Excellent",IF(H1310&gt;10.1,"Good","Low"))</f>
        <v>Excellent</v>
      </c>
    </row>
    <row r="1311" spans="1:9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 s="2">
        <v>4550</v>
      </c>
      <c r="G1311">
        <v>1077.8</v>
      </c>
      <c r="H1311" s="2">
        <f>Table1[[#This Row],[Profit]]/Table1[[#This Row],[Sales]]*100</f>
        <v>23.687912087912085</v>
      </c>
      <c r="I1311" t="str">
        <f>IF(Table1[[#This Row],[Profit %]]&gt;20,"Excellent",IF(H1311&gt;10.1,"Good","Low"))</f>
        <v>Excellent</v>
      </c>
    </row>
    <row r="1312" spans="1:9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 s="2">
        <v>3592</v>
      </c>
      <c r="G1312">
        <v>249.54</v>
      </c>
      <c r="H1312" s="2">
        <f>Table1[[#This Row],[Profit]]/Table1[[#This Row],[Sales]]*100</f>
        <v>6.9471046770601328</v>
      </c>
      <c r="I1312" t="str">
        <f>IF(Table1[[#This Row],[Profit %]]&gt;20,"Excellent",IF(H1312&gt;10.1,"Good","Low"))</f>
        <v>Low</v>
      </c>
    </row>
    <row r="1313" spans="1:9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 s="2">
        <v>3488</v>
      </c>
      <c r="G1313">
        <v>943.25</v>
      </c>
      <c r="H1313" s="2">
        <f>Table1[[#This Row],[Profit]]/Table1[[#This Row],[Sales]]*100</f>
        <v>27.042717889908257</v>
      </c>
      <c r="I1313" t="str">
        <f>IF(Table1[[#This Row],[Profit %]]&gt;20,"Excellent",IF(H1313&gt;10.1,"Good","Low"))</f>
        <v>Excellent</v>
      </c>
    </row>
    <row r="1314" spans="1:9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 s="2">
        <v>1214</v>
      </c>
      <c r="G1314">
        <v>163.80000000000001</v>
      </c>
      <c r="H1314" s="2">
        <f>Table1[[#This Row],[Profit]]/Table1[[#This Row],[Sales]]*100</f>
        <v>13.492586490939045</v>
      </c>
      <c r="I1314" t="str">
        <f>IF(Table1[[#This Row],[Profit %]]&gt;20,"Excellent",IF(H1314&gt;10.1,"Good","Low"))</f>
        <v>Good</v>
      </c>
    </row>
    <row r="1315" spans="1:9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 s="2">
        <v>7200</v>
      </c>
      <c r="G1315">
        <v>1469.23</v>
      </c>
      <c r="H1315" s="2">
        <f>Table1[[#This Row],[Profit]]/Table1[[#This Row],[Sales]]*100</f>
        <v>20.405972222222221</v>
      </c>
      <c r="I1315" t="str">
        <f>IF(Table1[[#This Row],[Profit %]]&gt;20,"Excellent",IF(H1315&gt;10.1,"Good","Low"))</f>
        <v>Excellent</v>
      </c>
    </row>
    <row r="1316" spans="1:9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 s="2">
        <v>1808</v>
      </c>
      <c r="G1316">
        <v>339.31</v>
      </c>
      <c r="H1316" s="2">
        <f>Table1[[#This Row],[Profit]]/Table1[[#This Row],[Sales]]*100</f>
        <v>18.767146017699115</v>
      </c>
      <c r="I1316" t="str">
        <f>IF(Table1[[#This Row],[Profit %]]&gt;20,"Excellent",IF(H1316&gt;10.1,"Good","Low"))</f>
        <v>Good</v>
      </c>
    </row>
    <row r="1317" spans="1:9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 s="2">
        <v>7083</v>
      </c>
      <c r="G1317">
        <v>560.88</v>
      </c>
      <c r="H1317" s="2">
        <f>Table1[[#This Row],[Profit]]/Table1[[#This Row],[Sales]]*100</f>
        <v>7.9186785260482839</v>
      </c>
      <c r="I1317" t="str">
        <f>IF(Table1[[#This Row],[Profit %]]&gt;20,"Excellent",IF(H1317&gt;10.1,"Good","Low"))</f>
        <v>Low</v>
      </c>
    </row>
    <row r="1318" spans="1:9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 s="2">
        <v>1060</v>
      </c>
      <c r="G1318">
        <v>260.20999999999998</v>
      </c>
      <c r="H1318" s="2">
        <f>Table1[[#This Row],[Profit]]/Table1[[#This Row],[Sales]]*100</f>
        <v>24.548113207547168</v>
      </c>
      <c r="I1318" t="str">
        <f>IF(Table1[[#This Row],[Profit %]]&gt;20,"Excellent",IF(H1318&gt;10.1,"Good","Low"))</f>
        <v>Excellent</v>
      </c>
    </row>
    <row r="1319" spans="1:9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 s="2">
        <v>7182</v>
      </c>
      <c r="G1319">
        <v>461.61</v>
      </c>
      <c r="H1319" s="2">
        <f>Table1[[#This Row],[Profit]]/Table1[[#This Row],[Sales]]*100</f>
        <v>6.4273182957393482</v>
      </c>
      <c r="I1319" t="str">
        <f>IF(Table1[[#This Row],[Profit %]]&gt;20,"Excellent",IF(H1319&gt;10.1,"Good","Low"))</f>
        <v>Low</v>
      </c>
    </row>
    <row r="1320" spans="1:9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 s="2">
        <v>5532</v>
      </c>
      <c r="G1320">
        <v>552.74</v>
      </c>
      <c r="H1320" s="2">
        <f>Table1[[#This Row],[Profit]]/Table1[[#This Row],[Sales]]*100</f>
        <v>9.9916847433116427</v>
      </c>
      <c r="I1320" t="str">
        <f>IF(Table1[[#This Row],[Profit %]]&gt;20,"Excellent",IF(H1320&gt;10.1,"Good","Low"))</f>
        <v>Low</v>
      </c>
    </row>
    <row r="1321" spans="1:9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 s="2">
        <v>1800</v>
      </c>
      <c r="G1321">
        <v>326.02999999999997</v>
      </c>
      <c r="H1321" s="2">
        <f>Table1[[#This Row],[Profit]]/Table1[[#This Row],[Sales]]*100</f>
        <v>18.112777777777779</v>
      </c>
      <c r="I1321" t="str">
        <f>IF(Table1[[#This Row],[Profit %]]&gt;20,"Excellent",IF(H1321&gt;10.1,"Good","Low"))</f>
        <v>Good</v>
      </c>
    </row>
    <row r="1322" spans="1:9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 s="2">
        <v>351</v>
      </c>
      <c r="G1322">
        <v>32.61</v>
      </c>
      <c r="H1322" s="2">
        <f>Table1[[#This Row],[Profit]]/Table1[[#This Row],[Sales]]*100</f>
        <v>9.2905982905982896</v>
      </c>
      <c r="I1322" t="str">
        <f>IF(Table1[[#This Row],[Profit %]]&gt;20,"Excellent",IF(H1322&gt;10.1,"Good","Low"))</f>
        <v>Low</v>
      </c>
    </row>
    <row r="1323" spans="1:9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 s="2">
        <v>1200</v>
      </c>
      <c r="G1323">
        <v>191.43</v>
      </c>
      <c r="H1323" s="2">
        <f>Table1[[#This Row],[Profit]]/Table1[[#This Row],[Sales]]*100</f>
        <v>15.952500000000001</v>
      </c>
      <c r="I1323" t="str">
        <f>IF(Table1[[#This Row],[Profit %]]&gt;20,"Excellent",IF(H1323&gt;10.1,"Good","Low"))</f>
        <v>Good</v>
      </c>
    </row>
    <row r="1324" spans="1:9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 s="2">
        <v>1593</v>
      </c>
      <c r="G1324">
        <v>322.45999999999998</v>
      </c>
      <c r="H1324" s="2">
        <f>Table1[[#This Row],[Profit]]/Table1[[#This Row],[Sales]]*100</f>
        <v>20.242310106716886</v>
      </c>
      <c r="I1324" t="str">
        <f>IF(Table1[[#This Row],[Profit %]]&gt;20,"Excellent",IF(H1324&gt;10.1,"Good","Low"))</f>
        <v>Excellent</v>
      </c>
    </row>
    <row r="1325" spans="1:9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 s="2">
        <v>2580</v>
      </c>
      <c r="G1325">
        <v>448.02</v>
      </c>
      <c r="H1325" s="2">
        <f>Table1[[#This Row],[Profit]]/Table1[[#This Row],[Sales]]*100</f>
        <v>17.365116279069767</v>
      </c>
      <c r="I1325" t="str">
        <f>IF(Table1[[#This Row],[Profit %]]&gt;20,"Excellent",IF(H1325&gt;10.1,"Good","Low"))</f>
        <v>Good</v>
      </c>
    </row>
    <row r="1326" spans="1:9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 s="2">
        <v>6780</v>
      </c>
      <c r="G1326">
        <v>1794.97</v>
      </c>
      <c r="H1326" s="2">
        <f>Table1[[#This Row],[Profit]]/Table1[[#This Row],[Sales]]*100</f>
        <v>26.474483775811208</v>
      </c>
      <c r="I1326" t="str">
        <f>IF(Table1[[#This Row],[Profit %]]&gt;20,"Excellent",IF(H1326&gt;10.1,"Good","Low"))</f>
        <v>Excellent</v>
      </c>
    </row>
    <row r="1327" spans="1:9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 s="2">
        <v>1298</v>
      </c>
      <c r="G1327">
        <v>204.08</v>
      </c>
      <c r="H1327" s="2">
        <f>Table1[[#This Row],[Profit]]/Table1[[#This Row],[Sales]]*100</f>
        <v>15.722650231124808</v>
      </c>
      <c r="I1327" t="str">
        <f>IF(Table1[[#This Row],[Profit %]]&gt;20,"Excellent",IF(H1327&gt;10.1,"Good","Low"))</f>
        <v>Good</v>
      </c>
    </row>
    <row r="1328" spans="1:9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 s="2">
        <v>4585</v>
      </c>
      <c r="G1328">
        <v>383.97</v>
      </c>
      <c r="H1328" s="2">
        <f>Table1[[#This Row],[Profit]]/Table1[[#This Row],[Sales]]*100</f>
        <v>8.3744820065430758</v>
      </c>
      <c r="I1328" t="str">
        <f>IF(Table1[[#This Row],[Profit %]]&gt;20,"Excellent",IF(H1328&gt;10.1,"Good","Low"))</f>
        <v>Low</v>
      </c>
    </row>
    <row r="1329" spans="1:9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 s="2">
        <v>516</v>
      </c>
      <c r="G1329">
        <v>70.53</v>
      </c>
      <c r="H1329" s="2">
        <f>Table1[[#This Row],[Profit]]/Table1[[#This Row],[Sales]]*100</f>
        <v>13.668604651162791</v>
      </c>
      <c r="I1329" t="str">
        <f>IF(Table1[[#This Row],[Profit %]]&gt;20,"Excellent",IF(H1329&gt;10.1,"Good","Low"))</f>
        <v>Good</v>
      </c>
    </row>
    <row r="1330" spans="1:9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 s="2">
        <v>1780</v>
      </c>
      <c r="G1330">
        <v>420.28</v>
      </c>
      <c r="H1330" s="2">
        <f>Table1[[#This Row],[Profit]]/Table1[[#This Row],[Sales]]*100</f>
        <v>23.611235955056177</v>
      </c>
      <c r="I1330" t="str">
        <f>IF(Table1[[#This Row],[Profit %]]&gt;20,"Excellent",IF(H1330&gt;10.1,"Good","Low"))</f>
        <v>Excellent</v>
      </c>
    </row>
    <row r="1331" spans="1:9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 s="2">
        <v>365</v>
      </c>
      <c r="G1331">
        <v>94.05</v>
      </c>
      <c r="H1331" s="2">
        <f>Table1[[#This Row],[Profit]]/Table1[[#This Row],[Sales]]*100</f>
        <v>25.767123287671232</v>
      </c>
      <c r="I1331" t="str">
        <f>IF(Table1[[#This Row],[Profit %]]&gt;20,"Excellent",IF(H1331&gt;10.1,"Good","Low"))</f>
        <v>Excellent</v>
      </c>
    </row>
    <row r="1332" spans="1:9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 s="2">
        <v>3896</v>
      </c>
      <c r="G1332">
        <v>735.66</v>
      </c>
      <c r="H1332" s="2">
        <f>Table1[[#This Row],[Profit]]/Table1[[#This Row],[Sales]]*100</f>
        <v>18.882443531827516</v>
      </c>
      <c r="I1332" t="str">
        <f>IF(Table1[[#This Row],[Profit %]]&gt;20,"Excellent",IF(H1332&gt;10.1,"Good","Low"))</f>
        <v>Good</v>
      </c>
    </row>
    <row r="1333" spans="1:9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 s="2">
        <v>636</v>
      </c>
      <c r="G1333">
        <v>169.24</v>
      </c>
      <c r="H1333" s="2">
        <f>Table1[[#This Row],[Profit]]/Table1[[#This Row],[Sales]]*100</f>
        <v>26.610062893081764</v>
      </c>
      <c r="I1333" t="str">
        <f>IF(Table1[[#This Row],[Profit %]]&gt;20,"Excellent",IF(H1333&gt;10.1,"Good","Low"))</f>
        <v>Excellent</v>
      </c>
    </row>
    <row r="1334" spans="1:9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 s="2">
        <v>637</v>
      </c>
      <c r="G1334">
        <v>87.86</v>
      </c>
      <c r="H1334" s="2">
        <f>Table1[[#This Row],[Profit]]/Table1[[#This Row],[Sales]]*100</f>
        <v>13.792778649921509</v>
      </c>
      <c r="I1334" t="str">
        <f>IF(Table1[[#This Row],[Profit %]]&gt;20,"Excellent",IF(H1334&gt;10.1,"Good","Low"))</f>
        <v>Good</v>
      </c>
    </row>
    <row r="1335" spans="1:9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 s="2">
        <v>1302</v>
      </c>
      <c r="G1335">
        <v>180.82</v>
      </c>
      <c r="H1335" s="2">
        <f>Table1[[#This Row],[Profit]]/Table1[[#This Row],[Sales]]*100</f>
        <v>13.887864823348695</v>
      </c>
      <c r="I1335" t="str">
        <f>IF(Table1[[#This Row],[Profit %]]&gt;20,"Excellent",IF(H1335&gt;10.1,"Good","Low"))</f>
        <v>Good</v>
      </c>
    </row>
    <row r="1336" spans="1:9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 s="2">
        <v>719</v>
      </c>
      <c r="G1336">
        <v>40.42</v>
      </c>
      <c r="H1336" s="2">
        <f>Table1[[#This Row],[Profit]]/Table1[[#This Row],[Sales]]*100</f>
        <v>5.6216968011126562</v>
      </c>
      <c r="I1336" t="str">
        <f>IF(Table1[[#This Row],[Profit %]]&gt;20,"Excellent",IF(H1336&gt;10.1,"Good","Low"))</f>
        <v>Low</v>
      </c>
    </row>
    <row r="1337" spans="1:9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 s="2">
        <v>5106</v>
      </c>
      <c r="G1337">
        <v>1341.93</v>
      </c>
      <c r="H1337" s="2">
        <f>Table1[[#This Row],[Profit]]/Table1[[#This Row],[Sales]]*100</f>
        <v>26.281433607520565</v>
      </c>
      <c r="I1337" t="str">
        <f>IF(Table1[[#This Row],[Profit %]]&gt;20,"Excellent",IF(H1337&gt;10.1,"Good","Low"))</f>
        <v>Excellent</v>
      </c>
    </row>
    <row r="1338" spans="1:9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 s="2">
        <v>1215</v>
      </c>
      <c r="G1338">
        <v>129.80000000000001</v>
      </c>
      <c r="H1338" s="2">
        <f>Table1[[#This Row],[Profit]]/Table1[[#This Row],[Sales]]*100</f>
        <v>10.683127572016462</v>
      </c>
      <c r="I1338" t="str">
        <f>IF(Table1[[#This Row],[Profit %]]&gt;20,"Excellent",IF(H1338&gt;10.1,"Good","Low"))</f>
        <v>Good</v>
      </c>
    </row>
    <row r="1339" spans="1:9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 s="2">
        <v>1791</v>
      </c>
      <c r="G1339">
        <v>187.28</v>
      </c>
      <c r="H1339" s="2">
        <f>Table1[[#This Row],[Profit]]/Table1[[#This Row],[Sales]]*100</f>
        <v>10.456728084868788</v>
      </c>
      <c r="I1339" t="str">
        <f>IF(Table1[[#This Row],[Profit %]]&gt;20,"Excellent",IF(H1339&gt;10.1,"Good","Low"))</f>
        <v>Good</v>
      </c>
    </row>
    <row r="1340" spans="1:9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 s="2">
        <v>6255</v>
      </c>
      <c r="G1340">
        <v>452.46</v>
      </c>
      <c r="H1340" s="2">
        <f>Table1[[#This Row],[Profit]]/Table1[[#This Row],[Sales]]*100</f>
        <v>7.2335731414868096</v>
      </c>
      <c r="I1340" t="str">
        <f>IF(Table1[[#This Row],[Profit %]]&gt;20,"Excellent",IF(H1340&gt;10.1,"Good","Low"))</f>
        <v>Low</v>
      </c>
    </row>
    <row r="1341" spans="1:9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 s="2">
        <v>4165</v>
      </c>
      <c r="G1341">
        <v>1012.37</v>
      </c>
      <c r="H1341" s="2">
        <f>Table1[[#This Row],[Profit]]/Table1[[#This Row],[Sales]]*100</f>
        <v>24.306602641056426</v>
      </c>
      <c r="I1341" t="str">
        <f>IF(Table1[[#This Row],[Profit %]]&gt;20,"Excellent",IF(H1341&gt;10.1,"Good","Low"))</f>
        <v>Excellent</v>
      </c>
    </row>
    <row r="1342" spans="1:9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 s="2">
        <v>5990</v>
      </c>
      <c r="G1342">
        <v>1192.1099999999999</v>
      </c>
      <c r="H1342" s="2">
        <f>Table1[[#This Row],[Profit]]/Table1[[#This Row],[Sales]]*100</f>
        <v>19.901669449081801</v>
      </c>
      <c r="I1342" t="str">
        <f>IF(Table1[[#This Row],[Profit %]]&gt;20,"Excellent",IF(H1342&gt;10.1,"Good","Low"))</f>
        <v>Good</v>
      </c>
    </row>
    <row r="1343" spans="1:9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 s="2">
        <v>847</v>
      </c>
      <c r="G1343">
        <v>142.74</v>
      </c>
      <c r="H1343" s="2">
        <f>Table1[[#This Row],[Profit]]/Table1[[#This Row],[Sales]]*100</f>
        <v>16.852420306965762</v>
      </c>
      <c r="I1343" t="str">
        <f>IF(Table1[[#This Row],[Profit %]]&gt;20,"Excellent",IF(H1343&gt;10.1,"Good","Low"))</f>
        <v>Good</v>
      </c>
    </row>
    <row r="1344" spans="1:9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 s="2">
        <v>688</v>
      </c>
      <c r="G1344">
        <v>131.26</v>
      </c>
      <c r="H1344" s="2">
        <f>Table1[[#This Row],[Profit]]/Table1[[#This Row],[Sales]]*100</f>
        <v>19.078488372093023</v>
      </c>
      <c r="I1344" t="str">
        <f>IF(Table1[[#This Row],[Profit %]]&gt;20,"Excellent",IF(H1344&gt;10.1,"Good","Low"))</f>
        <v>Good</v>
      </c>
    </row>
    <row r="1345" spans="1:9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 s="2">
        <v>1188</v>
      </c>
      <c r="G1345">
        <v>286.38</v>
      </c>
      <c r="H1345" s="2">
        <f>Table1[[#This Row],[Profit]]/Table1[[#This Row],[Sales]]*100</f>
        <v>24.106060606060606</v>
      </c>
      <c r="I1345" t="str">
        <f>IF(Table1[[#This Row],[Profit %]]&gt;20,"Excellent",IF(H1345&gt;10.1,"Good","Low"))</f>
        <v>Excellent</v>
      </c>
    </row>
    <row r="1346" spans="1:9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 s="2">
        <v>3101</v>
      </c>
      <c r="G1346">
        <v>926.09</v>
      </c>
      <c r="H1346" s="2">
        <f>Table1[[#This Row],[Profit]]/Table1[[#This Row],[Sales]]*100</f>
        <v>29.864237342792649</v>
      </c>
      <c r="I1346" t="str">
        <f>IF(Table1[[#This Row],[Profit %]]&gt;20,"Excellent",IF(H1346&gt;10.1,"Good","Low"))</f>
        <v>Excellent</v>
      </c>
    </row>
    <row r="1347" spans="1:9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 s="2">
        <v>8703</v>
      </c>
      <c r="G1347">
        <v>1562.88</v>
      </c>
      <c r="H1347" s="2">
        <f>Table1[[#This Row],[Profit]]/Table1[[#This Row],[Sales]]*100</f>
        <v>17.957945536022063</v>
      </c>
      <c r="I1347" t="str">
        <f>IF(Table1[[#This Row],[Profit %]]&gt;20,"Excellent",IF(H1347&gt;10.1,"Good","Low"))</f>
        <v>Good</v>
      </c>
    </row>
    <row r="1348" spans="1:9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 s="2">
        <v>9324</v>
      </c>
      <c r="G1348">
        <v>2416.9299999999998</v>
      </c>
      <c r="H1348" s="2">
        <f>Table1[[#This Row],[Profit]]/Table1[[#This Row],[Sales]]*100</f>
        <v>25.921600171600168</v>
      </c>
      <c r="I1348" t="str">
        <f>IF(Table1[[#This Row],[Profit %]]&gt;20,"Excellent",IF(H1348&gt;10.1,"Good","Low"))</f>
        <v>Excellent</v>
      </c>
    </row>
    <row r="1349" spans="1:9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 s="2">
        <v>749</v>
      </c>
      <c r="G1349">
        <v>68.17</v>
      </c>
      <c r="H1349" s="2">
        <f>Table1[[#This Row],[Profit]]/Table1[[#This Row],[Sales]]*100</f>
        <v>9.101468624833112</v>
      </c>
      <c r="I1349" t="str">
        <f>IF(Table1[[#This Row],[Profit %]]&gt;20,"Excellent",IF(H1349&gt;10.1,"Good","Low"))</f>
        <v>Low</v>
      </c>
    </row>
    <row r="1350" spans="1:9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 s="2">
        <v>3224</v>
      </c>
      <c r="G1350">
        <v>871.53</v>
      </c>
      <c r="H1350" s="2">
        <f>Table1[[#This Row],[Profit]]/Table1[[#This Row],[Sales]]*100</f>
        <v>27.0325682382134</v>
      </c>
      <c r="I1350" t="str">
        <f>IF(Table1[[#This Row],[Profit %]]&gt;20,"Excellent",IF(H1350&gt;10.1,"Good","Low"))</f>
        <v>Excellent</v>
      </c>
    </row>
    <row r="1351" spans="1:9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 s="2">
        <v>459</v>
      </c>
      <c r="G1351">
        <v>40.96</v>
      </c>
      <c r="H1351" s="2">
        <f>Table1[[#This Row],[Profit]]/Table1[[#This Row],[Sales]]*100</f>
        <v>8.923747276688454</v>
      </c>
      <c r="I1351" t="str">
        <f>IF(Table1[[#This Row],[Profit %]]&gt;20,"Excellent",IF(H1351&gt;10.1,"Good","Low"))</f>
        <v>Low</v>
      </c>
    </row>
    <row r="1352" spans="1:9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 s="2">
        <v>5726</v>
      </c>
      <c r="G1352">
        <v>976.14</v>
      </c>
      <c r="H1352" s="2">
        <f>Table1[[#This Row],[Profit]]/Table1[[#This Row],[Sales]]*100</f>
        <v>17.047502619629761</v>
      </c>
      <c r="I1352" t="str">
        <f>IF(Table1[[#This Row],[Profit %]]&gt;20,"Excellent",IF(H1352&gt;10.1,"Good","Low"))</f>
        <v>Good</v>
      </c>
    </row>
    <row r="1353" spans="1:9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 s="2">
        <v>616</v>
      </c>
      <c r="G1353">
        <v>175.75</v>
      </c>
      <c r="H1353" s="2">
        <f>Table1[[#This Row],[Profit]]/Table1[[#This Row],[Sales]]*100</f>
        <v>28.530844155844154</v>
      </c>
      <c r="I1353" t="str">
        <f>IF(Table1[[#This Row],[Profit %]]&gt;20,"Excellent",IF(H1353&gt;10.1,"Good","Low"))</f>
        <v>Excellent</v>
      </c>
    </row>
    <row r="1354" spans="1:9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 s="2">
        <v>1584</v>
      </c>
      <c r="G1354">
        <v>406.25</v>
      </c>
      <c r="H1354" s="2">
        <f>Table1[[#This Row],[Profit]]/Table1[[#This Row],[Sales]]*100</f>
        <v>25.647095959595962</v>
      </c>
      <c r="I1354" t="str">
        <f>IF(Table1[[#This Row],[Profit %]]&gt;20,"Excellent",IF(H1354&gt;10.1,"Good","Low"))</f>
        <v>Excellent</v>
      </c>
    </row>
    <row r="1355" spans="1:9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 s="2">
        <v>3205</v>
      </c>
      <c r="G1355">
        <v>368.41</v>
      </c>
      <c r="H1355" s="2">
        <f>Table1[[#This Row],[Profit]]/Table1[[#This Row],[Sales]]*100</f>
        <v>11.494851794071764</v>
      </c>
      <c r="I1355" t="str">
        <f>IF(Table1[[#This Row],[Profit %]]&gt;20,"Excellent",IF(H1355&gt;10.1,"Good","Low"))</f>
        <v>Good</v>
      </c>
    </row>
    <row r="1356" spans="1:9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 s="2">
        <v>958</v>
      </c>
      <c r="G1356">
        <v>186.76</v>
      </c>
      <c r="H1356" s="2">
        <f>Table1[[#This Row],[Profit]]/Table1[[#This Row],[Sales]]*100</f>
        <v>19.494780793319414</v>
      </c>
      <c r="I1356" t="str">
        <f>IF(Table1[[#This Row],[Profit %]]&gt;20,"Excellent",IF(H1356&gt;10.1,"Good","Low"))</f>
        <v>Good</v>
      </c>
    </row>
    <row r="1357" spans="1:9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 s="2">
        <v>5139</v>
      </c>
      <c r="G1357">
        <v>1315.93</v>
      </c>
      <c r="H1357" s="2">
        <f>Table1[[#This Row],[Profit]]/Table1[[#This Row],[Sales]]*100</f>
        <v>25.606732827398325</v>
      </c>
      <c r="I1357" t="str">
        <f>IF(Table1[[#This Row],[Profit %]]&gt;20,"Excellent",IF(H1357&gt;10.1,"Good","Low"))</f>
        <v>Excellent</v>
      </c>
    </row>
    <row r="1358" spans="1:9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 s="2">
        <v>3795</v>
      </c>
      <c r="G1358">
        <v>239.15</v>
      </c>
      <c r="H1358" s="2">
        <f>Table1[[#This Row],[Profit]]/Table1[[#This Row],[Sales]]*100</f>
        <v>6.3017127799736494</v>
      </c>
      <c r="I1358" t="str">
        <f>IF(Table1[[#This Row],[Profit %]]&gt;20,"Excellent",IF(H1358&gt;10.1,"Good","Low"))</f>
        <v>Low</v>
      </c>
    </row>
    <row r="1359" spans="1:9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 s="2">
        <v>810</v>
      </c>
      <c r="G1359">
        <v>229.33</v>
      </c>
      <c r="H1359" s="2">
        <f>Table1[[#This Row],[Profit]]/Table1[[#This Row],[Sales]]*100</f>
        <v>28.312345679012346</v>
      </c>
      <c r="I1359" t="str">
        <f>IF(Table1[[#This Row],[Profit %]]&gt;20,"Excellent",IF(H1359&gt;10.1,"Good","Low"))</f>
        <v>Excellent</v>
      </c>
    </row>
    <row r="1360" spans="1:9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 s="2">
        <v>5106</v>
      </c>
      <c r="G1360">
        <v>1500.2</v>
      </c>
      <c r="H1360" s="2">
        <f>Table1[[#This Row],[Profit]]/Table1[[#This Row],[Sales]]*100</f>
        <v>29.381120250685466</v>
      </c>
      <c r="I1360" t="str">
        <f>IF(Table1[[#This Row],[Profit %]]&gt;20,"Excellent",IF(H1360&gt;10.1,"Good","Low"))</f>
        <v>Excellent</v>
      </c>
    </row>
    <row r="1361" spans="1:9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 s="2">
        <v>798</v>
      </c>
      <c r="G1361">
        <v>79.25</v>
      </c>
      <c r="H1361" s="2">
        <f>Table1[[#This Row],[Profit]]/Table1[[#This Row],[Sales]]*100</f>
        <v>9.9310776942355883</v>
      </c>
      <c r="I1361" t="str">
        <f>IF(Table1[[#This Row],[Profit %]]&gt;20,"Excellent",IF(H1361&gt;10.1,"Good","Low"))</f>
        <v>Low</v>
      </c>
    </row>
    <row r="1362" spans="1:9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 s="2">
        <v>3165</v>
      </c>
      <c r="G1362">
        <v>895.33</v>
      </c>
      <c r="H1362" s="2">
        <f>Table1[[#This Row],[Profit]]/Table1[[#This Row],[Sales]]*100</f>
        <v>28.288467614533968</v>
      </c>
      <c r="I1362" t="str">
        <f>IF(Table1[[#This Row],[Profit %]]&gt;20,"Excellent",IF(H1362&gt;10.1,"Good","Low"))</f>
        <v>Excellent</v>
      </c>
    </row>
    <row r="1363" spans="1:9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 s="2">
        <v>5935</v>
      </c>
      <c r="G1363">
        <v>875.84</v>
      </c>
      <c r="H1363" s="2">
        <f>Table1[[#This Row],[Profit]]/Table1[[#This Row],[Sales]]*100</f>
        <v>14.757203032855939</v>
      </c>
      <c r="I1363" t="str">
        <f>IF(Table1[[#This Row],[Profit %]]&gt;20,"Excellent",IF(H1363&gt;10.1,"Good","Low"))</f>
        <v>Good</v>
      </c>
    </row>
    <row r="1364" spans="1:9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 s="2">
        <v>3352</v>
      </c>
      <c r="G1364">
        <v>663.15</v>
      </c>
      <c r="H1364" s="2">
        <f>Table1[[#This Row],[Profit]]/Table1[[#This Row],[Sales]]*100</f>
        <v>19.783711217183768</v>
      </c>
      <c r="I1364" t="str">
        <f>IF(Table1[[#This Row],[Profit %]]&gt;20,"Excellent",IF(H1364&gt;10.1,"Good","Low"))</f>
        <v>Good</v>
      </c>
    </row>
    <row r="1365" spans="1:9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 s="2">
        <v>8343</v>
      </c>
      <c r="G1365">
        <v>821</v>
      </c>
      <c r="H1365" s="2">
        <f>Table1[[#This Row],[Profit]]/Table1[[#This Row],[Sales]]*100</f>
        <v>9.8405849214910699</v>
      </c>
      <c r="I1365" t="str">
        <f>IF(Table1[[#This Row],[Profit %]]&gt;20,"Excellent",IF(H1365&gt;10.1,"Good","Low"))</f>
        <v>Low</v>
      </c>
    </row>
    <row r="1366" spans="1:9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 s="2">
        <v>2604</v>
      </c>
      <c r="G1366">
        <v>411.38</v>
      </c>
      <c r="H1366" s="2">
        <f>Table1[[#This Row],[Profit]]/Table1[[#This Row],[Sales]]*100</f>
        <v>15.79800307219662</v>
      </c>
      <c r="I1366" t="str">
        <f>IF(Table1[[#This Row],[Profit %]]&gt;20,"Excellent",IF(H1366&gt;10.1,"Good","Low"))</f>
        <v>Good</v>
      </c>
    </row>
    <row r="1367" spans="1:9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 s="2">
        <v>526</v>
      </c>
      <c r="G1367">
        <v>108.88</v>
      </c>
      <c r="H1367" s="2">
        <f>Table1[[#This Row],[Profit]]/Table1[[#This Row],[Sales]]*100</f>
        <v>20.699619771863116</v>
      </c>
      <c r="I1367" t="str">
        <f>IF(Table1[[#This Row],[Profit %]]&gt;20,"Excellent",IF(H1367&gt;10.1,"Good","Low"))</f>
        <v>Excellent</v>
      </c>
    </row>
    <row r="1368" spans="1:9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 s="2">
        <v>5220</v>
      </c>
      <c r="G1368">
        <v>1324.01</v>
      </c>
      <c r="H1368" s="2">
        <f>Table1[[#This Row],[Profit]]/Table1[[#This Row],[Sales]]*100</f>
        <v>25.364176245210729</v>
      </c>
      <c r="I1368" t="str">
        <f>IF(Table1[[#This Row],[Profit %]]&gt;20,"Excellent",IF(H1368&gt;10.1,"Good","Low"))</f>
        <v>Excellent</v>
      </c>
    </row>
    <row r="1369" spans="1:9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 s="2">
        <v>1737</v>
      </c>
      <c r="G1369">
        <v>152.97999999999999</v>
      </c>
      <c r="H1369" s="2">
        <f>Table1[[#This Row],[Profit]]/Table1[[#This Row],[Sales]]*100</f>
        <v>8.8071387449625789</v>
      </c>
      <c r="I1369" t="str">
        <f>IF(Table1[[#This Row],[Profit %]]&gt;20,"Excellent",IF(H1369&gt;10.1,"Good","Low"))</f>
        <v>Low</v>
      </c>
    </row>
    <row r="1370" spans="1:9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 s="2">
        <v>3186</v>
      </c>
      <c r="G1370">
        <v>841.04</v>
      </c>
      <c r="H1370" s="2">
        <f>Table1[[#This Row],[Profit]]/Table1[[#This Row],[Sales]]*100</f>
        <v>26.397991211550533</v>
      </c>
      <c r="I1370" t="str">
        <f>IF(Table1[[#This Row],[Profit %]]&gt;20,"Excellent",IF(H1370&gt;10.1,"Good","Low"))</f>
        <v>Excellent</v>
      </c>
    </row>
    <row r="1371" spans="1:9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 s="2">
        <v>7014</v>
      </c>
      <c r="G1371">
        <v>1202.25</v>
      </c>
      <c r="H1371" s="2">
        <f>Table1[[#This Row],[Profit]]/Table1[[#This Row],[Sales]]*100</f>
        <v>17.140718562874252</v>
      </c>
      <c r="I1371" t="str">
        <f>IF(Table1[[#This Row],[Profit %]]&gt;20,"Excellent",IF(H1371&gt;10.1,"Good","Low"))</f>
        <v>Good</v>
      </c>
    </row>
    <row r="1372" spans="1:9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 s="2">
        <v>3411</v>
      </c>
      <c r="G1372">
        <v>444.87</v>
      </c>
      <c r="H1372" s="2">
        <f>Table1[[#This Row],[Profit]]/Table1[[#This Row],[Sales]]*100</f>
        <v>13.042216358839051</v>
      </c>
      <c r="I1372" t="str">
        <f>IF(Table1[[#This Row],[Profit %]]&gt;20,"Excellent",IF(H1372&gt;10.1,"Good","Low"))</f>
        <v>Good</v>
      </c>
    </row>
    <row r="1373" spans="1:9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 s="2">
        <v>513</v>
      </c>
      <c r="G1373">
        <v>87.58</v>
      </c>
      <c r="H1373" s="2">
        <f>Table1[[#This Row],[Profit]]/Table1[[#This Row],[Sales]]*100</f>
        <v>17.072124756335285</v>
      </c>
      <c r="I1373" t="str">
        <f>IF(Table1[[#This Row],[Profit %]]&gt;20,"Excellent",IF(H1373&gt;10.1,"Good","Low"))</f>
        <v>Good</v>
      </c>
    </row>
    <row r="1374" spans="1:9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 s="2">
        <v>1104</v>
      </c>
      <c r="G1374">
        <v>277.85000000000002</v>
      </c>
      <c r="H1374" s="2">
        <f>Table1[[#This Row],[Profit]]/Table1[[#This Row],[Sales]]*100</f>
        <v>25.167572463768117</v>
      </c>
      <c r="I1374" t="str">
        <f>IF(Table1[[#This Row],[Profit %]]&gt;20,"Excellent",IF(H1374&gt;10.1,"Good","Low"))</f>
        <v>Excellent</v>
      </c>
    </row>
    <row r="1375" spans="1:9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 s="2">
        <v>2718</v>
      </c>
      <c r="G1375">
        <v>271.51</v>
      </c>
      <c r="H1375" s="2">
        <f>Table1[[#This Row],[Profit]]/Table1[[#This Row],[Sales]]*100</f>
        <v>9.9893303899926416</v>
      </c>
      <c r="I1375" t="str">
        <f>IF(Table1[[#This Row],[Profit %]]&gt;20,"Excellent",IF(H1375&gt;10.1,"Good","Low"))</f>
        <v>Low</v>
      </c>
    </row>
    <row r="1376" spans="1:9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 s="2">
        <v>1662</v>
      </c>
      <c r="G1376">
        <v>416.3</v>
      </c>
      <c r="H1376" s="2">
        <f>Table1[[#This Row],[Profit]]/Table1[[#This Row],[Sales]]*100</f>
        <v>25.048134777376657</v>
      </c>
      <c r="I1376" t="str">
        <f>IF(Table1[[#This Row],[Profit %]]&gt;20,"Excellent",IF(H1376&gt;10.1,"Good","Low"))</f>
        <v>Excellent</v>
      </c>
    </row>
    <row r="1377" spans="1:9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 s="2">
        <v>1700</v>
      </c>
      <c r="G1377">
        <v>360.59</v>
      </c>
      <c r="H1377" s="2">
        <f>Table1[[#This Row],[Profit]]/Table1[[#This Row],[Sales]]*100</f>
        <v>21.211176470588235</v>
      </c>
      <c r="I1377" t="str">
        <f>IF(Table1[[#This Row],[Profit %]]&gt;20,"Excellent",IF(H1377&gt;10.1,"Good","Low"))</f>
        <v>Excellent</v>
      </c>
    </row>
    <row r="1378" spans="1:9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 s="2">
        <v>2932</v>
      </c>
      <c r="G1378">
        <v>597.65</v>
      </c>
      <c r="H1378" s="2">
        <f>Table1[[#This Row],[Profit]]/Table1[[#This Row],[Sales]]*100</f>
        <v>20.383697135061389</v>
      </c>
      <c r="I1378" t="str">
        <f>IF(Table1[[#This Row],[Profit %]]&gt;20,"Excellent",IF(H1378&gt;10.1,"Good","Low"))</f>
        <v>Excellent</v>
      </c>
    </row>
    <row r="1379" spans="1:9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 s="2">
        <v>3604</v>
      </c>
      <c r="G1379">
        <v>971.14</v>
      </c>
      <c r="H1379" s="2">
        <f>Table1[[#This Row],[Profit]]/Table1[[#This Row],[Sales]]*100</f>
        <v>26.946170921198672</v>
      </c>
      <c r="I1379" t="str">
        <f>IF(Table1[[#This Row],[Profit %]]&gt;20,"Excellent",IF(H1379&gt;10.1,"Good","Low"))</f>
        <v>Excellent</v>
      </c>
    </row>
    <row r="1380" spans="1:9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 s="2">
        <v>4596</v>
      </c>
      <c r="G1380">
        <v>553.58000000000004</v>
      </c>
      <c r="H1380" s="2">
        <f>Table1[[#This Row],[Profit]]/Table1[[#This Row],[Sales]]*100</f>
        <v>12.044821583986076</v>
      </c>
      <c r="I1380" t="str">
        <f>IF(Table1[[#This Row],[Profit %]]&gt;20,"Excellent",IF(H1380&gt;10.1,"Good","Low"))</f>
        <v>Good</v>
      </c>
    </row>
    <row r="1381" spans="1:9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 s="2">
        <v>930</v>
      </c>
      <c r="G1381">
        <v>68.239999999999995</v>
      </c>
      <c r="H1381" s="2">
        <f>Table1[[#This Row],[Profit]]/Table1[[#This Row],[Sales]]*100</f>
        <v>7.3376344086021508</v>
      </c>
      <c r="I1381" t="str">
        <f>IF(Table1[[#This Row],[Profit %]]&gt;20,"Excellent",IF(H1381&gt;10.1,"Good","Low"))</f>
        <v>Low</v>
      </c>
    </row>
    <row r="1382" spans="1:9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 s="2">
        <v>2790</v>
      </c>
      <c r="G1382">
        <v>470.93</v>
      </c>
      <c r="H1382" s="2">
        <f>Table1[[#This Row],[Profit]]/Table1[[#This Row],[Sales]]*100</f>
        <v>16.879211469534049</v>
      </c>
      <c r="I1382" t="str">
        <f>IF(Table1[[#This Row],[Profit %]]&gt;20,"Excellent",IF(H1382&gt;10.1,"Good","Low"))</f>
        <v>Good</v>
      </c>
    </row>
    <row r="1383" spans="1:9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 s="2">
        <v>4596</v>
      </c>
      <c r="G1383">
        <v>1162.75</v>
      </c>
      <c r="H1383" s="2">
        <f>Table1[[#This Row],[Profit]]/Table1[[#This Row],[Sales]]*100</f>
        <v>25.29917319408181</v>
      </c>
      <c r="I1383" t="str">
        <f>IF(Table1[[#This Row],[Profit %]]&gt;20,"Excellent",IF(H1383&gt;10.1,"Good","Low"))</f>
        <v>Excellent</v>
      </c>
    </row>
    <row r="1384" spans="1:9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 s="2">
        <v>962</v>
      </c>
      <c r="G1384">
        <v>260.27999999999997</v>
      </c>
      <c r="H1384" s="2">
        <f>Table1[[#This Row],[Profit]]/Table1[[#This Row],[Sales]]*100</f>
        <v>27.056133056133053</v>
      </c>
      <c r="I1384" t="str">
        <f>IF(Table1[[#This Row],[Profit %]]&gt;20,"Excellent",IF(H1384&gt;10.1,"Good","Low"))</f>
        <v>Excellent</v>
      </c>
    </row>
    <row r="1385" spans="1:9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 s="2">
        <v>92</v>
      </c>
      <c r="G1385">
        <v>14.88</v>
      </c>
      <c r="H1385" s="2">
        <f>Table1[[#This Row],[Profit]]/Table1[[#This Row],[Sales]]*100</f>
        <v>16.173913043478262</v>
      </c>
      <c r="I1385" t="str">
        <f>IF(Table1[[#This Row],[Profit %]]&gt;20,"Excellent",IF(H1385&gt;10.1,"Good","Low"))</f>
        <v>Good</v>
      </c>
    </row>
    <row r="1386" spans="1:9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 s="2">
        <v>1130</v>
      </c>
      <c r="G1386">
        <v>254.99</v>
      </c>
      <c r="H1386" s="2">
        <f>Table1[[#This Row],[Profit]]/Table1[[#This Row],[Sales]]*100</f>
        <v>22.565486725663717</v>
      </c>
      <c r="I1386" t="str">
        <f>IF(Table1[[#This Row],[Profit %]]&gt;20,"Excellent",IF(H1386&gt;10.1,"Good","Low"))</f>
        <v>Excellent</v>
      </c>
    </row>
    <row r="1387" spans="1:9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 s="2">
        <v>6024</v>
      </c>
      <c r="G1387">
        <v>1706.41</v>
      </c>
      <c r="H1387" s="2">
        <f>Table1[[#This Row],[Profit]]/Table1[[#This Row],[Sales]]*100</f>
        <v>28.326859229747676</v>
      </c>
      <c r="I1387" t="str">
        <f>IF(Table1[[#This Row],[Profit %]]&gt;20,"Excellent",IF(H1387&gt;10.1,"Good","Low"))</f>
        <v>Excellent</v>
      </c>
    </row>
    <row r="1388" spans="1:9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 s="2">
        <v>879</v>
      </c>
      <c r="G1388">
        <v>135</v>
      </c>
      <c r="H1388" s="2">
        <f>Table1[[#This Row],[Profit]]/Table1[[#This Row],[Sales]]*100</f>
        <v>15.358361774744028</v>
      </c>
      <c r="I1388" t="str">
        <f>IF(Table1[[#This Row],[Profit %]]&gt;20,"Excellent",IF(H1388&gt;10.1,"Good","Low"))</f>
        <v>Good</v>
      </c>
    </row>
    <row r="1389" spans="1:9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 s="2">
        <v>2384</v>
      </c>
      <c r="G1389">
        <v>444.98</v>
      </c>
      <c r="H1389" s="2">
        <f>Table1[[#This Row],[Profit]]/Table1[[#This Row],[Sales]]*100</f>
        <v>18.665268456375838</v>
      </c>
      <c r="I1389" t="str">
        <f>IF(Table1[[#This Row],[Profit %]]&gt;20,"Excellent",IF(H1389&gt;10.1,"Good","Low"))</f>
        <v>Good</v>
      </c>
    </row>
    <row r="1390" spans="1:9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 s="2">
        <v>4644</v>
      </c>
      <c r="G1390">
        <v>277.26</v>
      </c>
      <c r="H1390" s="2">
        <f>Table1[[#This Row],[Profit]]/Table1[[#This Row],[Sales]]*100</f>
        <v>5.9702842377260978</v>
      </c>
      <c r="I1390" t="str">
        <f>IF(Table1[[#This Row],[Profit %]]&gt;20,"Excellent",IF(H1390&gt;10.1,"Good","Low"))</f>
        <v>Low</v>
      </c>
    </row>
    <row r="1391" spans="1:9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 s="2">
        <v>607</v>
      </c>
      <c r="G1391">
        <v>79.78</v>
      </c>
      <c r="H1391" s="2">
        <f>Table1[[#This Row],[Profit]]/Table1[[#This Row],[Sales]]*100</f>
        <v>13.14332784184514</v>
      </c>
      <c r="I1391" t="str">
        <f>IF(Table1[[#This Row],[Profit %]]&gt;20,"Excellent",IF(H1391&gt;10.1,"Good","Low"))</f>
        <v>Good</v>
      </c>
    </row>
    <row r="1392" spans="1:9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 s="2">
        <v>770</v>
      </c>
      <c r="G1392">
        <v>129.11000000000001</v>
      </c>
      <c r="H1392" s="2">
        <f>Table1[[#This Row],[Profit]]/Table1[[#This Row],[Sales]]*100</f>
        <v>16.767532467532469</v>
      </c>
      <c r="I1392" t="str">
        <f>IF(Table1[[#This Row],[Profit %]]&gt;20,"Excellent",IF(H1392&gt;10.1,"Good","Low"))</f>
        <v>Good</v>
      </c>
    </row>
    <row r="1393" spans="1:9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 s="2">
        <v>711</v>
      </c>
      <c r="G1393">
        <v>158.88999999999999</v>
      </c>
      <c r="H1393" s="2">
        <f>Table1[[#This Row],[Profit]]/Table1[[#This Row],[Sales]]*100</f>
        <v>22.347398030942333</v>
      </c>
      <c r="I1393" t="str">
        <f>IF(Table1[[#This Row],[Profit %]]&gt;20,"Excellent",IF(H1393&gt;10.1,"Good","Low"))</f>
        <v>Excellent</v>
      </c>
    </row>
    <row r="1394" spans="1:9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 s="2">
        <v>1088</v>
      </c>
      <c r="G1394">
        <v>235.83</v>
      </c>
      <c r="H1394" s="2">
        <f>Table1[[#This Row],[Profit]]/Table1[[#This Row],[Sales]]*100</f>
        <v>21.675551470588236</v>
      </c>
      <c r="I1394" t="str">
        <f>IF(Table1[[#This Row],[Profit %]]&gt;20,"Excellent",IF(H1394&gt;10.1,"Good","Low"))</f>
        <v>Excellent</v>
      </c>
    </row>
    <row r="1395" spans="1:9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 s="2">
        <v>4704</v>
      </c>
      <c r="G1395">
        <v>513.14</v>
      </c>
      <c r="H1395" s="2">
        <f>Table1[[#This Row],[Profit]]/Table1[[#This Row],[Sales]]*100</f>
        <v>10.908588435374149</v>
      </c>
      <c r="I1395" t="str">
        <f>IF(Table1[[#This Row],[Profit %]]&gt;20,"Excellent",IF(H1395&gt;10.1,"Good","Low"))</f>
        <v>Good</v>
      </c>
    </row>
    <row r="1396" spans="1:9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 s="2">
        <v>660</v>
      </c>
      <c r="G1396">
        <v>90.86</v>
      </c>
      <c r="H1396" s="2">
        <f>Table1[[#This Row],[Profit]]/Table1[[#This Row],[Sales]]*100</f>
        <v>13.766666666666666</v>
      </c>
      <c r="I1396" t="str">
        <f>IF(Table1[[#This Row],[Profit %]]&gt;20,"Excellent",IF(H1396&gt;10.1,"Good","Low"))</f>
        <v>Good</v>
      </c>
    </row>
    <row r="1397" spans="1:9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 s="2">
        <v>4680</v>
      </c>
      <c r="G1397">
        <v>516.26</v>
      </c>
      <c r="H1397" s="2">
        <f>Table1[[#This Row],[Profit]]/Table1[[#This Row],[Sales]]*100</f>
        <v>11.031196581196582</v>
      </c>
      <c r="I1397" t="str">
        <f>IF(Table1[[#This Row],[Profit %]]&gt;20,"Excellent",IF(H1397&gt;10.1,"Good","Low"))</f>
        <v>Good</v>
      </c>
    </row>
    <row r="1398" spans="1:9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 s="2">
        <v>6797</v>
      </c>
      <c r="G1398">
        <v>665.29</v>
      </c>
      <c r="H1398" s="2">
        <f>Table1[[#This Row],[Profit]]/Table1[[#This Row],[Sales]]*100</f>
        <v>9.7879947035456816</v>
      </c>
      <c r="I1398" t="str">
        <f>IF(Table1[[#This Row],[Profit %]]&gt;20,"Excellent",IF(H1398&gt;10.1,"Good","Low"))</f>
        <v>Low</v>
      </c>
    </row>
    <row r="1399" spans="1:9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 s="2">
        <v>558</v>
      </c>
      <c r="G1399">
        <v>38.86</v>
      </c>
      <c r="H1399" s="2">
        <f>Table1[[#This Row],[Profit]]/Table1[[#This Row],[Sales]]*100</f>
        <v>6.9641577060931894</v>
      </c>
      <c r="I1399" t="str">
        <f>IF(Table1[[#This Row],[Profit %]]&gt;20,"Excellent",IF(H1399&gt;10.1,"Good","Low"))</f>
        <v>Low</v>
      </c>
    </row>
    <row r="1400" spans="1:9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 s="2">
        <v>4496</v>
      </c>
      <c r="G1400">
        <v>1115.75</v>
      </c>
      <c r="H1400" s="2">
        <f>Table1[[#This Row],[Profit]]/Table1[[#This Row],[Sales]]*100</f>
        <v>24.81650355871886</v>
      </c>
      <c r="I1400" t="str">
        <f>IF(Table1[[#This Row],[Profit %]]&gt;20,"Excellent",IF(H1400&gt;10.1,"Good","Low"))</f>
        <v>Excellent</v>
      </c>
    </row>
    <row r="1401" spans="1:9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 s="2">
        <v>713</v>
      </c>
      <c r="G1401">
        <v>62.78</v>
      </c>
      <c r="H1401" s="2">
        <f>Table1[[#This Row],[Profit]]/Table1[[#This Row],[Sales]]*100</f>
        <v>8.8050490883590466</v>
      </c>
      <c r="I1401" t="str">
        <f>IF(Table1[[#This Row],[Profit %]]&gt;20,"Excellent",IF(H1401&gt;10.1,"Good","Low"))</f>
        <v>Low</v>
      </c>
    </row>
    <row r="1402" spans="1:9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 s="2">
        <v>1310</v>
      </c>
      <c r="G1402">
        <v>212.43</v>
      </c>
      <c r="H1402" s="2">
        <f>Table1[[#This Row],[Profit]]/Table1[[#This Row],[Sales]]*100</f>
        <v>16.216030534351145</v>
      </c>
      <c r="I1402" t="str">
        <f>IF(Table1[[#This Row],[Profit %]]&gt;20,"Excellent",IF(H1402&gt;10.1,"Good","Low"))</f>
        <v>Good</v>
      </c>
    </row>
    <row r="1403" spans="1:9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 s="2">
        <v>2853</v>
      </c>
      <c r="G1403">
        <v>564.04999999999995</v>
      </c>
      <c r="H1403" s="2">
        <f>Table1[[#This Row],[Profit]]/Table1[[#This Row],[Sales]]*100</f>
        <v>19.770417104801961</v>
      </c>
      <c r="I1403" t="str">
        <f>IF(Table1[[#This Row],[Profit %]]&gt;20,"Excellent",IF(H1403&gt;10.1,"Good","Low"))</f>
        <v>Good</v>
      </c>
    </row>
    <row r="1404" spans="1:9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 s="2">
        <v>2324</v>
      </c>
      <c r="G1404">
        <v>516.05999999999995</v>
      </c>
      <c r="H1404" s="2">
        <f>Table1[[#This Row],[Profit]]/Table1[[#This Row],[Sales]]*100</f>
        <v>22.205679862306365</v>
      </c>
      <c r="I1404" t="str">
        <f>IF(Table1[[#This Row],[Profit %]]&gt;20,"Excellent",IF(H1404&gt;10.1,"Good","Low"))</f>
        <v>Excellent</v>
      </c>
    </row>
    <row r="1405" spans="1:9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 s="2">
        <v>330</v>
      </c>
      <c r="G1405">
        <v>53.42</v>
      </c>
      <c r="H1405" s="2">
        <f>Table1[[#This Row],[Profit]]/Table1[[#This Row],[Sales]]*100</f>
        <v>16.187878787878788</v>
      </c>
      <c r="I1405" t="str">
        <f>IF(Table1[[#This Row],[Profit %]]&gt;20,"Excellent",IF(H1405&gt;10.1,"Good","Low"))</f>
        <v>Good</v>
      </c>
    </row>
    <row r="1406" spans="1:9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 s="2">
        <v>588</v>
      </c>
      <c r="G1406">
        <v>100.52</v>
      </c>
      <c r="H1406" s="2">
        <f>Table1[[#This Row],[Profit]]/Table1[[#This Row],[Sales]]*100</f>
        <v>17.095238095238095</v>
      </c>
      <c r="I1406" t="str">
        <f>IF(Table1[[#This Row],[Profit %]]&gt;20,"Excellent",IF(H1406&gt;10.1,"Good","Low"))</f>
        <v>Good</v>
      </c>
    </row>
    <row r="1407" spans="1:9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 s="2">
        <v>63</v>
      </c>
      <c r="G1407">
        <v>11.91</v>
      </c>
      <c r="H1407" s="2">
        <f>Table1[[#This Row],[Profit]]/Table1[[#This Row],[Sales]]*100</f>
        <v>18.904761904761905</v>
      </c>
      <c r="I1407" t="str">
        <f>IF(Table1[[#This Row],[Profit %]]&gt;20,"Excellent",IF(H1407&gt;10.1,"Good","Low"))</f>
        <v>Good</v>
      </c>
    </row>
    <row r="1408" spans="1:9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 s="2">
        <v>847</v>
      </c>
      <c r="G1408">
        <v>147.71</v>
      </c>
      <c r="H1408" s="2">
        <f>Table1[[#This Row],[Profit]]/Table1[[#This Row],[Sales]]*100</f>
        <v>17.439197166469896</v>
      </c>
      <c r="I1408" t="str">
        <f>IF(Table1[[#This Row],[Profit %]]&gt;20,"Excellent",IF(H1408&gt;10.1,"Good","Low"))</f>
        <v>Good</v>
      </c>
    </row>
    <row r="1409" spans="1:9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 s="2">
        <v>1037</v>
      </c>
      <c r="G1409">
        <v>56.89</v>
      </c>
      <c r="H1409" s="2">
        <f>Table1[[#This Row],[Profit]]/Table1[[#This Row],[Sales]]*100</f>
        <v>5.4860173577627771</v>
      </c>
      <c r="I1409" t="str">
        <f>IF(Table1[[#This Row],[Profit %]]&gt;20,"Excellent",IF(H1409&gt;10.1,"Good","Low"))</f>
        <v>Low</v>
      </c>
    </row>
    <row r="1410" spans="1:9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 s="2">
        <v>373</v>
      </c>
      <c r="G1410">
        <v>72.17</v>
      </c>
      <c r="H1410" s="2">
        <f>Table1[[#This Row],[Profit]]/Table1[[#This Row],[Sales]]*100</f>
        <v>19.348525469168901</v>
      </c>
      <c r="I1410" t="str">
        <f>IF(Table1[[#This Row],[Profit %]]&gt;20,"Excellent",IF(H1410&gt;10.1,"Good","Low"))</f>
        <v>Good</v>
      </c>
    </row>
    <row r="1411" spans="1:9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 s="2">
        <v>1176</v>
      </c>
      <c r="G1411">
        <v>157.47</v>
      </c>
      <c r="H1411" s="2">
        <f>Table1[[#This Row],[Profit]]/Table1[[#This Row],[Sales]]*100</f>
        <v>13.39030612244898</v>
      </c>
      <c r="I1411" t="str">
        <f>IF(Table1[[#This Row],[Profit %]]&gt;20,"Excellent",IF(H1411&gt;10.1,"Good","Low"))</f>
        <v>Good</v>
      </c>
    </row>
    <row r="1412" spans="1:9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 s="2">
        <v>2139</v>
      </c>
      <c r="G1412">
        <v>422.52</v>
      </c>
      <c r="H1412" s="2">
        <f>Table1[[#This Row],[Profit]]/Table1[[#This Row],[Sales]]*100</f>
        <v>19.753155680224403</v>
      </c>
      <c r="I1412" t="str">
        <f>IF(Table1[[#This Row],[Profit %]]&gt;20,"Excellent",IF(H1412&gt;10.1,"Good","Low"))</f>
        <v>Good</v>
      </c>
    </row>
    <row r="1413" spans="1:9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 s="2">
        <v>4140</v>
      </c>
      <c r="G1413">
        <v>301.12</v>
      </c>
      <c r="H1413" s="2">
        <f>Table1[[#This Row],[Profit]]/Table1[[#This Row],[Sales]]*100</f>
        <v>7.2734299516908214</v>
      </c>
      <c r="I1413" t="str">
        <f>IF(Table1[[#This Row],[Profit %]]&gt;20,"Excellent",IF(H1413&gt;10.1,"Good","Low"))</f>
        <v>Low</v>
      </c>
    </row>
    <row r="1414" spans="1:9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 s="2">
        <v>1038</v>
      </c>
      <c r="G1414">
        <v>63.23</v>
      </c>
      <c r="H1414" s="2">
        <f>Table1[[#This Row],[Profit]]/Table1[[#This Row],[Sales]]*100</f>
        <v>6.0915221579961463</v>
      </c>
      <c r="I1414" t="str">
        <f>IF(Table1[[#This Row],[Profit %]]&gt;20,"Excellent",IF(H1414&gt;10.1,"Good","Low"))</f>
        <v>Low</v>
      </c>
    </row>
    <row r="1415" spans="1:9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 s="2">
        <v>2024</v>
      </c>
      <c r="G1415">
        <v>203.11</v>
      </c>
      <c r="H1415" s="2">
        <f>Table1[[#This Row],[Profit]]/Table1[[#This Row],[Sales]]*100</f>
        <v>10.0350790513834</v>
      </c>
      <c r="I1415" t="str">
        <f>IF(Table1[[#This Row],[Profit %]]&gt;20,"Excellent",IF(H1415&gt;10.1,"Good","Low"))</f>
        <v>Low</v>
      </c>
    </row>
    <row r="1416" spans="1:9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 s="2">
        <v>6624</v>
      </c>
      <c r="G1416">
        <v>1136.0899999999999</v>
      </c>
      <c r="H1416" s="2">
        <f>Table1[[#This Row],[Profit]]/Table1[[#This Row],[Sales]]*100</f>
        <v>17.151117149758452</v>
      </c>
      <c r="I1416" t="str">
        <f>IF(Table1[[#This Row],[Profit %]]&gt;20,"Excellent",IF(H1416&gt;10.1,"Good","Low"))</f>
        <v>Good</v>
      </c>
    </row>
    <row r="1417" spans="1:9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 s="2">
        <v>5019</v>
      </c>
      <c r="G1417">
        <v>1154.79</v>
      </c>
      <c r="H1417" s="2">
        <f>Table1[[#This Row],[Profit]]/Table1[[#This Row],[Sales]]*100</f>
        <v>23.00836820083682</v>
      </c>
      <c r="I1417" t="str">
        <f>IF(Table1[[#This Row],[Profit %]]&gt;20,"Excellent",IF(H1417&gt;10.1,"Good","Low"))</f>
        <v>Excellent</v>
      </c>
    </row>
    <row r="1418" spans="1:9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 s="2">
        <v>750</v>
      </c>
      <c r="G1418">
        <v>207.77</v>
      </c>
      <c r="H1418" s="2">
        <f>Table1[[#This Row],[Profit]]/Table1[[#This Row],[Sales]]*100</f>
        <v>27.702666666666669</v>
      </c>
      <c r="I1418" t="str">
        <f>IF(Table1[[#This Row],[Profit %]]&gt;20,"Excellent",IF(H1418&gt;10.1,"Good","Low"))</f>
        <v>Excellent</v>
      </c>
    </row>
    <row r="1419" spans="1:9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 s="2">
        <v>6461</v>
      </c>
      <c r="G1419">
        <v>1455.36</v>
      </c>
      <c r="H1419" s="2">
        <f>Table1[[#This Row],[Profit]]/Table1[[#This Row],[Sales]]*100</f>
        <v>22.525305680235256</v>
      </c>
      <c r="I1419" t="str">
        <f>IF(Table1[[#This Row],[Profit %]]&gt;20,"Excellent",IF(H1419&gt;10.1,"Good","Low"))</f>
        <v>Excellent</v>
      </c>
    </row>
    <row r="1420" spans="1:9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 s="2">
        <v>2946</v>
      </c>
      <c r="G1420">
        <v>208.01</v>
      </c>
      <c r="H1420" s="2">
        <f>Table1[[#This Row],[Profit]]/Table1[[#This Row],[Sales]]*100</f>
        <v>7.0607603530210454</v>
      </c>
      <c r="I1420" t="str">
        <f>IF(Table1[[#This Row],[Profit %]]&gt;20,"Excellent",IF(H1420&gt;10.1,"Good","Low"))</f>
        <v>Low</v>
      </c>
    </row>
    <row r="1421" spans="1:9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 s="2">
        <v>618</v>
      </c>
      <c r="G1421">
        <v>81.040000000000006</v>
      </c>
      <c r="H1421" s="2">
        <f>Table1[[#This Row],[Profit]]/Table1[[#This Row],[Sales]]*100</f>
        <v>13.113268608414241</v>
      </c>
      <c r="I1421" t="str">
        <f>IF(Table1[[#This Row],[Profit %]]&gt;20,"Excellent",IF(H1421&gt;10.1,"Good","Low"))</f>
        <v>Good</v>
      </c>
    </row>
    <row r="1422" spans="1:9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 s="2">
        <v>1774</v>
      </c>
      <c r="G1422">
        <v>322.49</v>
      </c>
      <c r="H1422" s="2">
        <f>Table1[[#This Row],[Profit]]/Table1[[#This Row],[Sales]]*100</f>
        <v>18.178692220969562</v>
      </c>
      <c r="I1422" t="str">
        <f>IF(Table1[[#This Row],[Profit %]]&gt;20,"Excellent",IF(H1422&gt;10.1,"Good","Low"))</f>
        <v>Good</v>
      </c>
    </row>
    <row r="1423" spans="1:9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 s="2">
        <v>8586</v>
      </c>
      <c r="G1423">
        <v>700.37</v>
      </c>
      <c r="H1423" s="2">
        <f>Table1[[#This Row],[Profit]]/Table1[[#This Row],[Sales]]*100</f>
        <v>8.1571162357325875</v>
      </c>
      <c r="I1423" t="str">
        <f>IF(Table1[[#This Row],[Profit %]]&gt;20,"Excellent",IF(H1423&gt;10.1,"Good","Low"))</f>
        <v>Low</v>
      </c>
    </row>
    <row r="1424" spans="1:9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 s="2">
        <v>2000</v>
      </c>
      <c r="G1424">
        <v>232.41</v>
      </c>
      <c r="H1424" s="2">
        <f>Table1[[#This Row],[Profit]]/Table1[[#This Row],[Sales]]*100</f>
        <v>11.6205</v>
      </c>
      <c r="I1424" t="str">
        <f>IF(Table1[[#This Row],[Profit %]]&gt;20,"Excellent",IF(H1424&gt;10.1,"Good","Low"))</f>
        <v>Good</v>
      </c>
    </row>
    <row r="1425" spans="1:9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 s="2">
        <v>849</v>
      </c>
      <c r="G1425">
        <v>205.88</v>
      </c>
      <c r="H1425" s="2">
        <f>Table1[[#This Row],[Profit]]/Table1[[#This Row],[Sales]]*100</f>
        <v>24.249705535924619</v>
      </c>
      <c r="I1425" t="str">
        <f>IF(Table1[[#This Row],[Profit %]]&gt;20,"Excellent",IF(H1425&gt;10.1,"Good","Low"))</f>
        <v>Excellent</v>
      </c>
    </row>
    <row r="1426" spans="1:9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 s="2">
        <v>3186</v>
      </c>
      <c r="G1426">
        <v>374.63</v>
      </c>
      <c r="H1426" s="2">
        <f>Table1[[#This Row],[Profit]]/Table1[[#This Row],[Sales]]*100</f>
        <v>11.758631512868801</v>
      </c>
      <c r="I1426" t="str">
        <f>IF(Table1[[#This Row],[Profit %]]&gt;20,"Excellent",IF(H1426&gt;10.1,"Good","Low"))</f>
        <v>Good</v>
      </c>
    </row>
    <row r="1427" spans="1:9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 s="2">
        <v>2536</v>
      </c>
      <c r="G1427">
        <v>495.13</v>
      </c>
      <c r="H1427" s="2">
        <f>Table1[[#This Row],[Profit]]/Table1[[#This Row],[Sales]]*100</f>
        <v>19.524053627760253</v>
      </c>
      <c r="I1427" t="str">
        <f>IF(Table1[[#This Row],[Profit %]]&gt;20,"Excellent",IF(H1427&gt;10.1,"Good","Low"))</f>
        <v>Good</v>
      </c>
    </row>
    <row r="1428" spans="1:9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 s="2">
        <v>1306</v>
      </c>
      <c r="G1428">
        <v>228.41</v>
      </c>
      <c r="H1428" s="2">
        <f>Table1[[#This Row],[Profit]]/Table1[[#This Row],[Sales]]*100</f>
        <v>17.489280245022972</v>
      </c>
      <c r="I1428" t="str">
        <f>IF(Table1[[#This Row],[Profit %]]&gt;20,"Excellent",IF(H1428&gt;10.1,"Good","Low"))</f>
        <v>Good</v>
      </c>
    </row>
    <row r="1429" spans="1:9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 s="2">
        <v>2508</v>
      </c>
      <c r="G1429">
        <v>631.85</v>
      </c>
      <c r="H1429" s="2">
        <f>Table1[[#This Row],[Profit]]/Table1[[#This Row],[Sales]]*100</f>
        <v>25.193381180223284</v>
      </c>
      <c r="I1429" t="str">
        <f>IF(Table1[[#This Row],[Profit %]]&gt;20,"Excellent",IF(H1429&gt;10.1,"Good","Low"))</f>
        <v>Excellent</v>
      </c>
    </row>
    <row r="1430" spans="1:9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 s="2">
        <v>1048</v>
      </c>
      <c r="G1430">
        <v>107.56</v>
      </c>
      <c r="H1430" s="2">
        <f>Table1[[#This Row],[Profit]]/Table1[[#This Row],[Sales]]*100</f>
        <v>10.263358778625955</v>
      </c>
      <c r="I1430" t="str">
        <f>IF(Table1[[#This Row],[Profit %]]&gt;20,"Excellent",IF(H1430&gt;10.1,"Good","Low"))</f>
        <v>Good</v>
      </c>
    </row>
    <row r="1431" spans="1:9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 s="2">
        <v>1516</v>
      </c>
      <c r="G1431">
        <v>256.95999999999998</v>
      </c>
      <c r="H1431" s="2">
        <f>Table1[[#This Row],[Profit]]/Table1[[#This Row],[Sales]]*100</f>
        <v>16.949868073878626</v>
      </c>
      <c r="I1431" t="str">
        <f>IF(Table1[[#This Row],[Profit %]]&gt;20,"Excellent",IF(H1431&gt;10.1,"Good","Low"))</f>
        <v>Good</v>
      </c>
    </row>
    <row r="1432" spans="1:9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 s="2">
        <v>10458</v>
      </c>
      <c r="G1432">
        <v>1835.21</v>
      </c>
      <c r="H1432" s="2">
        <f>Table1[[#This Row],[Profit]]/Table1[[#This Row],[Sales]]*100</f>
        <v>17.548384012239435</v>
      </c>
      <c r="I1432" t="str">
        <f>IF(Table1[[#This Row],[Profit %]]&gt;20,"Excellent",IF(H1432&gt;10.1,"Good","Low"))</f>
        <v>Good</v>
      </c>
    </row>
    <row r="1433" spans="1:9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 s="2">
        <v>2754</v>
      </c>
      <c r="G1433">
        <v>259.16000000000003</v>
      </c>
      <c r="H1433" s="2">
        <f>Table1[[#This Row],[Profit]]/Table1[[#This Row],[Sales]]*100</f>
        <v>9.4103122730573716</v>
      </c>
      <c r="I1433" t="str">
        <f>IF(Table1[[#This Row],[Profit %]]&gt;20,"Excellent",IF(H1433&gt;10.1,"Good","Low"))</f>
        <v>Low</v>
      </c>
    </row>
    <row r="1434" spans="1:9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 s="2">
        <v>3432</v>
      </c>
      <c r="G1434">
        <v>364.27</v>
      </c>
      <c r="H1434" s="2">
        <f>Table1[[#This Row],[Profit]]/Table1[[#This Row],[Sales]]*100</f>
        <v>10.613927738927737</v>
      </c>
      <c r="I1434" t="str">
        <f>IF(Table1[[#This Row],[Profit %]]&gt;20,"Excellent",IF(H1434&gt;10.1,"Good","Low"))</f>
        <v>Good</v>
      </c>
    </row>
    <row r="1435" spans="1:9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 s="2">
        <v>1234</v>
      </c>
      <c r="G1435">
        <v>257.89</v>
      </c>
      <c r="H1435" s="2">
        <f>Table1[[#This Row],[Profit]]/Table1[[#This Row],[Sales]]*100</f>
        <v>20.898703403565637</v>
      </c>
      <c r="I1435" t="str">
        <f>IF(Table1[[#This Row],[Profit %]]&gt;20,"Excellent",IF(H1435&gt;10.1,"Good","Low"))</f>
        <v>Excellent</v>
      </c>
    </row>
    <row r="1436" spans="1:9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 s="2">
        <v>847</v>
      </c>
      <c r="G1436">
        <v>146.25</v>
      </c>
      <c r="H1436" s="2">
        <f>Table1[[#This Row],[Profit]]/Table1[[#This Row],[Sales]]*100</f>
        <v>17.266824085005901</v>
      </c>
      <c r="I1436" t="str">
        <f>IF(Table1[[#This Row],[Profit %]]&gt;20,"Excellent",IF(H1436&gt;10.1,"Good","Low"))</f>
        <v>Good</v>
      </c>
    </row>
    <row r="1437" spans="1:9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 s="2">
        <v>7672</v>
      </c>
      <c r="G1437">
        <v>896.11</v>
      </c>
      <c r="H1437" s="2">
        <f>Table1[[#This Row],[Profit]]/Table1[[#This Row],[Sales]]*100</f>
        <v>11.680265901981231</v>
      </c>
      <c r="I1437" t="str">
        <f>IF(Table1[[#This Row],[Profit %]]&gt;20,"Excellent",IF(H1437&gt;10.1,"Good","Low"))</f>
        <v>Good</v>
      </c>
    </row>
    <row r="1438" spans="1:9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 s="2">
        <v>7596</v>
      </c>
      <c r="G1438">
        <v>1454.15</v>
      </c>
      <c r="H1438" s="2">
        <f>Table1[[#This Row],[Profit]]/Table1[[#This Row],[Sales]]*100</f>
        <v>19.143628225381782</v>
      </c>
      <c r="I1438" t="str">
        <f>IF(Table1[[#This Row],[Profit %]]&gt;20,"Excellent",IF(H1438&gt;10.1,"Good","Low"))</f>
        <v>Good</v>
      </c>
    </row>
    <row r="1439" spans="1:9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 s="2">
        <v>7252</v>
      </c>
      <c r="G1439">
        <v>1357.27</v>
      </c>
      <c r="H1439" s="2">
        <f>Table1[[#This Row],[Profit]]/Table1[[#This Row],[Sales]]*100</f>
        <v>18.715802537231106</v>
      </c>
      <c r="I1439" t="str">
        <f>IF(Table1[[#This Row],[Profit %]]&gt;20,"Excellent",IF(H1439&gt;10.1,"Good","Low"))</f>
        <v>Good</v>
      </c>
    </row>
    <row r="1440" spans="1:9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 s="2">
        <v>732</v>
      </c>
      <c r="G1440">
        <v>136.59</v>
      </c>
      <c r="H1440" s="2">
        <f>Table1[[#This Row],[Profit]]/Table1[[#This Row],[Sales]]*100</f>
        <v>18.659836065573771</v>
      </c>
      <c r="I1440" t="str">
        <f>IF(Table1[[#This Row],[Profit %]]&gt;20,"Excellent",IF(H1440&gt;10.1,"Good","Low"))</f>
        <v>Good</v>
      </c>
    </row>
    <row r="1441" spans="1:9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 s="2">
        <v>173</v>
      </c>
      <c r="G1441">
        <v>20.96</v>
      </c>
      <c r="H1441" s="2">
        <f>Table1[[#This Row],[Profit]]/Table1[[#This Row],[Sales]]*100</f>
        <v>12.115606936416185</v>
      </c>
      <c r="I1441" t="str">
        <f>IF(Table1[[#This Row],[Profit %]]&gt;20,"Excellent",IF(H1441&gt;10.1,"Good","Low"))</f>
        <v>Good</v>
      </c>
    </row>
    <row r="1442" spans="1:9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 s="2">
        <v>2805</v>
      </c>
      <c r="G1442">
        <v>749.5</v>
      </c>
      <c r="H1442" s="2">
        <f>Table1[[#This Row],[Profit]]/Table1[[#This Row],[Sales]]*100</f>
        <v>26.720142602495546</v>
      </c>
      <c r="I1442" t="str">
        <f>IF(Table1[[#This Row],[Profit %]]&gt;20,"Excellent",IF(H1442&gt;10.1,"Good","Low"))</f>
        <v>Excellent</v>
      </c>
    </row>
    <row r="1443" spans="1:9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 s="2">
        <v>7048</v>
      </c>
      <c r="G1443">
        <v>391.96</v>
      </c>
      <c r="H1443" s="2">
        <f>Table1[[#This Row],[Profit]]/Table1[[#This Row],[Sales]]*100</f>
        <v>5.5612939841089668</v>
      </c>
      <c r="I1443" t="str">
        <f>IF(Table1[[#This Row],[Profit %]]&gt;20,"Excellent",IF(H1443&gt;10.1,"Good","Low"))</f>
        <v>Low</v>
      </c>
    </row>
    <row r="1444" spans="1:9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 s="2">
        <v>4698</v>
      </c>
      <c r="G1444">
        <v>1020.11</v>
      </c>
      <c r="H1444" s="2">
        <f>Table1[[#This Row],[Profit]]/Table1[[#This Row],[Sales]]*100</f>
        <v>21.713707960834398</v>
      </c>
      <c r="I1444" t="str">
        <f>IF(Table1[[#This Row],[Profit %]]&gt;20,"Excellent",IF(H1444&gt;10.1,"Good","Low"))</f>
        <v>Excellent</v>
      </c>
    </row>
    <row r="1445" spans="1:9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 s="2">
        <v>565</v>
      </c>
      <c r="G1445">
        <v>148.79</v>
      </c>
      <c r="H1445" s="2">
        <f>Table1[[#This Row],[Profit]]/Table1[[#This Row],[Sales]]*100</f>
        <v>26.334513274336281</v>
      </c>
      <c r="I1445" t="str">
        <f>IF(Table1[[#This Row],[Profit %]]&gt;20,"Excellent",IF(H1445&gt;10.1,"Good","Low"))</f>
        <v>Excellent</v>
      </c>
    </row>
    <row r="1446" spans="1:9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 s="2">
        <v>672</v>
      </c>
      <c r="G1446">
        <v>198.75</v>
      </c>
      <c r="H1446" s="2">
        <f>Table1[[#This Row],[Profit]]/Table1[[#This Row],[Sales]]*100</f>
        <v>29.575892857142854</v>
      </c>
      <c r="I1446" t="str">
        <f>IF(Table1[[#This Row],[Profit %]]&gt;20,"Excellent",IF(H1446&gt;10.1,"Good","Low"))</f>
        <v>Excellent</v>
      </c>
    </row>
    <row r="1447" spans="1:9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 s="2">
        <v>2604</v>
      </c>
      <c r="G1447">
        <v>566.34</v>
      </c>
      <c r="H1447" s="2">
        <f>Table1[[#This Row],[Profit]]/Table1[[#This Row],[Sales]]*100</f>
        <v>21.748847926267281</v>
      </c>
      <c r="I1447" t="str">
        <f>IF(Table1[[#This Row],[Profit %]]&gt;20,"Excellent",IF(H1447&gt;10.1,"Good","Low"))</f>
        <v>Excellent</v>
      </c>
    </row>
    <row r="1448" spans="1:9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 s="2">
        <v>5124</v>
      </c>
      <c r="G1448">
        <v>501.5</v>
      </c>
      <c r="H1448" s="2">
        <f>Table1[[#This Row],[Profit]]/Table1[[#This Row],[Sales]]*100</f>
        <v>9.7872755659640909</v>
      </c>
      <c r="I1448" t="str">
        <f>IF(Table1[[#This Row],[Profit %]]&gt;20,"Excellent",IF(H1448&gt;10.1,"Good","Low"))</f>
        <v>Low</v>
      </c>
    </row>
    <row r="1449" spans="1:9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 s="2">
        <v>2455</v>
      </c>
      <c r="G1449">
        <v>714.35</v>
      </c>
      <c r="H1449" s="2">
        <f>Table1[[#This Row],[Profit]]/Table1[[#This Row],[Sales]]*100</f>
        <v>29.097759674134423</v>
      </c>
      <c r="I1449" t="str">
        <f>IF(Table1[[#This Row],[Profit %]]&gt;20,"Excellent",IF(H1449&gt;10.1,"Good","Low"))</f>
        <v>Excellent</v>
      </c>
    </row>
    <row r="1450" spans="1:9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 s="2">
        <v>1796</v>
      </c>
      <c r="G1450">
        <v>225.15</v>
      </c>
      <c r="H1450" s="2">
        <f>Table1[[#This Row],[Profit]]/Table1[[#This Row],[Sales]]*100</f>
        <v>12.536191536748332</v>
      </c>
      <c r="I1450" t="str">
        <f>IF(Table1[[#This Row],[Profit %]]&gt;20,"Excellent",IF(H1450&gt;10.1,"Good","Low"))</f>
        <v>Good</v>
      </c>
    </row>
    <row r="1451" spans="1:9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 s="2">
        <v>288</v>
      </c>
      <c r="G1451">
        <v>61.85</v>
      </c>
      <c r="H1451" s="2">
        <f>Table1[[#This Row],[Profit]]/Table1[[#This Row],[Sales]]*100</f>
        <v>21.475694444444446</v>
      </c>
      <c r="I1451" t="str">
        <f>IF(Table1[[#This Row],[Profit %]]&gt;20,"Excellent",IF(H1451&gt;10.1,"Good","Low"))</f>
        <v>Excellent</v>
      </c>
    </row>
    <row r="1452" spans="1:9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 s="2">
        <v>2160</v>
      </c>
      <c r="G1452">
        <v>553.41</v>
      </c>
      <c r="H1452" s="2">
        <f>Table1[[#This Row],[Profit]]/Table1[[#This Row],[Sales]]*100</f>
        <v>25.62083333333333</v>
      </c>
      <c r="I1452" t="str">
        <f>IF(Table1[[#This Row],[Profit %]]&gt;20,"Excellent",IF(H1452&gt;10.1,"Good","Low"))</f>
        <v>Excellent</v>
      </c>
    </row>
    <row r="1453" spans="1:9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 s="2">
        <v>105</v>
      </c>
      <c r="G1453">
        <v>27.36</v>
      </c>
      <c r="H1453" s="2">
        <f>Table1[[#This Row],[Profit]]/Table1[[#This Row],[Sales]]*100</f>
        <v>26.057142857142857</v>
      </c>
      <c r="I1453" t="str">
        <f>IF(Table1[[#This Row],[Profit %]]&gt;20,"Excellent",IF(H1453&gt;10.1,"Good","Low"))</f>
        <v>Excellent</v>
      </c>
    </row>
    <row r="1454" spans="1:9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 s="2">
        <v>7578</v>
      </c>
      <c r="G1454">
        <v>1596.64</v>
      </c>
      <c r="H1454" s="2">
        <f>Table1[[#This Row],[Profit]]/Table1[[#This Row],[Sales]]*100</f>
        <v>21.069411454209554</v>
      </c>
      <c r="I1454" t="str">
        <f>IF(Table1[[#This Row],[Profit %]]&gt;20,"Excellent",IF(H1454&gt;10.1,"Good","Low"))</f>
        <v>Excellent</v>
      </c>
    </row>
    <row r="1455" spans="1:9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 s="2">
        <v>365</v>
      </c>
      <c r="G1455">
        <v>50.1</v>
      </c>
      <c r="H1455" s="2">
        <f>Table1[[#This Row],[Profit]]/Table1[[#This Row],[Sales]]*100</f>
        <v>13.726027397260273</v>
      </c>
      <c r="I1455" t="str">
        <f>IF(Table1[[#This Row],[Profit %]]&gt;20,"Excellent",IF(H1455&gt;10.1,"Good","Low"))</f>
        <v>Good</v>
      </c>
    </row>
    <row r="1456" spans="1:9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 s="2">
        <v>3752</v>
      </c>
      <c r="G1456">
        <v>537.98</v>
      </c>
      <c r="H1456" s="2">
        <f>Table1[[#This Row],[Profit]]/Table1[[#This Row],[Sales]]*100</f>
        <v>14.338486140724946</v>
      </c>
      <c r="I1456" t="str">
        <f>IF(Table1[[#This Row],[Profit %]]&gt;20,"Excellent",IF(H1456&gt;10.1,"Good","Low"))</f>
        <v>Good</v>
      </c>
    </row>
    <row r="1457" spans="1:9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 s="2">
        <v>1384</v>
      </c>
      <c r="G1457">
        <v>316.20999999999998</v>
      </c>
      <c r="H1457" s="2">
        <f>Table1[[#This Row],[Profit]]/Table1[[#This Row],[Sales]]*100</f>
        <v>22.847543352601154</v>
      </c>
      <c r="I1457" t="str">
        <f>IF(Table1[[#This Row],[Profit %]]&gt;20,"Excellent",IF(H1457&gt;10.1,"Good","Low"))</f>
        <v>Excellent</v>
      </c>
    </row>
    <row r="1458" spans="1:9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 s="2">
        <v>475</v>
      </c>
      <c r="G1458">
        <v>76.22</v>
      </c>
      <c r="H1458" s="2">
        <f>Table1[[#This Row],[Profit]]/Table1[[#This Row],[Sales]]*100</f>
        <v>16.046315789473685</v>
      </c>
      <c r="I1458" t="str">
        <f>IF(Table1[[#This Row],[Profit %]]&gt;20,"Excellent",IF(H1458&gt;10.1,"Good","Low"))</f>
        <v>Good</v>
      </c>
    </row>
    <row r="1459" spans="1:9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 s="2">
        <v>1116</v>
      </c>
      <c r="G1459">
        <v>242.31</v>
      </c>
      <c r="H1459" s="2">
        <f>Table1[[#This Row],[Profit]]/Table1[[#This Row],[Sales]]*100</f>
        <v>21.712365591397852</v>
      </c>
      <c r="I1459" t="str">
        <f>IF(Table1[[#This Row],[Profit %]]&gt;20,"Excellent",IF(H1459&gt;10.1,"Good","Low"))</f>
        <v>Excellent</v>
      </c>
    </row>
    <row r="1460" spans="1:9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 s="2">
        <v>137</v>
      </c>
      <c r="G1460">
        <v>39.35</v>
      </c>
      <c r="H1460" s="2">
        <f>Table1[[#This Row],[Profit]]/Table1[[#This Row],[Sales]]*100</f>
        <v>28.722627737226279</v>
      </c>
      <c r="I1460" t="str">
        <f>IF(Table1[[#This Row],[Profit %]]&gt;20,"Excellent",IF(H1460&gt;10.1,"Good","Low"))</f>
        <v>Excellent</v>
      </c>
    </row>
    <row r="1461" spans="1:9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 s="2">
        <v>738</v>
      </c>
      <c r="G1461">
        <v>158.96</v>
      </c>
      <c r="H1461" s="2">
        <f>Table1[[#This Row],[Profit]]/Table1[[#This Row],[Sales]]*100</f>
        <v>21.539295392953932</v>
      </c>
      <c r="I1461" t="str">
        <f>IF(Table1[[#This Row],[Profit %]]&gt;20,"Excellent",IF(H1461&gt;10.1,"Good","Low"))</f>
        <v>Excellent</v>
      </c>
    </row>
    <row r="1462" spans="1:9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 s="2">
        <v>1821</v>
      </c>
      <c r="G1462">
        <v>543.01</v>
      </c>
      <c r="H1462" s="2">
        <f>Table1[[#This Row],[Profit]]/Table1[[#This Row],[Sales]]*100</f>
        <v>29.819330038440416</v>
      </c>
      <c r="I1462" t="str">
        <f>IF(Table1[[#This Row],[Profit %]]&gt;20,"Excellent",IF(H1462&gt;10.1,"Good","Low"))</f>
        <v>Excellent</v>
      </c>
    </row>
    <row r="1463" spans="1:9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 s="2">
        <v>3654</v>
      </c>
      <c r="G1463">
        <v>670.16</v>
      </c>
      <c r="H1463" s="2">
        <f>Table1[[#This Row],[Profit]]/Table1[[#This Row],[Sales]]*100</f>
        <v>18.340448823207442</v>
      </c>
      <c r="I1463" t="str">
        <f>IF(Table1[[#This Row],[Profit %]]&gt;20,"Excellent",IF(H1463&gt;10.1,"Good","Low"))</f>
        <v>Good</v>
      </c>
    </row>
    <row r="1464" spans="1:9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 s="2">
        <v>2592</v>
      </c>
      <c r="G1464">
        <v>404.89</v>
      </c>
      <c r="H1464" s="2">
        <f>Table1[[#This Row],[Profit]]/Table1[[#This Row],[Sales]]*100</f>
        <v>15.620756172839506</v>
      </c>
      <c r="I1464" t="str">
        <f>IF(Table1[[#This Row],[Profit %]]&gt;20,"Excellent",IF(H1464&gt;10.1,"Good","Low"))</f>
        <v>Good</v>
      </c>
    </row>
    <row r="1465" spans="1:9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 s="2">
        <v>996</v>
      </c>
      <c r="G1465">
        <v>225.75</v>
      </c>
      <c r="H1465" s="2">
        <f>Table1[[#This Row],[Profit]]/Table1[[#This Row],[Sales]]*100</f>
        <v>22.665662650602407</v>
      </c>
      <c r="I1465" t="str">
        <f>IF(Table1[[#This Row],[Profit %]]&gt;20,"Excellent",IF(H1465&gt;10.1,"Good","Low"))</f>
        <v>Excellent</v>
      </c>
    </row>
    <row r="1466" spans="1:9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 s="2">
        <v>693</v>
      </c>
      <c r="G1466">
        <v>62.75</v>
      </c>
      <c r="H1466" s="2">
        <f>Table1[[#This Row],[Profit]]/Table1[[#This Row],[Sales]]*100</f>
        <v>9.0548340548340551</v>
      </c>
      <c r="I1466" t="str">
        <f>IF(Table1[[#This Row],[Profit %]]&gt;20,"Excellent",IF(H1466&gt;10.1,"Good","Low"))</f>
        <v>Low</v>
      </c>
    </row>
    <row r="1467" spans="1:9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 s="2">
        <v>513</v>
      </c>
      <c r="G1467">
        <v>48.23</v>
      </c>
      <c r="H1467" s="2">
        <f>Table1[[#This Row],[Profit]]/Table1[[#This Row],[Sales]]*100</f>
        <v>9.4015594541910339</v>
      </c>
      <c r="I1467" t="str">
        <f>IF(Table1[[#This Row],[Profit %]]&gt;20,"Excellent",IF(H1467&gt;10.1,"Good","Low"))</f>
        <v>Low</v>
      </c>
    </row>
    <row r="1468" spans="1:9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 s="2">
        <v>5736</v>
      </c>
      <c r="G1468">
        <v>937.62</v>
      </c>
      <c r="H1468" s="2">
        <f>Table1[[#This Row],[Profit]]/Table1[[#This Row],[Sales]]*100</f>
        <v>16.34623430962343</v>
      </c>
      <c r="I1468" t="str">
        <f>IF(Table1[[#This Row],[Profit %]]&gt;20,"Excellent",IF(H1468&gt;10.1,"Good","Low"))</f>
        <v>Good</v>
      </c>
    </row>
    <row r="1469" spans="1:9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 s="2">
        <v>1458</v>
      </c>
      <c r="G1469">
        <v>208.93</v>
      </c>
      <c r="H1469" s="2">
        <f>Table1[[#This Row],[Profit]]/Table1[[#This Row],[Sales]]*100</f>
        <v>14.329903978052128</v>
      </c>
      <c r="I1469" t="str">
        <f>IF(Table1[[#This Row],[Profit %]]&gt;20,"Excellent",IF(H1469&gt;10.1,"Good","Low"))</f>
        <v>Good</v>
      </c>
    </row>
    <row r="1470" spans="1:9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 s="2">
        <v>5496</v>
      </c>
      <c r="G1470">
        <v>1104.93</v>
      </c>
      <c r="H1470" s="2">
        <f>Table1[[#This Row],[Profit]]/Table1[[#This Row],[Sales]]*100</f>
        <v>20.1042576419214</v>
      </c>
      <c r="I1470" t="str">
        <f>IF(Table1[[#This Row],[Profit %]]&gt;20,"Excellent",IF(H1470&gt;10.1,"Good","Low"))</f>
        <v>Excellent</v>
      </c>
    </row>
    <row r="1471" spans="1:9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 s="2">
        <v>3183</v>
      </c>
      <c r="G1471">
        <v>358.87</v>
      </c>
      <c r="H1471" s="2">
        <f>Table1[[#This Row],[Profit]]/Table1[[#This Row],[Sales]]*100</f>
        <v>11.274583726044613</v>
      </c>
      <c r="I1471" t="str">
        <f>IF(Table1[[#This Row],[Profit %]]&gt;20,"Excellent",IF(H1471&gt;10.1,"Good","Low"))</f>
        <v>Good</v>
      </c>
    </row>
    <row r="1472" spans="1:9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 s="2">
        <v>3990</v>
      </c>
      <c r="G1472">
        <v>975.5</v>
      </c>
      <c r="H1472" s="2">
        <f>Table1[[#This Row],[Profit]]/Table1[[#This Row],[Sales]]*100</f>
        <v>24.44862155388471</v>
      </c>
      <c r="I1472" t="str">
        <f>IF(Table1[[#This Row],[Profit %]]&gt;20,"Excellent",IF(H1472&gt;10.1,"Good","Low"))</f>
        <v>Excellent</v>
      </c>
    </row>
    <row r="1473" spans="1:9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 s="2">
        <v>582</v>
      </c>
      <c r="G1473">
        <v>76.45</v>
      </c>
      <c r="H1473" s="2">
        <f>Table1[[#This Row],[Profit]]/Table1[[#This Row],[Sales]]*100</f>
        <v>13.135738831615122</v>
      </c>
      <c r="I1473" t="str">
        <f>IF(Table1[[#This Row],[Profit %]]&gt;20,"Excellent",IF(H1473&gt;10.1,"Good","Low"))</f>
        <v>Good</v>
      </c>
    </row>
    <row r="1474" spans="1:9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 s="2">
        <v>3340</v>
      </c>
      <c r="G1474">
        <v>845.53</v>
      </c>
      <c r="H1474" s="2">
        <f>Table1[[#This Row],[Profit]]/Table1[[#This Row],[Sales]]*100</f>
        <v>25.315269461077843</v>
      </c>
      <c r="I1474" t="str">
        <f>IF(Table1[[#This Row],[Profit %]]&gt;20,"Excellent",IF(H1474&gt;10.1,"Good","Low"))</f>
        <v>Excellent</v>
      </c>
    </row>
    <row r="1475" spans="1:9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 s="2">
        <v>890</v>
      </c>
      <c r="G1475">
        <v>59.1</v>
      </c>
      <c r="H1475" s="2">
        <f>Table1[[#This Row],[Profit]]/Table1[[#This Row],[Sales]]*100</f>
        <v>6.6404494382022481</v>
      </c>
      <c r="I1475" t="str">
        <f>IF(Table1[[#This Row],[Profit %]]&gt;20,"Excellent",IF(H1475&gt;10.1,"Good","Low"))</f>
        <v>Low</v>
      </c>
    </row>
    <row r="1476" spans="1:9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 s="2">
        <v>4890</v>
      </c>
      <c r="G1476">
        <v>689.01</v>
      </c>
      <c r="H1476" s="2">
        <f>Table1[[#This Row],[Profit]]/Table1[[#This Row],[Sales]]*100</f>
        <v>14.090184049079754</v>
      </c>
      <c r="I1476" t="str">
        <f>IF(Table1[[#This Row],[Profit %]]&gt;20,"Excellent",IF(H1476&gt;10.1,"Good","Low"))</f>
        <v>Good</v>
      </c>
    </row>
    <row r="1477" spans="1:9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 s="2">
        <v>2625</v>
      </c>
      <c r="G1477">
        <v>349.61</v>
      </c>
      <c r="H1477" s="2">
        <f>Table1[[#This Row],[Profit]]/Table1[[#This Row],[Sales]]*100</f>
        <v>13.318476190476192</v>
      </c>
      <c r="I1477" t="str">
        <f>IF(Table1[[#This Row],[Profit %]]&gt;20,"Excellent",IF(H1477&gt;10.1,"Good","Low"))</f>
        <v>Good</v>
      </c>
    </row>
    <row r="1478" spans="1:9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 s="2">
        <v>1440</v>
      </c>
      <c r="G1478">
        <v>200.09</v>
      </c>
      <c r="H1478" s="2">
        <f>Table1[[#This Row],[Profit]]/Table1[[#This Row],[Sales]]*100</f>
        <v>13.895138888888889</v>
      </c>
      <c r="I1478" t="str">
        <f>IF(Table1[[#This Row],[Profit %]]&gt;20,"Excellent",IF(H1478&gt;10.1,"Good","Low"))</f>
        <v>Good</v>
      </c>
    </row>
    <row r="1479" spans="1:9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 s="2">
        <v>505</v>
      </c>
      <c r="G1479">
        <v>93.85</v>
      </c>
      <c r="H1479" s="2">
        <f>Table1[[#This Row],[Profit]]/Table1[[#This Row],[Sales]]*100</f>
        <v>18.584158415841586</v>
      </c>
      <c r="I1479" t="str">
        <f>IF(Table1[[#This Row],[Profit %]]&gt;20,"Excellent",IF(H1479&gt;10.1,"Good","Low"))</f>
        <v>Good</v>
      </c>
    </row>
    <row r="1480" spans="1:9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 s="2">
        <v>8192</v>
      </c>
      <c r="G1480">
        <v>1822.87</v>
      </c>
      <c r="H1480" s="2">
        <f>Table1[[#This Row],[Profit]]/Table1[[#This Row],[Sales]]*100</f>
        <v>22.2518310546875</v>
      </c>
      <c r="I1480" t="str">
        <f>IF(Table1[[#This Row],[Profit %]]&gt;20,"Excellent",IF(H1480&gt;10.1,"Good","Low"))</f>
        <v>Excellent</v>
      </c>
    </row>
    <row r="1481" spans="1:9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 s="2">
        <v>1920</v>
      </c>
      <c r="G1481">
        <v>144.30000000000001</v>
      </c>
      <c r="H1481" s="2">
        <f>Table1[[#This Row],[Profit]]/Table1[[#This Row],[Sales]]*100</f>
        <v>7.5156250000000009</v>
      </c>
      <c r="I1481" t="str">
        <f>IF(Table1[[#This Row],[Profit %]]&gt;20,"Excellent",IF(H1481&gt;10.1,"Good","Low"))</f>
        <v>Low</v>
      </c>
    </row>
    <row r="1482" spans="1:9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 s="2">
        <v>8768</v>
      </c>
      <c r="G1482">
        <v>1065.8</v>
      </c>
      <c r="H1482" s="2">
        <f>Table1[[#This Row],[Profit]]/Table1[[#This Row],[Sales]]*100</f>
        <v>12.155565693430656</v>
      </c>
      <c r="I1482" t="str">
        <f>IF(Table1[[#This Row],[Profit %]]&gt;20,"Excellent",IF(H1482&gt;10.1,"Good","Low"))</f>
        <v>Good</v>
      </c>
    </row>
    <row r="1483" spans="1:9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 s="2">
        <v>1140</v>
      </c>
      <c r="G1483">
        <v>117.05</v>
      </c>
      <c r="H1483" s="2">
        <f>Table1[[#This Row],[Profit]]/Table1[[#This Row],[Sales]]*100</f>
        <v>10.267543859649123</v>
      </c>
      <c r="I1483" t="str">
        <f>IF(Table1[[#This Row],[Profit %]]&gt;20,"Excellent",IF(H1483&gt;10.1,"Good","Low"))</f>
        <v>Good</v>
      </c>
    </row>
    <row r="1484" spans="1:9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 s="2">
        <v>952</v>
      </c>
      <c r="G1484">
        <v>264.61</v>
      </c>
      <c r="H1484" s="2">
        <f>Table1[[#This Row],[Profit]]/Table1[[#This Row],[Sales]]*100</f>
        <v>27.795168067226893</v>
      </c>
      <c r="I1484" t="str">
        <f>IF(Table1[[#This Row],[Profit %]]&gt;20,"Excellent",IF(H1484&gt;10.1,"Good","Low"))</f>
        <v>Excellent</v>
      </c>
    </row>
    <row r="1485" spans="1:9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 s="2">
        <v>225</v>
      </c>
      <c r="G1485">
        <v>51.07</v>
      </c>
      <c r="H1485" s="2">
        <f>Table1[[#This Row],[Profit]]/Table1[[#This Row],[Sales]]*100</f>
        <v>22.697777777777777</v>
      </c>
      <c r="I1485" t="str">
        <f>IF(Table1[[#This Row],[Profit %]]&gt;20,"Excellent",IF(H1485&gt;10.1,"Good","Low"))</f>
        <v>Excellent</v>
      </c>
    </row>
    <row r="1486" spans="1:9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 s="2">
        <v>1304</v>
      </c>
      <c r="G1486">
        <v>336.95</v>
      </c>
      <c r="H1486" s="2">
        <f>Table1[[#This Row],[Profit]]/Table1[[#This Row],[Sales]]*100</f>
        <v>25.839723926380366</v>
      </c>
      <c r="I1486" t="str">
        <f>IF(Table1[[#This Row],[Profit %]]&gt;20,"Excellent",IF(H1486&gt;10.1,"Good","Low"))</f>
        <v>Excellent</v>
      </c>
    </row>
    <row r="1487" spans="1:9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 s="2">
        <v>1029</v>
      </c>
      <c r="G1487">
        <v>206.83</v>
      </c>
      <c r="H1487" s="2">
        <f>Table1[[#This Row],[Profit]]/Table1[[#This Row],[Sales]]*100</f>
        <v>20.100097181729836</v>
      </c>
      <c r="I1487" t="str">
        <f>IF(Table1[[#This Row],[Profit %]]&gt;20,"Excellent",IF(H1487&gt;10.1,"Good","Low"))</f>
        <v>Excellent</v>
      </c>
    </row>
    <row r="1488" spans="1:9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 s="2">
        <v>3402</v>
      </c>
      <c r="G1488">
        <v>442.67</v>
      </c>
      <c r="H1488" s="2">
        <f>Table1[[#This Row],[Profit]]/Table1[[#This Row],[Sales]]*100</f>
        <v>13.012051734273959</v>
      </c>
      <c r="I1488" t="str">
        <f>IF(Table1[[#This Row],[Profit %]]&gt;20,"Excellent",IF(H1488&gt;10.1,"Good","Low"))</f>
        <v>Good</v>
      </c>
    </row>
    <row r="1489" spans="1:9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 s="2">
        <v>8460</v>
      </c>
      <c r="G1489">
        <v>1201.94</v>
      </c>
      <c r="H1489" s="2">
        <f>Table1[[#This Row],[Profit]]/Table1[[#This Row],[Sales]]*100</f>
        <v>14.207328605200948</v>
      </c>
      <c r="I1489" t="str">
        <f>IF(Table1[[#This Row],[Profit %]]&gt;20,"Excellent",IF(H1489&gt;10.1,"Good","Low"))</f>
        <v>Good</v>
      </c>
    </row>
    <row r="1490" spans="1:9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 s="2">
        <v>104</v>
      </c>
      <c r="G1490">
        <v>26.86</v>
      </c>
      <c r="H1490" s="2">
        <f>Table1[[#This Row],[Profit]]/Table1[[#This Row],[Sales]]*100</f>
        <v>25.826923076923077</v>
      </c>
      <c r="I1490" t="str">
        <f>IF(Table1[[#This Row],[Profit %]]&gt;20,"Excellent",IF(H1490&gt;10.1,"Good","Low"))</f>
        <v>Excellent</v>
      </c>
    </row>
    <row r="1491" spans="1:9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 s="2">
        <v>10665</v>
      </c>
      <c r="G1491">
        <v>1595.08</v>
      </c>
      <c r="H1491" s="2">
        <f>Table1[[#This Row],[Profit]]/Table1[[#This Row],[Sales]]*100</f>
        <v>14.956211908110642</v>
      </c>
      <c r="I1491" t="str">
        <f>IF(Table1[[#This Row],[Profit %]]&gt;20,"Excellent",IF(H1491&gt;10.1,"Good","Low"))</f>
        <v>Good</v>
      </c>
    </row>
    <row r="1492" spans="1:9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 s="2">
        <v>984</v>
      </c>
      <c r="G1492">
        <v>183.07</v>
      </c>
      <c r="H1492" s="2">
        <f>Table1[[#This Row],[Profit]]/Table1[[#This Row],[Sales]]*100</f>
        <v>18.604674796747965</v>
      </c>
      <c r="I1492" t="str">
        <f>IF(Table1[[#This Row],[Profit %]]&gt;20,"Excellent",IF(H1492&gt;10.1,"Good","Low"))</f>
        <v>Good</v>
      </c>
    </row>
    <row r="1493" spans="1:9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 s="2">
        <v>2064</v>
      </c>
      <c r="G1493">
        <v>359.3</v>
      </c>
      <c r="H1493" s="2">
        <f>Table1[[#This Row],[Profit]]/Table1[[#This Row],[Sales]]*100</f>
        <v>17.407945736434108</v>
      </c>
      <c r="I1493" t="str">
        <f>IF(Table1[[#This Row],[Profit %]]&gt;20,"Excellent",IF(H1493&gt;10.1,"Good","Low"))</f>
        <v>Good</v>
      </c>
    </row>
    <row r="1494" spans="1:9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 s="2">
        <v>594</v>
      </c>
      <c r="G1494">
        <v>172.47</v>
      </c>
      <c r="H1494" s="2">
        <f>Table1[[#This Row],[Profit]]/Table1[[#This Row],[Sales]]*100</f>
        <v>29.035353535353536</v>
      </c>
      <c r="I1494" t="str">
        <f>IF(Table1[[#This Row],[Profit %]]&gt;20,"Excellent",IF(H1494&gt;10.1,"Good","Low"))</f>
        <v>Excellent</v>
      </c>
    </row>
    <row r="1495" spans="1:9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 s="2">
        <v>6016</v>
      </c>
      <c r="G1495">
        <v>898.33</v>
      </c>
      <c r="H1495" s="2">
        <f>Table1[[#This Row],[Profit]]/Table1[[#This Row],[Sales]]*100</f>
        <v>14.932347074468085</v>
      </c>
      <c r="I1495" t="str">
        <f>IF(Table1[[#This Row],[Profit %]]&gt;20,"Excellent",IF(H1495&gt;10.1,"Good","Low"))</f>
        <v>Good</v>
      </c>
    </row>
    <row r="1496" spans="1:9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 s="2">
        <v>2864</v>
      </c>
      <c r="G1496">
        <v>195.16</v>
      </c>
      <c r="H1496" s="2">
        <f>Table1[[#This Row],[Profit]]/Table1[[#This Row],[Sales]]*100</f>
        <v>6.8142458100558665</v>
      </c>
      <c r="I1496" t="str">
        <f>IF(Table1[[#This Row],[Profit %]]&gt;20,"Excellent",IF(H1496&gt;10.1,"Good","Low"))</f>
        <v>Low</v>
      </c>
    </row>
    <row r="1497" spans="1:9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 s="2">
        <v>724</v>
      </c>
      <c r="G1497">
        <v>186.95</v>
      </c>
      <c r="H1497" s="2">
        <f>Table1[[#This Row],[Profit]]/Table1[[#This Row],[Sales]]*100</f>
        <v>25.821823204419886</v>
      </c>
      <c r="I1497" t="str">
        <f>IF(Table1[[#This Row],[Profit %]]&gt;20,"Excellent",IF(H1497&gt;10.1,"Good","Low"))</f>
        <v>Excellent</v>
      </c>
    </row>
    <row r="1498" spans="1:9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 s="2">
        <v>4098</v>
      </c>
      <c r="G1498">
        <v>1174.46</v>
      </c>
      <c r="H1498" s="2">
        <f>Table1[[#This Row],[Profit]]/Table1[[#This Row],[Sales]]*100</f>
        <v>28.659346022449977</v>
      </c>
      <c r="I1498" t="str">
        <f>IF(Table1[[#This Row],[Profit %]]&gt;20,"Excellent",IF(H1498&gt;10.1,"Good","Low"))</f>
        <v>Excellent</v>
      </c>
    </row>
    <row r="1499" spans="1:9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 s="2">
        <v>338</v>
      </c>
      <c r="G1499">
        <v>32.61</v>
      </c>
      <c r="H1499" s="2">
        <f>Table1[[#This Row],[Profit]]/Table1[[#This Row],[Sales]]*100</f>
        <v>9.6479289940828394</v>
      </c>
      <c r="I1499" t="str">
        <f>IF(Table1[[#This Row],[Profit %]]&gt;20,"Excellent",IF(H1499&gt;10.1,"Good","Low"))</f>
        <v>Low</v>
      </c>
    </row>
    <row r="1500" spans="1:9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 s="2">
        <v>9280</v>
      </c>
      <c r="G1500">
        <v>1596.88</v>
      </c>
      <c r="H1500" s="2">
        <f>Table1[[#This Row],[Profit]]/Table1[[#This Row],[Sales]]*100</f>
        <v>17.207758620689656</v>
      </c>
      <c r="I1500" t="str">
        <f>IF(Table1[[#This Row],[Profit %]]&gt;20,"Excellent",IF(H1500&gt;10.1,"Good","Low"))</f>
        <v>Good</v>
      </c>
    </row>
    <row r="1501" spans="1:9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 s="2">
        <v>890</v>
      </c>
      <c r="G1501">
        <v>57.04</v>
      </c>
      <c r="H1501" s="2">
        <f>Table1[[#This Row],[Profit]]/Table1[[#This Row],[Sales]]*100</f>
        <v>6.4089887640449446</v>
      </c>
      <c r="I1501" t="str">
        <f>IF(Table1[[#This Row],[Profit %]]&gt;20,"Excellent",IF(H1501&gt;10.1,"Good","Low"))</f>
        <v>Low</v>
      </c>
    </row>
    <row r="1502" spans="1:9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 s="2">
        <v>1790</v>
      </c>
      <c r="G1502">
        <v>442.75</v>
      </c>
      <c r="H1502" s="2">
        <f>Table1[[#This Row],[Profit]]/Table1[[#This Row],[Sales]]*100</f>
        <v>24.734636871508382</v>
      </c>
      <c r="I1502" t="str">
        <f>IF(Table1[[#This Row],[Profit %]]&gt;20,"Excellent",IF(H1502&gt;10.1,"Good","Low"))</f>
        <v>Excellent</v>
      </c>
    </row>
    <row r="1503" spans="1:9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 s="2">
        <v>8523</v>
      </c>
      <c r="G1503">
        <v>978.97</v>
      </c>
      <c r="H1503" s="2">
        <f>Table1[[#This Row],[Profit]]/Table1[[#This Row],[Sales]]*100</f>
        <v>11.486213774492549</v>
      </c>
      <c r="I1503" t="str">
        <f>IF(Table1[[#This Row],[Profit %]]&gt;20,"Excellent",IF(H1503&gt;10.1,"Good","Low"))</f>
        <v>Good</v>
      </c>
    </row>
    <row r="1504" spans="1:9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 s="2">
        <v>7776</v>
      </c>
      <c r="G1504">
        <v>677.74</v>
      </c>
      <c r="H1504" s="2">
        <f>Table1[[#This Row],[Profit]]/Table1[[#This Row],[Sales]]*100</f>
        <v>8.7157921810699595</v>
      </c>
      <c r="I1504" t="str">
        <f>IF(Table1[[#This Row],[Profit %]]&gt;20,"Excellent",IF(H1504&gt;10.1,"Good","Low"))</f>
        <v>Low</v>
      </c>
    </row>
    <row r="1505" spans="1:9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 s="2">
        <v>3031</v>
      </c>
      <c r="G1505">
        <v>417.5</v>
      </c>
      <c r="H1505" s="2">
        <f>Table1[[#This Row],[Profit]]/Table1[[#This Row],[Sales]]*100</f>
        <v>13.774331903662157</v>
      </c>
      <c r="I1505" t="str">
        <f>IF(Table1[[#This Row],[Profit %]]&gt;20,"Excellent",IF(H1505&gt;10.1,"Good","Low"))</f>
        <v>Good</v>
      </c>
    </row>
    <row r="1506" spans="1:9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 s="2">
        <v>4698</v>
      </c>
      <c r="G1506">
        <v>1262.47</v>
      </c>
      <c r="H1506" s="2">
        <f>Table1[[#This Row],[Profit]]/Table1[[#This Row],[Sales]]*100</f>
        <v>26.872498935717324</v>
      </c>
      <c r="I1506" t="str">
        <f>IF(Table1[[#This Row],[Profit %]]&gt;20,"Excellent",IF(H1506&gt;10.1,"Good","Low"))</f>
        <v>Excellent</v>
      </c>
    </row>
    <row r="1507" spans="1:9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 s="2">
        <v>4851</v>
      </c>
      <c r="G1507">
        <v>1408.41</v>
      </c>
      <c r="H1507" s="2">
        <f>Table1[[#This Row],[Profit]]/Table1[[#This Row],[Sales]]*100</f>
        <v>29.03339517625232</v>
      </c>
      <c r="I1507" t="str">
        <f>IF(Table1[[#This Row],[Profit %]]&gt;20,"Excellent",IF(H1507&gt;10.1,"Good","Low"))</f>
        <v>Excellent</v>
      </c>
    </row>
    <row r="1508" spans="1:9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 s="2">
        <v>4542</v>
      </c>
      <c r="G1508">
        <v>1169.1600000000001</v>
      </c>
      <c r="H1508" s="2">
        <f>Table1[[#This Row],[Profit]]/Table1[[#This Row],[Sales]]*100</f>
        <v>25.741083223249671</v>
      </c>
      <c r="I1508" t="str">
        <f>IF(Table1[[#This Row],[Profit %]]&gt;20,"Excellent",IF(H1508&gt;10.1,"Good","Low"))</f>
        <v>Excellent</v>
      </c>
    </row>
    <row r="1509" spans="1:9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 s="2">
        <v>978</v>
      </c>
      <c r="G1509">
        <v>210.75</v>
      </c>
      <c r="H1509" s="2">
        <f>Table1[[#This Row],[Profit]]/Table1[[#This Row],[Sales]]*100</f>
        <v>21.549079754601227</v>
      </c>
      <c r="I1509" t="str">
        <f>IF(Table1[[#This Row],[Profit %]]&gt;20,"Excellent",IF(H1509&gt;10.1,"Good","Low"))</f>
        <v>Excellent</v>
      </c>
    </row>
    <row r="1510" spans="1:9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 s="2">
        <v>9378</v>
      </c>
      <c r="G1510">
        <v>1740.97</v>
      </c>
      <c r="H1510" s="2">
        <f>Table1[[#This Row],[Profit]]/Table1[[#This Row],[Sales]]*100</f>
        <v>18.564406056728515</v>
      </c>
      <c r="I1510" t="str">
        <f>IF(Table1[[#This Row],[Profit %]]&gt;20,"Excellent",IF(H1510&gt;10.1,"Good","Low"))</f>
        <v>Good</v>
      </c>
    </row>
    <row r="1511" spans="1:9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 s="2">
        <v>9464</v>
      </c>
      <c r="G1511">
        <v>2043.73</v>
      </c>
      <c r="H1511" s="2">
        <f>Table1[[#This Row],[Profit]]/Table1[[#This Row],[Sales]]*100</f>
        <v>21.594780219780223</v>
      </c>
      <c r="I1511" t="str">
        <f>IF(Table1[[#This Row],[Profit %]]&gt;20,"Excellent",IF(H1511&gt;10.1,"Good","Low"))</f>
        <v>Excellent</v>
      </c>
    </row>
    <row r="1512" spans="1:9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 s="2">
        <v>1720</v>
      </c>
      <c r="G1512">
        <v>401.26</v>
      </c>
      <c r="H1512" s="2">
        <f>Table1[[#This Row],[Profit]]/Table1[[#This Row],[Sales]]*100</f>
        <v>23.329069767441858</v>
      </c>
      <c r="I1512" t="str">
        <f>IF(Table1[[#This Row],[Profit %]]&gt;20,"Excellent",IF(H1512&gt;10.1,"Good","Low"))</f>
        <v>Excellent</v>
      </c>
    </row>
    <row r="1513" spans="1:9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 s="2">
        <v>4752</v>
      </c>
      <c r="G1513">
        <v>1124.22</v>
      </c>
      <c r="H1513" s="2">
        <f>Table1[[#This Row],[Profit]]/Table1[[#This Row],[Sales]]*100</f>
        <v>23.657828282828284</v>
      </c>
      <c r="I1513" t="str">
        <f>IF(Table1[[#This Row],[Profit %]]&gt;20,"Excellent",IF(H1513&gt;10.1,"Good","Low"))</f>
        <v>Excellent</v>
      </c>
    </row>
    <row r="1514" spans="1:9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 s="2">
        <v>584</v>
      </c>
      <c r="G1514">
        <v>127.28</v>
      </c>
      <c r="H1514" s="2">
        <f>Table1[[#This Row],[Profit]]/Table1[[#This Row],[Sales]]*100</f>
        <v>21.794520547945208</v>
      </c>
      <c r="I1514" t="str">
        <f>IF(Table1[[#This Row],[Profit %]]&gt;20,"Excellent",IF(H1514&gt;10.1,"Good","Low"))</f>
        <v>Excellent</v>
      </c>
    </row>
    <row r="1515" spans="1:9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 s="2">
        <v>4554</v>
      </c>
      <c r="G1515">
        <v>1031.0899999999999</v>
      </c>
      <c r="H1515" s="2">
        <f>Table1[[#This Row],[Profit]]/Table1[[#This Row],[Sales]]*100</f>
        <v>22.641414141414138</v>
      </c>
      <c r="I1515" t="str">
        <f>IF(Table1[[#This Row],[Profit %]]&gt;20,"Excellent",IF(H1515&gt;10.1,"Good","Low"))</f>
        <v>Excellent</v>
      </c>
    </row>
    <row r="1516" spans="1:9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 s="2">
        <v>2392</v>
      </c>
      <c r="G1516">
        <v>483.39</v>
      </c>
      <c r="H1516" s="2">
        <f>Table1[[#This Row],[Profit]]/Table1[[#This Row],[Sales]]*100</f>
        <v>20.208612040133779</v>
      </c>
      <c r="I1516" t="str">
        <f>IF(Table1[[#This Row],[Profit %]]&gt;20,"Excellent",IF(H1516&gt;10.1,"Good","Low"))</f>
        <v>Excellent</v>
      </c>
    </row>
    <row r="1517" spans="1:9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 s="2">
        <v>3962</v>
      </c>
      <c r="G1517">
        <v>916.13</v>
      </c>
      <c r="H1517" s="2">
        <f>Table1[[#This Row],[Profit]]/Table1[[#This Row],[Sales]]*100</f>
        <v>23.122917718324079</v>
      </c>
      <c r="I1517" t="str">
        <f>IF(Table1[[#This Row],[Profit %]]&gt;20,"Excellent",IF(H1517&gt;10.1,"Good","Low"))</f>
        <v>Excellent</v>
      </c>
    </row>
    <row r="1518" spans="1:9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 s="2">
        <v>1308</v>
      </c>
      <c r="G1518">
        <v>141.04</v>
      </c>
      <c r="H1518" s="2">
        <f>Table1[[#This Row],[Profit]]/Table1[[#This Row],[Sales]]*100</f>
        <v>10.782874617737003</v>
      </c>
      <c r="I1518" t="str">
        <f>IF(Table1[[#This Row],[Profit %]]&gt;20,"Excellent",IF(H1518&gt;10.1,"Good","Low"))</f>
        <v>Good</v>
      </c>
    </row>
    <row r="1519" spans="1:9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 s="2">
        <v>5912</v>
      </c>
      <c r="G1519">
        <v>1153.18</v>
      </c>
      <c r="H1519" s="2">
        <f>Table1[[#This Row],[Profit]]/Table1[[#This Row],[Sales]]*100</f>
        <v>19.505751014884982</v>
      </c>
      <c r="I1519" t="str">
        <f>IF(Table1[[#This Row],[Profit %]]&gt;20,"Excellent",IF(H1519&gt;10.1,"Good","Low"))</f>
        <v>Good</v>
      </c>
    </row>
    <row r="1520" spans="1:9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 s="2">
        <v>5831</v>
      </c>
      <c r="G1520">
        <v>1416.31</v>
      </c>
      <c r="H1520" s="2">
        <f>Table1[[#This Row],[Profit]]/Table1[[#This Row],[Sales]]*100</f>
        <v>24.289315726290514</v>
      </c>
      <c r="I1520" t="str">
        <f>IF(Table1[[#This Row],[Profit %]]&gt;20,"Excellent",IF(H1520&gt;10.1,"Good","Low"))</f>
        <v>Excellent</v>
      </c>
    </row>
    <row r="1521" spans="1:9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 s="2">
        <v>5572</v>
      </c>
      <c r="G1521">
        <v>690.68</v>
      </c>
      <c r="H1521" s="2">
        <f>Table1[[#This Row],[Profit]]/Table1[[#This Row],[Sales]]*100</f>
        <v>12.395549174443646</v>
      </c>
      <c r="I1521" t="str">
        <f>IF(Table1[[#This Row],[Profit %]]&gt;20,"Excellent",IF(H1521&gt;10.1,"Good","Low"))</f>
        <v>Good</v>
      </c>
    </row>
    <row r="1522" spans="1:9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 s="2">
        <v>5214</v>
      </c>
      <c r="G1522">
        <v>1093.04</v>
      </c>
      <c r="H1522" s="2">
        <f>Table1[[#This Row],[Profit]]/Table1[[#This Row],[Sales]]*100</f>
        <v>20.963559647103949</v>
      </c>
      <c r="I1522" t="str">
        <f>IF(Table1[[#This Row],[Profit %]]&gt;20,"Excellent",IF(H1522&gt;10.1,"Good","Low"))</f>
        <v>Excellent</v>
      </c>
    </row>
    <row r="1523" spans="1:9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 s="2">
        <v>6705</v>
      </c>
      <c r="G1523">
        <v>1283.78</v>
      </c>
      <c r="H1523" s="2">
        <f>Table1[[#This Row],[Profit]]/Table1[[#This Row],[Sales]]*100</f>
        <v>19.146607009694257</v>
      </c>
      <c r="I1523" t="str">
        <f>IF(Table1[[#This Row],[Profit %]]&gt;20,"Excellent",IF(H1523&gt;10.1,"Good","Low"))</f>
        <v>Good</v>
      </c>
    </row>
    <row r="1524" spans="1:9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 s="2">
        <v>426</v>
      </c>
      <c r="G1524">
        <v>93.83</v>
      </c>
      <c r="H1524" s="2">
        <f>Table1[[#This Row],[Profit]]/Table1[[#This Row],[Sales]]*100</f>
        <v>22.025821596244128</v>
      </c>
      <c r="I1524" t="str">
        <f>IF(Table1[[#This Row],[Profit %]]&gt;20,"Excellent",IF(H1524&gt;10.1,"Good","Low"))</f>
        <v>Excellent</v>
      </c>
    </row>
    <row r="1525" spans="1:9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 s="2">
        <v>2204</v>
      </c>
      <c r="G1525">
        <v>523.82000000000005</v>
      </c>
      <c r="H1525" s="2">
        <f>Table1[[#This Row],[Profit]]/Table1[[#This Row],[Sales]]*100</f>
        <v>23.76678765880218</v>
      </c>
      <c r="I1525" t="str">
        <f>IF(Table1[[#This Row],[Profit %]]&gt;20,"Excellent",IF(H1525&gt;10.1,"Good","Low"))</f>
        <v>Excellent</v>
      </c>
    </row>
    <row r="1526" spans="1:9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 s="2">
        <v>2652</v>
      </c>
      <c r="G1526">
        <v>161.66999999999999</v>
      </c>
      <c r="H1526" s="2">
        <f>Table1[[#This Row],[Profit]]/Table1[[#This Row],[Sales]]*100</f>
        <v>6.0961538461538458</v>
      </c>
      <c r="I1526" t="str">
        <f>IF(Table1[[#This Row],[Profit %]]&gt;20,"Excellent",IF(H1526&gt;10.1,"Good","Low"))</f>
        <v>Low</v>
      </c>
    </row>
    <row r="1527" spans="1:9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 s="2">
        <v>3132</v>
      </c>
      <c r="G1527">
        <v>919.52</v>
      </c>
      <c r="H1527" s="2">
        <f>Table1[[#This Row],[Profit]]/Table1[[#This Row],[Sales]]*100</f>
        <v>29.358876117496806</v>
      </c>
      <c r="I1527" t="str">
        <f>IF(Table1[[#This Row],[Profit %]]&gt;20,"Excellent",IF(H1527&gt;10.1,"Good","Low"))</f>
        <v>Excellent</v>
      </c>
    </row>
    <row r="1528" spans="1:9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 s="2">
        <v>1830</v>
      </c>
      <c r="G1528">
        <v>437.35</v>
      </c>
      <c r="H1528" s="2">
        <f>Table1[[#This Row],[Profit]]/Table1[[#This Row],[Sales]]*100</f>
        <v>23.898907103825138</v>
      </c>
      <c r="I1528" t="str">
        <f>IF(Table1[[#This Row],[Profit %]]&gt;20,"Excellent",IF(H1528&gt;10.1,"Good","Low"))</f>
        <v>Excellent</v>
      </c>
    </row>
    <row r="1529" spans="1:9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 s="2">
        <v>2763</v>
      </c>
      <c r="G1529">
        <v>676.25</v>
      </c>
      <c r="H1529" s="2">
        <f>Table1[[#This Row],[Profit]]/Table1[[#This Row],[Sales]]*100</f>
        <v>24.47520810712993</v>
      </c>
      <c r="I1529" t="str">
        <f>IF(Table1[[#This Row],[Profit %]]&gt;20,"Excellent",IF(H1529&gt;10.1,"Good","Low"))</f>
        <v>Excellent</v>
      </c>
    </row>
    <row r="1530" spans="1:9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 s="2">
        <v>9056</v>
      </c>
      <c r="G1530">
        <v>2281.9699999999998</v>
      </c>
      <c r="H1530" s="2">
        <f>Table1[[#This Row],[Profit]]/Table1[[#This Row],[Sales]]*100</f>
        <v>25.198431978798585</v>
      </c>
      <c r="I1530" t="str">
        <f>IF(Table1[[#This Row],[Profit %]]&gt;20,"Excellent",IF(H1530&gt;10.1,"Good","Low"))</f>
        <v>Excellent</v>
      </c>
    </row>
    <row r="1531" spans="1:9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 s="2">
        <v>5439</v>
      </c>
      <c r="G1531">
        <v>1416.62</v>
      </c>
      <c r="H1531" s="2">
        <f>Table1[[#This Row],[Profit]]/Table1[[#This Row],[Sales]]*100</f>
        <v>26.045596617025186</v>
      </c>
      <c r="I1531" t="str">
        <f>IF(Table1[[#This Row],[Profit %]]&gt;20,"Excellent",IF(H1531&gt;10.1,"Good","Low"))</f>
        <v>Excellent</v>
      </c>
    </row>
    <row r="1532" spans="1:9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 s="2">
        <v>828</v>
      </c>
      <c r="G1532">
        <v>47.91</v>
      </c>
      <c r="H1532" s="2">
        <f>Table1[[#This Row],[Profit]]/Table1[[#This Row],[Sales]]*100</f>
        <v>5.7862318840579707</v>
      </c>
      <c r="I1532" t="str">
        <f>IF(Table1[[#This Row],[Profit %]]&gt;20,"Excellent",IF(H1532&gt;10.1,"Good","Low"))</f>
        <v>Low</v>
      </c>
    </row>
    <row r="1533" spans="1:9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 s="2">
        <v>1910</v>
      </c>
      <c r="G1533">
        <v>463.07</v>
      </c>
      <c r="H1533" s="2">
        <f>Table1[[#This Row],[Profit]]/Table1[[#This Row],[Sales]]*100</f>
        <v>24.244502617801047</v>
      </c>
      <c r="I1533" t="str">
        <f>IF(Table1[[#This Row],[Profit %]]&gt;20,"Excellent",IF(H1533&gt;10.1,"Good","Low"))</f>
        <v>Excellent</v>
      </c>
    </row>
    <row r="1534" spans="1:9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 s="2">
        <v>1874</v>
      </c>
      <c r="G1534">
        <v>333.86</v>
      </c>
      <c r="H1534" s="2">
        <f>Table1[[#This Row],[Profit]]/Table1[[#This Row],[Sales]]*100</f>
        <v>17.815368196371399</v>
      </c>
      <c r="I1534" t="str">
        <f>IF(Table1[[#This Row],[Profit %]]&gt;20,"Excellent",IF(H1534&gt;10.1,"Good","Low"))</f>
        <v>Good</v>
      </c>
    </row>
    <row r="1535" spans="1:9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 s="2">
        <v>1032</v>
      </c>
      <c r="G1535">
        <v>291.41000000000003</v>
      </c>
      <c r="H1535" s="2">
        <f>Table1[[#This Row],[Profit]]/Table1[[#This Row],[Sales]]*100</f>
        <v>28.237403100775193</v>
      </c>
      <c r="I1535" t="str">
        <f>IF(Table1[[#This Row],[Profit %]]&gt;20,"Excellent",IF(H1535&gt;10.1,"Good","Low"))</f>
        <v>Excellent</v>
      </c>
    </row>
    <row r="1536" spans="1:9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 s="2">
        <v>3264</v>
      </c>
      <c r="G1536">
        <v>556.86</v>
      </c>
      <c r="H1536" s="2">
        <f>Table1[[#This Row],[Profit]]/Table1[[#This Row],[Sales]]*100</f>
        <v>17.060661764705884</v>
      </c>
      <c r="I1536" t="str">
        <f>IF(Table1[[#This Row],[Profit %]]&gt;20,"Excellent",IF(H1536&gt;10.1,"Good","Low"))</f>
        <v>Good</v>
      </c>
    </row>
    <row r="1537" spans="1:9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 s="2">
        <v>877</v>
      </c>
      <c r="G1537">
        <v>110.99</v>
      </c>
      <c r="H1537" s="2">
        <f>Table1[[#This Row],[Profit]]/Table1[[#This Row],[Sales]]*100</f>
        <v>12.65564424173318</v>
      </c>
      <c r="I1537" t="str">
        <f>IF(Table1[[#This Row],[Profit %]]&gt;20,"Excellent",IF(H1537&gt;10.1,"Good","Low"))</f>
        <v>Good</v>
      </c>
    </row>
    <row r="1538" spans="1:9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 s="2">
        <v>924</v>
      </c>
      <c r="G1538">
        <v>183.18</v>
      </c>
      <c r="H1538" s="2">
        <f>Table1[[#This Row],[Profit]]/Table1[[#This Row],[Sales]]*100</f>
        <v>19.824675324675326</v>
      </c>
      <c r="I1538" t="str">
        <f>IF(Table1[[#This Row],[Profit %]]&gt;20,"Excellent",IF(H1538&gt;10.1,"Good","Low"))</f>
        <v>Good</v>
      </c>
    </row>
    <row r="1539" spans="1:9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 s="2">
        <v>417</v>
      </c>
      <c r="G1539">
        <v>114.42</v>
      </c>
      <c r="H1539" s="2">
        <f>Table1[[#This Row],[Profit]]/Table1[[#This Row],[Sales]]*100</f>
        <v>27.438848920863311</v>
      </c>
      <c r="I1539" t="str">
        <f>IF(Table1[[#This Row],[Profit %]]&gt;20,"Excellent",IF(H1539&gt;10.1,"Good","Low"))</f>
        <v>Excellent</v>
      </c>
    </row>
    <row r="1540" spans="1:9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 s="2">
        <v>2670</v>
      </c>
      <c r="G1540">
        <v>155.88999999999999</v>
      </c>
      <c r="H1540" s="2">
        <f>Table1[[#This Row],[Profit]]/Table1[[#This Row],[Sales]]*100</f>
        <v>5.8385767790262166</v>
      </c>
      <c r="I1540" t="str">
        <f>IF(Table1[[#This Row],[Profit %]]&gt;20,"Excellent",IF(H1540&gt;10.1,"Good","Low"))</f>
        <v>Low</v>
      </c>
    </row>
    <row r="1541" spans="1:9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 s="2">
        <v>2716</v>
      </c>
      <c r="G1541">
        <v>512.09</v>
      </c>
      <c r="H1541" s="2">
        <f>Table1[[#This Row],[Profit]]/Table1[[#This Row],[Sales]]*100</f>
        <v>18.854565537555228</v>
      </c>
      <c r="I1541" t="str">
        <f>IF(Table1[[#This Row],[Profit %]]&gt;20,"Excellent",IF(H1541&gt;10.1,"Good","Low"))</f>
        <v>Good</v>
      </c>
    </row>
    <row r="1542" spans="1:9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 s="2">
        <v>10134</v>
      </c>
      <c r="G1542">
        <v>1334.37</v>
      </c>
      <c r="H1542" s="2">
        <f>Table1[[#This Row],[Profit]]/Table1[[#This Row],[Sales]]*100</f>
        <v>13.167258732978093</v>
      </c>
      <c r="I1542" t="str">
        <f>IF(Table1[[#This Row],[Profit %]]&gt;20,"Excellent",IF(H1542&gt;10.1,"Good","Low"))</f>
        <v>Good</v>
      </c>
    </row>
    <row r="1543" spans="1:9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 s="2">
        <v>5500</v>
      </c>
      <c r="G1543">
        <v>1230.98</v>
      </c>
      <c r="H1543" s="2">
        <f>Table1[[#This Row],[Profit]]/Table1[[#This Row],[Sales]]*100</f>
        <v>22.381454545454545</v>
      </c>
      <c r="I1543" t="str">
        <f>IF(Table1[[#This Row],[Profit %]]&gt;20,"Excellent",IF(H1543&gt;10.1,"Good","Low"))</f>
        <v>Excellent</v>
      </c>
    </row>
    <row r="1544" spans="1:9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 s="2">
        <v>6228</v>
      </c>
      <c r="G1544">
        <v>1756.82</v>
      </c>
      <c r="H1544" s="2">
        <f>Table1[[#This Row],[Profit]]/Table1[[#This Row],[Sales]]*100</f>
        <v>28.20841361592807</v>
      </c>
      <c r="I1544" t="str">
        <f>IF(Table1[[#This Row],[Profit %]]&gt;20,"Excellent",IF(H1544&gt;10.1,"Good","Low"))</f>
        <v>Excellent</v>
      </c>
    </row>
    <row r="1545" spans="1:9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 s="2">
        <v>1092</v>
      </c>
      <c r="G1545">
        <v>274.77</v>
      </c>
      <c r="H1545" s="2">
        <f>Table1[[#This Row],[Profit]]/Table1[[#This Row],[Sales]]*100</f>
        <v>25.162087912087909</v>
      </c>
      <c r="I1545" t="str">
        <f>IF(Table1[[#This Row],[Profit %]]&gt;20,"Excellent",IF(H1545&gt;10.1,"Good","Low"))</f>
        <v>Excellent</v>
      </c>
    </row>
    <row r="1546" spans="1:9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 s="2">
        <v>3255</v>
      </c>
      <c r="G1546">
        <v>332.54</v>
      </c>
      <c r="H1546" s="2">
        <f>Table1[[#This Row],[Profit]]/Table1[[#This Row],[Sales]]*100</f>
        <v>10.216282642089094</v>
      </c>
      <c r="I1546" t="str">
        <f>IF(Table1[[#This Row],[Profit %]]&gt;20,"Excellent",IF(H1546&gt;10.1,"Good","Low"))</f>
        <v>Good</v>
      </c>
    </row>
    <row r="1547" spans="1:9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 s="2">
        <v>5645</v>
      </c>
      <c r="G1547">
        <v>1320.86</v>
      </c>
      <c r="H1547" s="2">
        <f>Table1[[#This Row],[Profit]]/Table1[[#This Row],[Sales]]*100</f>
        <v>23.398759964570417</v>
      </c>
      <c r="I1547" t="str">
        <f>IF(Table1[[#This Row],[Profit %]]&gt;20,"Excellent",IF(H1547&gt;10.1,"Good","Low"))</f>
        <v>Excellent</v>
      </c>
    </row>
    <row r="1548" spans="1:9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 s="2">
        <v>7578</v>
      </c>
      <c r="G1548">
        <v>466.87</v>
      </c>
      <c r="H1548" s="2">
        <f>Table1[[#This Row],[Profit]]/Table1[[#This Row],[Sales]]*100</f>
        <v>6.1608603853259432</v>
      </c>
      <c r="I1548" t="str">
        <f>IF(Table1[[#This Row],[Profit %]]&gt;20,"Excellent",IF(H1548&gt;10.1,"Good","Low"))</f>
        <v>Low</v>
      </c>
    </row>
    <row r="1549" spans="1:9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 s="2">
        <v>6282</v>
      </c>
      <c r="G1549">
        <v>1594.61</v>
      </c>
      <c r="H1549" s="2">
        <f>Table1[[#This Row],[Profit]]/Table1[[#This Row],[Sales]]*100</f>
        <v>25.383794969754852</v>
      </c>
      <c r="I1549" t="str">
        <f>IF(Table1[[#This Row],[Profit %]]&gt;20,"Excellent",IF(H1549&gt;10.1,"Good","Low"))</f>
        <v>Excellent</v>
      </c>
    </row>
    <row r="1550" spans="1:9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 s="2">
        <v>2364</v>
      </c>
      <c r="G1550">
        <v>639.29</v>
      </c>
      <c r="H1550" s="2">
        <f>Table1[[#This Row],[Profit]]/Table1[[#This Row],[Sales]]*100</f>
        <v>27.042724196277497</v>
      </c>
      <c r="I1550" t="str">
        <f>IF(Table1[[#This Row],[Profit %]]&gt;20,"Excellent",IF(H1550&gt;10.1,"Good","Low"))</f>
        <v>Excellent</v>
      </c>
    </row>
    <row r="1551" spans="1:9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 s="2">
        <v>6880</v>
      </c>
      <c r="G1551">
        <v>1570.91</v>
      </c>
      <c r="H1551" s="2">
        <f>Table1[[#This Row],[Profit]]/Table1[[#This Row],[Sales]]*100</f>
        <v>22.832994186046513</v>
      </c>
      <c r="I1551" t="str">
        <f>IF(Table1[[#This Row],[Profit %]]&gt;20,"Excellent",IF(H1551&gt;10.1,"Good","Low"))</f>
        <v>Excellent</v>
      </c>
    </row>
    <row r="1552" spans="1:9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 s="2">
        <v>3288</v>
      </c>
      <c r="G1552">
        <v>249.02</v>
      </c>
      <c r="H1552" s="2">
        <f>Table1[[#This Row],[Profit]]/Table1[[#This Row],[Sales]]*100</f>
        <v>7.5736009732360099</v>
      </c>
      <c r="I1552" t="str">
        <f>IF(Table1[[#This Row],[Profit %]]&gt;20,"Excellent",IF(H1552&gt;10.1,"Good","Low"))</f>
        <v>Low</v>
      </c>
    </row>
    <row r="1553" spans="1:9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 s="2">
        <v>5292</v>
      </c>
      <c r="G1553">
        <v>659.58</v>
      </c>
      <c r="H1553" s="2">
        <f>Table1[[#This Row],[Profit]]/Table1[[#This Row],[Sales]]*100</f>
        <v>12.463718820861679</v>
      </c>
      <c r="I1553" t="str">
        <f>IF(Table1[[#This Row],[Profit %]]&gt;20,"Excellent",IF(H1553&gt;10.1,"Good","Low"))</f>
        <v>Good</v>
      </c>
    </row>
    <row r="1554" spans="1:9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 s="2">
        <v>3522</v>
      </c>
      <c r="G1554">
        <v>883.41</v>
      </c>
      <c r="H1554" s="2">
        <f>Table1[[#This Row],[Profit]]/Table1[[#This Row],[Sales]]*100</f>
        <v>25.082623509369679</v>
      </c>
      <c r="I1554" t="str">
        <f>IF(Table1[[#This Row],[Profit %]]&gt;20,"Excellent",IF(H1554&gt;10.1,"Good","Low"))</f>
        <v>Excellent</v>
      </c>
    </row>
    <row r="1555" spans="1:9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 s="2">
        <v>1518</v>
      </c>
      <c r="G1555">
        <v>87.6</v>
      </c>
      <c r="H1555" s="2">
        <f>Table1[[#This Row],[Profit]]/Table1[[#This Row],[Sales]]*100</f>
        <v>5.770750988142292</v>
      </c>
      <c r="I1555" t="str">
        <f>IF(Table1[[#This Row],[Profit %]]&gt;20,"Excellent",IF(H1555&gt;10.1,"Good","Low"))</f>
        <v>Low</v>
      </c>
    </row>
    <row r="1556" spans="1:9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 s="2">
        <v>2457</v>
      </c>
      <c r="G1556">
        <v>690.55</v>
      </c>
      <c r="H1556" s="2">
        <f>Table1[[#This Row],[Profit]]/Table1[[#This Row],[Sales]]*100</f>
        <v>28.105413105413103</v>
      </c>
      <c r="I1556" t="str">
        <f>IF(Table1[[#This Row],[Profit %]]&gt;20,"Excellent",IF(H1556&gt;10.1,"Good","Low"))</f>
        <v>Excellent</v>
      </c>
    </row>
    <row r="1557" spans="1:9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 s="2">
        <v>309</v>
      </c>
      <c r="G1557">
        <v>62.08</v>
      </c>
      <c r="H1557" s="2">
        <f>Table1[[#This Row],[Profit]]/Table1[[#This Row],[Sales]]*100</f>
        <v>20.090614886731391</v>
      </c>
      <c r="I1557" t="str">
        <f>IF(Table1[[#This Row],[Profit %]]&gt;20,"Excellent",IF(H1557&gt;10.1,"Good","Low"))</f>
        <v>Excellent</v>
      </c>
    </row>
    <row r="1558" spans="1:9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 s="2">
        <v>6192</v>
      </c>
      <c r="G1558">
        <v>717.46</v>
      </c>
      <c r="H1558" s="2">
        <f>Table1[[#This Row],[Profit]]/Table1[[#This Row],[Sales]]*100</f>
        <v>11.586886304909562</v>
      </c>
      <c r="I1558" t="str">
        <f>IF(Table1[[#This Row],[Profit %]]&gt;20,"Excellent",IF(H1558&gt;10.1,"Good","Low"))</f>
        <v>Good</v>
      </c>
    </row>
    <row r="1559" spans="1:9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 s="2">
        <v>4235</v>
      </c>
      <c r="G1559">
        <v>747.96</v>
      </c>
      <c r="H1559" s="2">
        <f>Table1[[#This Row],[Profit]]/Table1[[#This Row],[Sales]]*100</f>
        <v>17.661393152302242</v>
      </c>
      <c r="I1559" t="str">
        <f>IF(Table1[[#This Row],[Profit %]]&gt;20,"Excellent",IF(H1559&gt;10.1,"Good","Low"))</f>
        <v>Good</v>
      </c>
    </row>
    <row r="1560" spans="1:9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 s="2">
        <v>7128</v>
      </c>
      <c r="G1560">
        <v>457.11</v>
      </c>
      <c r="H1560" s="2">
        <f>Table1[[#This Row],[Profit]]/Table1[[#This Row],[Sales]]*100</f>
        <v>6.4128787878787881</v>
      </c>
      <c r="I1560" t="str">
        <f>IF(Table1[[#This Row],[Profit %]]&gt;20,"Excellent",IF(H1560&gt;10.1,"Good","Low"))</f>
        <v>Low</v>
      </c>
    </row>
    <row r="1561" spans="1:9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 s="2">
        <v>5660</v>
      </c>
      <c r="G1561">
        <v>641.69000000000005</v>
      </c>
      <c r="H1561" s="2">
        <f>Table1[[#This Row],[Profit]]/Table1[[#This Row],[Sales]]*100</f>
        <v>11.337279151943463</v>
      </c>
      <c r="I1561" t="str">
        <f>IF(Table1[[#This Row],[Profit %]]&gt;20,"Excellent",IF(H1561&gt;10.1,"Good","Low"))</f>
        <v>Good</v>
      </c>
    </row>
    <row r="1562" spans="1:9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 s="2">
        <v>787</v>
      </c>
      <c r="G1562">
        <v>120.38</v>
      </c>
      <c r="H1562" s="2">
        <f>Table1[[#This Row],[Profit]]/Table1[[#This Row],[Sales]]*100</f>
        <v>15.296060991105465</v>
      </c>
      <c r="I1562" t="str">
        <f>IF(Table1[[#This Row],[Profit %]]&gt;20,"Excellent",IF(H1562&gt;10.1,"Good","Low"))</f>
        <v>Good</v>
      </c>
    </row>
    <row r="1563" spans="1:9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 s="2">
        <v>375</v>
      </c>
      <c r="G1563">
        <v>107.26</v>
      </c>
      <c r="H1563" s="2">
        <f>Table1[[#This Row],[Profit]]/Table1[[#This Row],[Sales]]*100</f>
        <v>28.602666666666671</v>
      </c>
      <c r="I1563" t="str">
        <f>IF(Table1[[#This Row],[Profit %]]&gt;20,"Excellent",IF(H1563&gt;10.1,"Good","Low"))</f>
        <v>Excellent</v>
      </c>
    </row>
    <row r="1564" spans="1:9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 s="2">
        <v>296</v>
      </c>
      <c r="G1564">
        <v>44.79</v>
      </c>
      <c r="H1564" s="2">
        <f>Table1[[#This Row],[Profit]]/Table1[[#This Row],[Sales]]*100</f>
        <v>15.131756756756756</v>
      </c>
      <c r="I1564" t="str">
        <f>IF(Table1[[#This Row],[Profit %]]&gt;20,"Excellent",IF(H1564&gt;10.1,"Good","Low"))</f>
        <v>Good</v>
      </c>
    </row>
    <row r="1565" spans="1:9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 s="2">
        <v>6372</v>
      </c>
      <c r="G1565">
        <v>570.75</v>
      </c>
      <c r="H1565" s="2">
        <f>Table1[[#This Row],[Profit]]/Table1[[#This Row],[Sales]]*100</f>
        <v>8.9571563088512249</v>
      </c>
      <c r="I1565" t="str">
        <f>IF(Table1[[#This Row],[Profit %]]&gt;20,"Excellent",IF(H1565&gt;10.1,"Good","Low"))</f>
        <v>Low</v>
      </c>
    </row>
    <row r="1566" spans="1:9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 s="2">
        <v>2214</v>
      </c>
      <c r="G1566">
        <v>322.73</v>
      </c>
      <c r="H1566" s="2">
        <f>Table1[[#This Row],[Profit]]/Table1[[#This Row],[Sales]]*100</f>
        <v>14.576784101174345</v>
      </c>
      <c r="I1566" t="str">
        <f>IF(Table1[[#This Row],[Profit %]]&gt;20,"Excellent",IF(H1566&gt;10.1,"Good","Low"))</f>
        <v>Good</v>
      </c>
    </row>
    <row r="1567" spans="1:9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 s="2">
        <v>2640</v>
      </c>
      <c r="G1567">
        <v>734.44</v>
      </c>
      <c r="H1567" s="2">
        <f>Table1[[#This Row],[Profit]]/Table1[[#This Row],[Sales]]*100</f>
        <v>27.81969696969697</v>
      </c>
      <c r="I1567" t="str">
        <f>IF(Table1[[#This Row],[Profit %]]&gt;20,"Excellent",IF(H1567&gt;10.1,"Good","Low"))</f>
        <v>Excellent</v>
      </c>
    </row>
    <row r="1568" spans="1:9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 s="2">
        <v>2240</v>
      </c>
      <c r="G1568">
        <v>580.47</v>
      </c>
      <c r="H1568" s="2">
        <f>Table1[[#This Row],[Profit]]/Table1[[#This Row],[Sales]]*100</f>
        <v>25.913839285714285</v>
      </c>
      <c r="I1568" t="str">
        <f>IF(Table1[[#This Row],[Profit %]]&gt;20,"Excellent",IF(H1568&gt;10.1,"Good","Low"))</f>
        <v>Excellent</v>
      </c>
    </row>
    <row r="1569" spans="1:9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 s="2">
        <v>6258</v>
      </c>
      <c r="G1569">
        <v>1347.74</v>
      </c>
      <c r="H1569" s="2">
        <f>Table1[[#This Row],[Profit]]/Table1[[#This Row],[Sales]]*100</f>
        <v>21.536273569830616</v>
      </c>
      <c r="I1569" t="str">
        <f>IF(Table1[[#This Row],[Profit %]]&gt;20,"Excellent",IF(H1569&gt;10.1,"Good","Low"))</f>
        <v>Excellent</v>
      </c>
    </row>
    <row r="1570" spans="1:9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 s="2">
        <v>3816</v>
      </c>
      <c r="G1570">
        <v>574.57000000000005</v>
      </c>
      <c r="H1570" s="2">
        <f>Table1[[#This Row],[Profit]]/Table1[[#This Row],[Sales]]*100</f>
        <v>15.056865828092244</v>
      </c>
      <c r="I1570" t="str">
        <f>IF(Table1[[#This Row],[Profit %]]&gt;20,"Excellent",IF(H1570&gt;10.1,"Good","Low"))</f>
        <v>Good</v>
      </c>
    </row>
    <row r="1571" spans="1:9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 s="2">
        <v>390</v>
      </c>
      <c r="G1571">
        <v>115.48</v>
      </c>
      <c r="H1571" s="2">
        <f>Table1[[#This Row],[Profit]]/Table1[[#This Row],[Sales]]*100</f>
        <v>29.610256410256415</v>
      </c>
      <c r="I1571" t="str">
        <f>IF(Table1[[#This Row],[Profit %]]&gt;20,"Excellent",IF(H1571&gt;10.1,"Good","Low"))</f>
        <v>Excellent</v>
      </c>
    </row>
    <row r="1572" spans="1:9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 s="2">
        <v>630</v>
      </c>
      <c r="G1572">
        <v>83.28</v>
      </c>
      <c r="H1572" s="2">
        <f>Table1[[#This Row],[Profit]]/Table1[[#This Row],[Sales]]*100</f>
        <v>13.219047619047618</v>
      </c>
      <c r="I1572" t="str">
        <f>IF(Table1[[#This Row],[Profit %]]&gt;20,"Excellent",IF(H1572&gt;10.1,"Good","Low"))</f>
        <v>Good</v>
      </c>
    </row>
    <row r="1573" spans="1:9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 s="2">
        <v>3868</v>
      </c>
      <c r="G1573">
        <v>819.26</v>
      </c>
      <c r="H1573" s="2">
        <f>Table1[[#This Row],[Profit]]/Table1[[#This Row],[Sales]]*100</f>
        <v>21.180455015511892</v>
      </c>
      <c r="I1573" t="str">
        <f>IF(Table1[[#This Row],[Profit %]]&gt;20,"Excellent",IF(H1573&gt;10.1,"Good","Low"))</f>
        <v>Excellent</v>
      </c>
    </row>
    <row r="1574" spans="1:9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 s="2">
        <v>777</v>
      </c>
      <c r="G1574">
        <v>211.31</v>
      </c>
      <c r="H1574" s="2">
        <f>Table1[[#This Row],[Profit]]/Table1[[#This Row],[Sales]]*100</f>
        <v>27.195624195624195</v>
      </c>
      <c r="I1574" t="str">
        <f>IF(Table1[[#This Row],[Profit %]]&gt;20,"Excellent",IF(H1574&gt;10.1,"Good","Low"))</f>
        <v>Excellent</v>
      </c>
    </row>
    <row r="1575" spans="1:9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 s="2">
        <v>1347</v>
      </c>
      <c r="G1575">
        <v>196.59</v>
      </c>
      <c r="H1575" s="2">
        <f>Table1[[#This Row],[Profit]]/Table1[[#This Row],[Sales]]*100</f>
        <v>14.59465478841871</v>
      </c>
      <c r="I1575" t="str">
        <f>IF(Table1[[#This Row],[Profit %]]&gt;20,"Excellent",IF(H1575&gt;10.1,"Good","Low"))</f>
        <v>Good</v>
      </c>
    </row>
    <row r="1576" spans="1:9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 s="2">
        <v>7272</v>
      </c>
      <c r="G1576">
        <v>500.32</v>
      </c>
      <c r="H1576" s="2">
        <f>Table1[[#This Row],[Profit]]/Table1[[#This Row],[Sales]]*100</f>
        <v>6.8800880088008807</v>
      </c>
      <c r="I1576" t="str">
        <f>IF(Table1[[#This Row],[Profit %]]&gt;20,"Excellent",IF(H1576&gt;10.1,"Good","Low"))</f>
        <v>Low</v>
      </c>
    </row>
    <row r="1577" spans="1:9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 s="2">
        <v>5724</v>
      </c>
      <c r="G1577">
        <v>857.33</v>
      </c>
      <c r="H1577" s="2">
        <f>Table1[[#This Row],[Profit]]/Table1[[#This Row],[Sales]]*100</f>
        <v>14.977812718378757</v>
      </c>
      <c r="I1577" t="str">
        <f>IF(Table1[[#This Row],[Profit %]]&gt;20,"Excellent",IF(H1577&gt;10.1,"Good","Low"))</f>
        <v>Good</v>
      </c>
    </row>
    <row r="1578" spans="1:9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 s="2">
        <v>312</v>
      </c>
      <c r="G1578">
        <v>74.8</v>
      </c>
      <c r="H1578" s="2">
        <f>Table1[[#This Row],[Profit]]/Table1[[#This Row],[Sales]]*100</f>
        <v>23.974358974358971</v>
      </c>
      <c r="I1578" t="str">
        <f>IF(Table1[[#This Row],[Profit %]]&gt;20,"Excellent",IF(H1578&gt;10.1,"Good","Low"))</f>
        <v>Excellent</v>
      </c>
    </row>
    <row r="1579" spans="1:9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 s="2">
        <v>1947</v>
      </c>
      <c r="G1579">
        <v>239.63</v>
      </c>
      <c r="H1579" s="2">
        <f>Table1[[#This Row],[Profit]]/Table1[[#This Row],[Sales]]*100</f>
        <v>12.307652799178223</v>
      </c>
      <c r="I1579" t="str">
        <f>IF(Table1[[#This Row],[Profit %]]&gt;20,"Excellent",IF(H1579&gt;10.1,"Good","Low"))</f>
        <v>Good</v>
      </c>
    </row>
    <row r="1580" spans="1:9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 s="2">
        <v>1128</v>
      </c>
      <c r="G1580">
        <v>207.97</v>
      </c>
      <c r="H1580" s="2">
        <f>Table1[[#This Row],[Profit]]/Table1[[#This Row],[Sales]]*100</f>
        <v>18.437056737588652</v>
      </c>
      <c r="I1580" t="str">
        <f>IF(Table1[[#This Row],[Profit %]]&gt;20,"Excellent",IF(H1580&gt;10.1,"Good","Low"))</f>
        <v>Good</v>
      </c>
    </row>
    <row r="1581" spans="1:9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 s="2">
        <v>4158</v>
      </c>
      <c r="G1581">
        <v>672.32</v>
      </c>
      <c r="H1581" s="2">
        <f>Table1[[#This Row],[Profit]]/Table1[[#This Row],[Sales]]*100</f>
        <v>16.169312169312171</v>
      </c>
      <c r="I1581" t="str">
        <f>IF(Table1[[#This Row],[Profit %]]&gt;20,"Excellent",IF(H1581&gt;10.1,"Good","Low"))</f>
        <v>Good</v>
      </c>
    </row>
    <row r="1582" spans="1:9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 s="2">
        <v>2670</v>
      </c>
      <c r="G1582">
        <v>782.28</v>
      </c>
      <c r="H1582" s="2">
        <f>Table1[[#This Row],[Profit]]/Table1[[#This Row],[Sales]]*100</f>
        <v>29.298876404494379</v>
      </c>
      <c r="I1582" t="str">
        <f>IF(Table1[[#This Row],[Profit %]]&gt;20,"Excellent",IF(H1582&gt;10.1,"Good","Low"))</f>
        <v>Excellent</v>
      </c>
    </row>
    <row r="1583" spans="1:9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 s="2">
        <v>85</v>
      </c>
      <c r="G1583">
        <v>17.71</v>
      </c>
      <c r="H1583" s="2">
        <f>Table1[[#This Row],[Profit]]/Table1[[#This Row],[Sales]]*100</f>
        <v>20.835294117647059</v>
      </c>
      <c r="I1583" t="str">
        <f>IF(Table1[[#This Row],[Profit %]]&gt;20,"Excellent",IF(H1583&gt;10.1,"Good","Low"))</f>
        <v>Excellent</v>
      </c>
    </row>
    <row r="1584" spans="1:9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 s="2">
        <v>4136</v>
      </c>
      <c r="G1584">
        <v>1056.54</v>
      </c>
      <c r="H1584" s="2">
        <f>Table1[[#This Row],[Profit]]/Table1[[#This Row],[Sales]]*100</f>
        <v>25.544970986460346</v>
      </c>
      <c r="I1584" t="str">
        <f>IF(Table1[[#This Row],[Profit %]]&gt;20,"Excellent",IF(H1584&gt;10.1,"Good","Low"))</f>
        <v>Excellent</v>
      </c>
    </row>
    <row r="1585" spans="1:9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 s="2">
        <v>4332</v>
      </c>
      <c r="G1585">
        <v>348.61</v>
      </c>
      <c r="H1585" s="2">
        <f>Table1[[#This Row],[Profit]]/Table1[[#This Row],[Sales]]*100</f>
        <v>8.0473222530009245</v>
      </c>
      <c r="I1585" t="str">
        <f>IF(Table1[[#This Row],[Profit %]]&gt;20,"Excellent",IF(H1585&gt;10.1,"Good","Low"))</f>
        <v>Low</v>
      </c>
    </row>
    <row r="1586" spans="1:9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 s="2">
        <v>1600</v>
      </c>
      <c r="G1586">
        <v>305.3</v>
      </c>
      <c r="H1586" s="2">
        <f>Table1[[#This Row],[Profit]]/Table1[[#This Row],[Sales]]*100</f>
        <v>19.081250000000001</v>
      </c>
      <c r="I1586" t="str">
        <f>IF(Table1[[#This Row],[Profit %]]&gt;20,"Excellent",IF(H1586&gt;10.1,"Good","Low"))</f>
        <v>Good</v>
      </c>
    </row>
    <row r="1587" spans="1:9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 s="2">
        <v>5075</v>
      </c>
      <c r="G1587">
        <v>471.21</v>
      </c>
      <c r="H1587" s="2">
        <f>Table1[[#This Row],[Profit]]/Table1[[#This Row],[Sales]]*100</f>
        <v>9.2849261083743837</v>
      </c>
      <c r="I1587" t="str">
        <f>IF(Table1[[#This Row],[Profit %]]&gt;20,"Excellent",IF(H1587&gt;10.1,"Good","Low"))</f>
        <v>Low</v>
      </c>
    </row>
    <row r="1588" spans="1:9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 s="2">
        <v>4152</v>
      </c>
      <c r="G1588">
        <v>1065.46</v>
      </c>
      <c r="H1588" s="2">
        <f>Table1[[#This Row],[Profit]]/Table1[[#This Row],[Sales]]*100</f>
        <v>25.661368015414261</v>
      </c>
      <c r="I1588" t="str">
        <f>IF(Table1[[#This Row],[Profit %]]&gt;20,"Excellent",IF(H1588&gt;10.1,"Good","Low"))</f>
        <v>Excellent</v>
      </c>
    </row>
    <row r="1589" spans="1:9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 s="2">
        <v>5635</v>
      </c>
      <c r="G1589">
        <v>1665.01</v>
      </c>
      <c r="H1589" s="2">
        <f>Table1[[#This Row],[Profit]]/Table1[[#This Row],[Sales]]*100</f>
        <v>29.547648624667254</v>
      </c>
      <c r="I1589" t="str">
        <f>IF(Table1[[#This Row],[Profit %]]&gt;20,"Excellent",IF(H1589&gt;10.1,"Good","Low"))</f>
        <v>Excellent</v>
      </c>
    </row>
    <row r="1590" spans="1:9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 s="2">
        <v>3108</v>
      </c>
      <c r="G1590">
        <v>220.97</v>
      </c>
      <c r="H1590" s="2">
        <f>Table1[[#This Row],[Profit]]/Table1[[#This Row],[Sales]]*100</f>
        <v>7.1097168597168592</v>
      </c>
      <c r="I1590" t="str">
        <f>IF(Table1[[#This Row],[Profit %]]&gt;20,"Excellent",IF(H1590&gt;10.1,"Good","Low"))</f>
        <v>Low</v>
      </c>
    </row>
    <row r="1591" spans="1:9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 s="2">
        <v>4270</v>
      </c>
      <c r="G1591">
        <v>1197.44</v>
      </c>
      <c r="H1591" s="2">
        <f>Table1[[#This Row],[Profit]]/Table1[[#This Row],[Sales]]*100</f>
        <v>28.043091334894616</v>
      </c>
      <c r="I1591" t="str">
        <f>IF(Table1[[#This Row],[Profit %]]&gt;20,"Excellent",IF(H1591&gt;10.1,"Good","Low"))</f>
        <v>Excellent</v>
      </c>
    </row>
    <row r="1592" spans="1:9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 s="2">
        <v>1350</v>
      </c>
      <c r="G1592">
        <v>321.89999999999998</v>
      </c>
      <c r="H1592" s="2">
        <f>Table1[[#This Row],[Profit]]/Table1[[#This Row],[Sales]]*100</f>
        <v>23.844444444444441</v>
      </c>
      <c r="I1592" t="str">
        <f>IF(Table1[[#This Row],[Profit %]]&gt;20,"Excellent",IF(H1592&gt;10.1,"Good","Low"))</f>
        <v>Excellent</v>
      </c>
    </row>
    <row r="1593" spans="1:9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 s="2">
        <v>330</v>
      </c>
      <c r="G1593">
        <v>81.86</v>
      </c>
      <c r="H1593" s="2">
        <f>Table1[[#This Row],[Profit]]/Table1[[#This Row],[Sales]]*100</f>
        <v>24.806060606060605</v>
      </c>
      <c r="I1593" t="str">
        <f>IF(Table1[[#This Row],[Profit %]]&gt;20,"Excellent",IF(H1593&gt;10.1,"Good","Low"))</f>
        <v>Excellent</v>
      </c>
    </row>
    <row r="1594" spans="1:9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 s="2">
        <v>4260</v>
      </c>
      <c r="G1594">
        <v>504.82</v>
      </c>
      <c r="H1594" s="2">
        <f>Table1[[#This Row],[Profit]]/Table1[[#This Row],[Sales]]*100</f>
        <v>11.850234741784037</v>
      </c>
      <c r="I1594" t="str">
        <f>IF(Table1[[#This Row],[Profit %]]&gt;20,"Excellent",IF(H1594&gt;10.1,"Good","Low"))</f>
        <v>Good</v>
      </c>
    </row>
    <row r="1595" spans="1:9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 s="2">
        <v>2712</v>
      </c>
      <c r="G1595">
        <v>751.52</v>
      </c>
      <c r="H1595" s="2">
        <f>Table1[[#This Row],[Profit]]/Table1[[#This Row],[Sales]]*100</f>
        <v>27.710914454277287</v>
      </c>
      <c r="I1595" t="str">
        <f>IF(Table1[[#This Row],[Profit %]]&gt;20,"Excellent",IF(H1595&gt;10.1,"Good","Low"))</f>
        <v>Excellent</v>
      </c>
    </row>
    <row r="1596" spans="1:9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 s="2">
        <v>328</v>
      </c>
      <c r="G1596">
        <v>46.23</v>
      </c>
      <c r="H1596" s="2">
        <f>Table1[[#This Row],[Profit]]/Table1[[#This Row],[Sales]]*100</f>
        <v>14.094512195121951</v>
      </c>
      <c r="I1596" t="str">
        <f>IF(Table1[[#This Row],[Profit %]]&gt;20,"Excellent",IF(H1596&gt;10.1,"Good","Low"))</f>
        <v>Good</v>
      </c>
    </row>
    <row r="1597" spans="1:9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 s="2">
        <v>7776</v>
      </c>
      <c r="G1597">
        <v>498.6</v>
      </c>
      <c r="H1597" s="2">
        <f>Table1[[#This Row],[Profit]]/Table1[[#This Row],[Sales]]*100</f>
        <v>6.4120370370370372</v>
      </c>
      <c r="I1597" t="str">
        <f>IF(Table1[[#This Row],[Profit %]]&gt;20,"Excellent",IF(H1597&gt;10.1,"Good","Low"))</f>
        <v>Low</v>
      </c>
    </row>
    <row r="1598" spans="1:9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 s="2">
        <v>2896</v>
      </c>
      <c r="G1598">
        <v>522.82000000000005</v>
      </c>
      <c r="H1598" s="2">
        <f>Table1[[#This Row],[Profit]]/Table1[[#This Row],[Sales]]*100</f>
        <v>18.053176795580111</v>
      </c>
      <c r="I1598" t="str">
        <f>IF(Table1[[#This Row],[Profit %]]&gt;20,"Excellent",IF(H1598&gt;10.1,"Good","Low"))</f>
        <v>Good</v>
      </c>
    </row>
    <row r="1599" spans="1:9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 s="2">
        <v>1902</v>
      </c>
      <c r="G1599">
        <v>388.83</v>
      </c>
      <c r="H1599" s="2">
        <f>Table1[[#This Row],[Profit]]/Table1[[#This Row],[Sales]]*100</f>
        <v>20.443217665615141</v>
      </c>
      <c r="I1599" t="str">
        <f>IF(Table1[[#This Row],[Profit %]]&gt;20,"Excellent",IF(H1599&gt;10.1,"Good","Low"))</f>
        <v>Excellent</v>
      </c>
    </row>
    <row r="1600" spans="1:9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 s="2">
        <v>3255</v>
      </c>
      <c r="G1600">
        <v>814.85</v>
      </c>
      <c r="H1600" s="2">
        <f>Table1[[#This Row],[Profit]]/Table1[[#This Row],[Sales]]*100</f>
        <v>25.033794162826421</v>
      </c>
      <c r="I1600" t="str">
        <f>IF(Table1[[#This Row],[Profit %]]&gt;20,"Excellent",IF(H1600&gt;10.1,"Good","Low"))</f>
        <v>Excellent</v>
      </c>
    </row>
    <row r="1601" spans="1:9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 s="2">
        <v>633</v>
      </c>
      <c r="G1601">
        <v>162.4</v>
      </c>
      <c r="H1601" s="2">
        <f>Table1[[#This Row],[Profit]]/Table1[[#This Row],[Sales]]*100</f>
        <v>25.655608214849924</v>
      </c>
      <c r="I1601" t="str">
        <f>IF(Table1[[#This Row],[Profit %]]&gt;20,"Excellent",IF(H1601&gt;10.1,"Good","Low"))</f>
        <v>Excellent</v>
      </c>
    </row>
    <row r="1602" spans="1:9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 s="2">
        <v>6209</v>
      </c>
      <c r="G1602">
        <v>402.78</v>
      </c>
      <c r="H1602" s="2">
        <f>Table1[[#This Row],[Profit]]/Table1[[#This Row],[Sales]]*100</f>
        <v>6.4870349492671924</v>
      </c>
      <c r="I1602" t="str">
        <f>IF(Table1[[#This Row],[Profit %]]&gt;20,"Excellent",IF(H1602&gt;10.1,"Good","Low"))</f>
        <v>Low</v>
      </c>
    </row>
    <row r="1603" spans="1:9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 s="2">
        <v>4698</v>
      </c>
      <c r="G1603">
        <v>1167.9000000000001</v>
      </c>
      <c r="H1603" s="2">
        <f>Table1[[#This Row],[Profit]]/Table1[[#This Row],[Sales]]*100</f>
        <v>24.859514687100894</v>
      </c>
      <c r="I1603" t="str">
        <f>IF(Table1[[#This Row],[Profit %]]&gt;20,"Excellent",IF(H1603&gt;10.1,"Good","Low"))</f>
        <v>Excellent</v>
      </c>
    </row>
    <row r="1604" spans="1:9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 s="2">
        <v>7424</v>
      </c>
      <c r="G1604">
        <v>1878.07</v>
      </c>
      <c r="H1604" s="2">
        <f>Table1[[#This Row],[Profit]]/Table1[[#This Row],[Sales]]*100</f>
        <v>25.297279094827584</v>
      </c>
      <c r="I1604" t="str">
        <f>IF(Table1[[#This Row],[Profit %]]&gt;20,"Excellent",IF(H1604&gt;10.1,"Good","Low"))</f>
        <v>Excellent</v>
      </c>
    </row>
    <row r="1605" spans="1:9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 s="2">
        <v>498</v>
      </c>
      <c r="G1605">
        <v>58.3</v>
      </c>
      <c r="H1605" s="2">
        <f>Table1[[#This Row],[Profit]]/Table1[[#This Row],[Sales]]*100</f>
        <v>11.706827309236948</v>
      </c>
      <c r="I1605" t="str">
        <f>IF(Table1[[#This Row],[Profit %]]&gt;20,"Excellent",IF(H1605&gt;10.1,"Good","Low"))</f>
        <v>Good</v>
      </c>
    </row>
    <row r="1606" spans="1:9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 s="2">
        <v>111</v>
      </c>
      <c r="G1606">
        <v>27.91</v>
      </c>
      <c r="H1606" s="2">
        <f>Table1[[#This Row],[Profit]]/Table1[[#This Row],[Sales]]*100</f>
        <v>25.144144144144143</v>
      </c>
      <c r="I1606" t="str">
        <f>IF(Table1[[#This Row],[Profit %]]&gt;20,"Excellent",IF(H1606&gt;10.1,"Good","Low"))</f>
        <v>Excellent</v>
      </c>
    </row>
    <row r="1607" spans="1:9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 s="2">
        <v>7520</v>
      </c>
      <c r="G1607">
        <v>1201.4000000000001</v>
      </c>
      <c r="H1607" s="2">
        <f>Table1[[#This Row],[Profit]]/Table1[[#This Row],[Sales]]*100</f>
        <v>15.976063829787234</v>
      </c>
      <c r="I1607" t="str">
        <f>IF(Table1[[#This Row],[Profit %]]&gt;20,"Excellent",IF(H1607&gt;10.1,"Good","Low"))</f>
        <v>Good</v>
      </c>
    </row>
    <row r="1608" spans="1:9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 s="2">
        <v>182</v>
      </c>
      <c r="G1608">
        <v>30.97</v>
      </c>
      <c r="H1608" s="2">
        <f>Table1[[#This Row],[Profit]]/Table1[[#This Row],[Sales]]*100</f>
        <v>17.016483516483515</v>
      </c>
      <c r="I1608" t="str">
        <f>IF(Table1[[#This Row],[Profit %]]&gt;20,"Excellent",IF(H1608&gt;10.1,"Good","Low"))</f>
        <v>Good</v>
      </c>
    </row>
    <row r="1609" spans="1:9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 s="2">
        <v>5890</v>
      </c>
      <c r="G1609">
        <v>309</v>
      </c>
      <c r="H1609" s="2">
        <f>Table1[[#This Row],[Profit]]/Table1[[#This Row],[Sales]]*100</f>
        <v>5.2461799660441431</v>
      </c>
      <c r="I1609" t="str">
        <f>IF(Table1[[#This Row],[Profit %]]&gt;20,"Excellent",IF(H1609&gt;10.1,"Good","Low"))</f>
        <v>Low</v>
      </c>
    </row>
    <row r="1610" spans="1:9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 s="2">
        <v>3244</v>
      </c>
      <c r="G1610">
        <v>357.55</v>
      </c>
      <c r="H1610" s="2">
        <f>Table1[[#This Row],[Profit]]/Table1[[#This Row],[Sales]]*100</f>
        <v>11.021886559802713</v>
      </c>
      <c r="I1610" t="str">
        <f>IF(Table1[[#This Row],[Profit %]]&gt;20,"Excellent",IF(H1610&gt;10.1,"Good","Low"))</f>
        <v>Good</v>
      </c>
    </row>
    <row r="1611" spans="1:9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 s="2">
        <v>5229</v>
      </c>
      <c r="G1611">
        <v>1058.26</v>
      </c>
      <c r="H1611" s="2">
        <f>Table1[[#This Row],[Profit]]/Table1[[#This Row],[Sales]]*100</f>
        <v>20.238286479250334</v>
      </c>
      <c r="I1611" t="str">
        <f>IF(Table1[[#This Row],[Profit %]]&gt;20,"Excellent",IF(H1611&gt;10.1,"Good","Low"))</f>
        <v>Excellent</v>
      </c>
    </row>
    <row r="1612" spans="1:9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 s="2">
        <v>5202</v>
      </c>
      <c r="G1612">
        <v>1271.47</v>
      </c>
      <c r="H1612" s="2">
        <f>Table1[[#This Row],[Profit]]/Table1[[#This Row],[Sales]]*100</f>
        <v>24.441945405613229</v>
      </c>
      <c r="I1612" t="str">
        <f>IF(Table1[[#This Row],[Profit %]]&gt;20,"Excellent",IF(H1612&gt;10.1,"Good","Low"))</f>
        <v>Excellent</v>
      </c>
    </row>
    <row r="1613" spans="1:9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 s="2">
        <v>438</v>
      </c>
      <c r="G1613">
        <v>67.430000000000007</v>
      </c>
      <c r="H1613" s="2">
        <f>Table1[[#This Row],[Profit]]/Table1[[#This Row],[Sales]]*100</f>
        <v>15.394977168949772</v>
      </c>
      <c r="I1613" t="str">
        <f>IF(Table1[[#This Row],[Profit %]]&gt;20,"Excellent",IF(H1613&gt;10.1,"Good","Low"))</f>
        <v>Good</v>
      </c>
    </row>
    <row r="1614" spans="1:9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 s="2">
        <v>6900</v>
      </c>
      <c r="G1614">
        <v>1109.73</v>
      </c>
      <c r="H1614" s="2">
        <f>Table1[[#This Row],[Profit]]/Table1[[#This Row],[Sales]]*100</f>
        <v>16.083043478260869</v>
      </c>
      <c r="I1614" t="str">
        <f>IF(Table1[[#This Row],[Profit %]]&gt;20,"Excellent",IF(H1614&gt;10.1,"Good","Low"))</f>
        <v>Good</v>
      </c>
    </row>
    <row r="1615" spans="1:9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 s="2">
        <v>369</v>
      </c>
      <c r="G1615">
        <v>36.07</v>
      </c>
      <c r="H1615" s="2">
        <f>Table1[[#This Row],[Profit]]/Table1[[#This Row],[Sales]]*100</f>
        <v>9.7750677506775077</v>
      </c>
      <c r="I1615" t="str">
        <f>IF(Table1[[#This Row],[Profit %]]&gt;20,"Excellent",IF(H1615&gt;10.1,"Good","Low"))</f>
        <v>Low</v>
      </c>
    </row>
    <row r="1616" spans="1:9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 s="2">
        <v>4140</v>
      </c>
      <c r="G1616">
        <v>1229.8499999999999</v>
      </c>
      <c r="H1616" s="2">
        <f>Table1[[#This Row],[Profit]]/Table1[[#This Row],[Sales]]*100</f>
        <v>29.70652173913043</v>
      </c>
      <c r="I1616" t="str">
        <f>IF(Table1[[#This Row],[Profit %]]&gt;20,"Excellent",IF(H1616&gt;10.1,"Good","Low"))</f>
        <v>Excellent</v>
      </c>
    </row>
    <row r="1617" spans="1:9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 s="2">
        <v>1086</v>
      </c>
      <c r="G1617">
        <v>188.65</v>
      </c>
      <c r="H1617" s="2">
        <f>Table1[[#This Row],[Profit]]/Table1[[#This Row],[Sales]]*100</f>
        <v>17.371086556169431</v>
      </c>
      <c r="I1617" t="str">
        <f>IF(Table1[[#This Row],[Profit %]]&gt;20,"Excellent",IF(H1617&gt;10.1,"Good","Low"))</f>
        <v>Good</v>
      </c>
    </row>
    <row r="1618" spans="1:9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 s="2">
        <v>2134</v>
      </c>
      <c r="G1618">
        <v>269.52999999999997</v>
      </c>
      <c r="H1618" s="2">
        <f>Table1[[#This Row],[Profit]]/Table1[[#This Row],[Sales]]*100</f>
        <v>12.630271790065603</v>
      </c>
      <c r="I1618" t="str">
        <f>IF(Table1[[#This Row],[Profit %]]&gt;20,"Excellent",IF(H1618&gt;10.1,"Good","Low"))</f>
        <v>Good</v>
      </c>
    </row>
    <row r="1619" spans="1:9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 s="2">
        <v>5310</v>
      </c>
      <c r="G1619">
        <v>637.80999999999995</v>
      </c>
      <c r="H1619" s="2">
        <f>Table1[[#This Row],[Profit]]/Table1[[#This Row],[Sales]]*100</f>
        <v>12.011487758945385</v>
      </c>
      <c r="I1619" t="str">
        <f>IF(Table1[[#This Row],[Profit %]]&gt;20,"Excellent",IF(H1619&gt;10.1,"Good","Low"))</f>
        <v>Good</v>
      </c>
    </row>
    <row r="1620" spans="1:9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 s="2">
        <v>2748</v>
      </c>
      <c r="G1620">
        <v>682.8</v>
      </c>
      <c r="H1620" s="2">
        <f>Table1[[#This Row],[Profit]]/Table1[[#This Row],[Sales]]*100</f>
        <v>24.8471615720524</v>
      </c>
      <c r="I1620" t="str">
        <f>IF(Table1[[#This Row],[Profit %]]&gt;20,"Excellent",IF(H1620&gt;10.1,"Good","Low"))</f>
        <v>Excellent</v>
      </c>
    </row>
    <row r="1621" spans="1:9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 s="2">
        <v>3357</v>
      </c>
      <c r="G1621">
        <v>405.61</v>
      </c>
      <c r="H1621" s="2">
        <f>Table1[[#This Row],[Profit]]/Table1[[#This Row],[Sales]]*100</f>
        <v>12.082514149538278</v>
      </c>
      <c r="I1621" t="str">
        <f>IF(Table1[[#This Row],[Profit %]]&gt;20,"Excellent",IF(H1621&gt;10.1,"Good","Low"))</f>
        <v>Good</v>
      </c>
    </row>
    <row r="1622" spans="1:9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 s="2">
        <v>10206</v>
      </c>
      <c r="G1622">
        <v>592.77</v>
      </c>
      <c r="H1622" s="2">
        <f>Table1[[#This Row],[Profit]]/Table1[[#This Row],[Sales]]*100</f>
        <v>5.8080540858318628</v>
      </c>
      <c r="I1622" t="str">
        <f>IF(Table1[[#This Row],[Profit %]]&gt;20,"Excellent",IF(H1622&gt;10.1,"Good","Low"))</f>
        <v>Low</v>
      </c>
    </row>
    <row r="1623" spans="1:9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 s="2">
        <v>2970</v>
      </c>
      <c r="G1623">
        <v>425.9</v>
      </c>
      <c r="H1623" s="2">
        <f>Table1[[#This Row],[Profit]]/Table1[[#This Row],[Sales]]*100</f>
        <v>14.340067340067339</v>
      </c>
      <c r="I1623" t="str">
        <f>IF(Table1[[#This Row],[Profit %]]&gt;20,"Excellent",IF(H1623&gt;10.1,"Good","Low"))</f>
        <v>Good</v>
      </c>
    </row>
    <row r="1624" spans="1:9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 s="2">
        <v>1208</v>
      </c>
      <c r="G1624">
        <v>351.47</v>
      </c>
      <c r="H1624" s="2">
        <f>Table1[[#This Row],[Profit]]/Table1[[#This Row],[Sales]]*100</f>
        <v>29.095198675496693</v>
      </c>
      <c r="I1624" t="str">
        <f>IF(Table1[[#This Row],[Profit %]]&gt;20,"Excellent",IF(H1624&gt;10.1,"Good","Low"))</f>
        <v>Excellent</v>
      </c>
    </row>
    <row r="1625" spans="1:9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 s="2">
        <v>945</v>
      </c>
      <c r="G1625">
        <v>135.59</v>
      </c>
      <c r="H1625" s="2">
        <f>Table1[[#This Row],[Profit]]/Table1[[#This Row],[Sales]]*100</f>
        <v>14.348148148148148</v>
      </c>
      <c r="I1625" t="str">
        <f>IF(Table1[[#This Row],[Profit %]]&gt;20,"Excellent",IF(H1625&gt;10.1,"Good","Low"))</f>
        <v>Good</v>
      </c>
    </row>
    <row r="1626" spans="1:9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 s="2">
        <v>7040</v>
      </c>
      <c r="G1626">
        <v>996.02</v>
      </c>
      <c r="H1626" s="2">
        <f>Table1[[#This Row],[Profit]]/Table1[[#This Row],[Sales]]*100</f>
        <v>14.148011363636364</v>
      </c>
      <c r="I1626" t="str">
        <f>IF(Table1[[#This Row],[Profit %]]&gt;20,"Excellent",IF(H1626&gt;10.1,"Good","Low"))</f>
        <v>Good</v>
      </c>
    </row>
    <row r="1627" spans="1:9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 s="2">
        <v>3684</v>
      </c>
      <c r="G1627">
        <v>1009.1</v>
      </c>
      <c r="H1627" s="2">
        <f>Table1[[#This Row],[Profit]]/Table1[[#This Row],[Sales]]*100</f>
        <v>27.391422366992401</v>
      </c>
      <c r="I1627" t="str">
        <f>IF(Table1[[#This Row],[Profit %]]&gt;20,"Excellent",IF(H1627&gt;10.1,"Good","Low"))</f>
        <v>Excellent</v>
      </c>
    </row>
    <row r="1628" spans="1:9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 s="2">
        <v>1262</v>
      </c>
      <c r="G1628">
        <v>190.02</v>
      </c>
      <c r="H1628" s="2">
        <f>Table1[[#This Row],[Profit]]/Table1[[#This Row],[Sales]]*100</f>
        <v>15.05705229793978</v>
      </c>
      <c r="I1628" t="str">
        <f>IF(Table1[[#This Row],[Profit %]]&gt;20,"Excellent",IF(H1628&gt;10.1,"Good","Low"))</f>
        <v>Good</v>
      </c>
    </row>
    <row r="1629" spans="1:9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 s="2">
        <v>3504</v>
      </c>
      <c r="G1629">
        <v>807.65</v>
      </c>
      <c r="H1629" s="2">
        <f>Table1[[#This Row],[Profit]]/Table1[[#This Row],[Sales]]*100</f>
        <v>23.049372146118721</v>
      </c>
      <c r="I1629" t="str">
        <f>IF(Table1[[#This Row],[Profit %]]&gt;20,"Excellent",IF(H1629&gt;10.1,"Good","Low"))</f>
        <v>Excellent</v>
      </c>
    </row>
    <row r="1630" spans="1:9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 s="2">
        <v>4464</v>
      </c>
      <c r="G1630">
        <v>1122.3699999999999</v>
      </c>
      <c r="H1630" s="2">
        <f>Table1[[#This Row],[Profit]]/Table1[[#This Row],[Sales]]*100</f>
        <v>25.142697132616487</v>
      </c>
      <c r="I1630" t="str">
        <f>IF(Table1[[#This Row],[Profit %]]&gt;20,"Excellent",IF(H1630&gt;10.1,"Good","Low"))</f>
        <v>Excellent</v>
      </c>
    </row>
    <row r="1631" spans="1:9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 s="2">
        <v>1324</v>
      </c>
      <c r="G1631">
        <v>227.2</v>
      </c>
      <c r="H1631" s="2">
        <f>Table1[[#This Row],[Profit]]/Table1[[#This Row],[Sales]]*100</f>
        <v>17.160120845921451</v>
      </c>
      <c r="I1631" t="str">
        <f>IF(Table1[[#This Row],[Profit %]]&gt;20,"Excellent",IF(H1631&gt;10.1,"Good","Low"))</f>
        <v>Good</v>
      </c>
    </row>
    <row r="1632" spans="1:9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 s="2">
        <v>4140</v>
      </c>
      <c r="G1632">
        <v>451.27</v>
      </c>
      <c r="H1632" s="2">
        <f>Table1[[#This Row],[Profit]]/Table1[[#This Row],[Sales]]*100</f>
        <v>10.900241545893721</v>
      </c>
      <c r="I1632" t="str">
        <f>IF(Table1[[#This Row],[Profit %]]&gt;20,"Excellent",IF(H1632&gt;10.1,"Good","Low"))</f>
        <v>Good</v>
      </c>
    </row>
    <row r="1633" spans="1:9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 s="2">
        <v>2384</v>
      </c>
      <c r="G1633">
        <v>120.28</v>
      </c>
      <c r="H1633" s="2">
        <f>Table1[[#This Row],[Profit]]/Table1[[#This Row],[Sales]]*100</f>
        <v>5.0453020134228188</v>
      </c>
      <c r="I1633" t="str">
        <f>IF(Table1[[#This Row],[Profit %]]&gt;20,"Excellent",IF(H1633&gt;10.1,"Good","Low"))</f>
        <v>Low</v>
      </c>
    </row>
    <row r="1634" spans="1:9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 s="2">
        <v>4624</v>
      </c>
      <c r="G1634">
        <v>1313.36</v>
      </c>
      <c r="H1634" s="2">
        <f>Table1[[#This Row],[Profit]]/Table1[[#This Row],[Sales]]*100</f>
        <v>28.403114186851209</v>
      </c>
      <c r="I1634" t="str">
        <f>IF(Table1[[#This Row],[Profit %]]&gt;20,"Excellent",IF(H1634&gt;10.1,"Good","Low"))</f>
        <v>Excellent</v>
      </c>
    </row>
    <row r="1635" spans="1:9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 s="2">
        <v>4812</v>
      </c>
      <c r="G1635">
        <v>662.54</v>
      </c>
      <c r="H1635" s="2">
        <f>Table1[[#This Row],[Profit]]/Table1[[#This Row],[Sales]]*100</f>
        <v>13.768495428096426</v>
      </c>
      <c r="I1635" t="str">
        <f>IF(Table1[[#This Row],[Profit %]]&gt;20,"Excellent",IF(H1635&gt;10.1,"Good","Low"))</f>
        <v>Good</v>
      </c>
    </row>
    <row r="1636" spans="1:9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 s="2">
        <v>5640</v>
      </c>
      <c r="G1636">
        <v>856.44</v>
      </c>
      <c r="H1636" s="2">
        <f>Table1[[#This Row],[Profit]]/Table1[[#This Row],[Sales]]*100</f>
        <v>15.185106382978725</v>
      </c>
      <c r="I1636" t="str">
        <f>IF(Table1[[#This Row],[Profit %]]&gt;20,"Excellent",IF(H1636&gt;10.1,"Good","Low"))</f>
        <v>Good</v>
      </c>
    </row>
    <row r="1637" spans="1:9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 s="2">
        <v>1840</v>
      </c>
      <c r="G1637">
        <v>307.08999999999997</v>
      </c>
      <c r="H1637" s="2">
        <f>Table1[[#This Row],[Profit]]/Table1[[#This Row],[Sales]]*100</f>
        <v>16.689673913043475</v>
      </c>
      <c r="I1637" t="str">
        <f>IF(Table1[[#This Row],[Profit %]]&gt;20,"Excellent",IF(H1637&gt;10.1,"Good","Low"))</f>
        <v>Good</v>
      </c>
    </row>
    <row r="1638" spans="1:9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 s="2">
        <v>8071</v>
      </c>
      <c r="G1638">
        <v>435.51</v>
      </c>
      <c r="H1638" s="2">
        <f>Table1[[#This Row],[Profit]]/Table1[[#This Row],[Sales]]*100</f>
        <v>5.3959856275554454</v>
      </c>
      <c r="I1638" t="str">
        <f>IF(Table1[[#This Row],[Profit %]]&gt;20,"Excellent",IF(H1638&gt;10.1,"Good","Low"))</f>
        <v>Low</v>
      </c>
    </row>
    <row r="1639" spans="1:9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 s="2">
        <v>2400</v>
      </c>
      <c r="G1639">
        <v>297.07</v>
      </c>
      <c r="H1639" s="2">
        <f>Table1[[#This Row],[Profit]]/Table1[[#This Row],[Sales]]*100</f>
        <v>12.377916666666666</v>
      </c>
      <c r="I1639" t="str">
        <f>IF(Table1[[#This Row],[Profit %]]&gt;20,"Excellent",IF(H1639&gt;10.1,"Good","Low"))</f>
        <v>Good</v>
      </c>
    </row>
    <row r="1640" spans="1:9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 s="2">
        <v>3570</v>
      </c>
      <c r="G1640">
        <v>265.62</v>
      </c>
      <c r="H1640" s="2">
        <f>Table1[[#This Row],[Profit]]/Table1[[#This Row],[Sales]]*100</f>
        <v>7.4403361344537817</v>
      </c>
      <c r="I1640" t="str">
        <f>IF(Table1[[#This Row],[Profit %]]&gt;20,"Excellent",IF(H1640&gt;10.1,"Good","Low"))</f>
        <v>Low</v>
      </c>
    </row>
    <row r="1641" spans="1:9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 s="2">
        <v>1758</v>
      </c>
      <c r="G1641">
        <v>245.92</v>
      </c>
      <c r="H1641" s="2">
        <f>Table1[[#This Row],[Profit]]/Table1[[#This Row],[Sales]]*100</f>
        <v>13.988623435722412</v>
      </c>
      <c r="I1641" t="str">
        <f>IF(Table1[[#This Row],[Profit %]]&gt;20,"Excellent",IF(H1641&gt;10.1,"Good","Low"))</f>
        <v>Good</v>
      </c>
    </row>
    <row r="1642" spans="1:9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 s="2">
        <v>3072</v>
      </c>
      <c r="G1642">
        <v>394.2</v>
      </c>
      <c r="H1642" s="2">
        <f>Table1[[#This Row],[Profit]]/Table1[[#This Row],[Sales]]*100</f>
        <v>12.83203125</v>
      </c>
      <c r="I1642" t="str">
        <f>IF(Table1[[#This Row],[Profit %]]&gt;20,"Excellent",IF(H1642&gt;10.1,"Good","Low"))</f>
        <v>Good</v>
      </c>
    </row>
    <row r="1643" spans="1:9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 s="2">
        <v>2185</v>
      </c>
      <c r="G1643">
        <v>136.1</v>
      </c>
      <c r="H1643" s="2">
        <f>Table1[[#This Row],[Profit]]/Table1[[#This Row],[Sales]]*100</f>
        <v>6.2288329519450798</v>
      </c>
      <c r="I1643" t="str">
        <f>IF(Table1[[#This Row],[Profit %]]&gt;20,"Excellent",IF(H1643&gt;10.1,"Good","Low"))</f>
        <v>Low</v>
      </c>
    </row>
    <row r="1644" spans="1:9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 s="2">
        <v>7664</v>
      </c>
      <c r="G1644">
        <v>1251.6500000000001</v>
      </c>
      <c r="H1644" s="2">
        <f>Table1[[#This Row],[Profit]]/Table1[[#This Row],[Sales]]*100</f>
        <v>16.331550104384135</v>
      </c>
      <c r="I1644" t="str">
        <f>IF(Table1[[#This Row],[Profit %]]&gt;20,"Excellent",IF(H1644&gt;10.1,"Good","Low"))</f>
        <v>Good</v>
      </c>
    </row>
    <row r="1645" spans="1:9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 s="2">
        <v>1710</v>
      </c>
      <c r="G1645">
        <v>338.1</v>
      </c>
      <c r="H1645" s="2">
        <f>Table1[[#This Row],[Profit]]/Table1[[#This Row],[Sales]]*100</f>
        <v>19.771929824561404</v>
      </c>
      <c r="I1645" t="str">
        <f>IF(Table1[[#This Row],[Profit %]]&gt;20,"Excellent",IF(H1645&gt;10.1,"Good","Low"))</f>
        <v>Good</v>
      </c>
    </row>
    <row r="1646" spans="1:9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 s="2">
        <v>1878</v>
      </c>
      <c r="G1646">
        <v>386.28</v>
      </c>
      <c r="H1646" s="2">
        <f>Table1[[#This Row],[Profit]]/Table1[[#This Row],[Sales]]*100</f>
        <v>20.568690095846645</v>
      </c>
      <c r="I1646" t="str">
        <f>IF(Table1[[#This Row],[Profit %]]&gt;20,"Excellent",IF(H1646&gt;10.1,"Good","Low"))</f>
        <v>Excellent</v>
      </c>
    </row>
    <row r="1647" spans="1:9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 s="2">
        <v>569</v>
      </c>
      <c r="G1647">
        <v>141.33000000000001</v>
      </c>
      <c r="H1647" s="2">
        <f>Table1[[#This Row],[Profit]]/Table1[[#This Row],[Sales]]*100</f>
        <v>24.838312829525485</v>
      </c>
      <c r="I1647" t="str">
        <f>IF(Table1[[#This Row],[Profit %]]&gt;20,"Excellent",IF(H1647&gt;10.1,"Good","Low"))</f>
        <v>Excellent</v>
      </c>
    </row>
    <row r="1648" spans="1:9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 s="2">
        <v>1488</v>
      </c>
      <c r="G1648">
        <v>296.36</v>
      </c>
      <c r="H1648" s="2">
        <f>Table1[[#This Row],[Profit]]/Table1[[#This Row],[Sales]]*100</f>
        <v>19.916666666666668</v>
      </c>
      <c r="I1648" t="str">
        <f>IF(Table1[[#This Row],[Profit %]]&gt;20,"Excellent",IF(H1648&gt;10.1,"Good","Low"))</f>
        <v>Good</v>
      </c>
    </row>
    <row r="1649" spans="1:9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 s="2">
        <v>9918</v>
      </c>
      <c r="G1649">
        <v>1956.17</v>
      </c>
      <c r="H1649" s="2">
        <f>Table1[[#This Row],[Profit]]/Table1[[#This Row],[Sales]]*100</f>
        <v>19.723432143577334</v>
      </c>
      <c r="I1649" t="str">
        <f>IF(Table1[[#This Row],[Profit %]]&gt;20,"Excellent",IF(H1649&gt;10.1,"Good","Low"))</f>
        <v>Good</v>
      </c>
    </row>
    <row r="1650" spans="1:9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 s="2">
        <v>432</v>
      </c>
      <c r="G1650">
        <v>36.840000000000003</v>
      </c>
      <c r="H1650" s="2">
        <f>Table1[[#This Row],[Profit]]/Table1[[#This Row],[Sales]]*100</f>
        <v>8.5277777777777786</v>
      </c>
      <c r="I1650" t="str">
        <f>IF(Table1[[#This Row],[Profit %]]&gt;20,"Excellent",IF(H1650&gt;10.1,"Good","Low"))</f>
        <v>Low</v>
      </c>
    </row>
    <row r="1651" spans="1:9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 s="2">
        <v>9828</v>
      </c>
      <c r="G1651">
        <v>1300.68</v>
      </c>
      <c r="H1651" s="2">
        <f>Table1[[#This Row],[Profit]]/Table1[[#This Row],[Sales]]*100</f>
        <v>13.234432234432237</v>
      </c>
      <c r="I1651" t="str">
        <f>IF(Table1[[#This Row],[Profit %]]&gt;20,"Excellent",IF(H1651&gt;10.1,"Good","Low"))</f>
        <v>Good</v>
      </c>
    </row>
    <row r="1652" spans="1:9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 s="2">
        <v>3625</v>
      </c>
      <c r="G1652">
        <v>245.52</v>
      </c>
      <c r="H1652" s="2">
        <f>Table1[[#This Row],[Profit]]/Table1[[#This Row],[Sales]]*100</f>
        <v>6.7729655172413787</v>
      </c>
      <c r="I1652" t="str">
        <f>IF(Table1[[#This Row],[Profit %]]&gt;20,"Excellent",IF(H1652&gt;10.1,"Good","Low"))</f>
        <v>Low</v>
      </c>
    </row>
    <row r="1653" spans="1:9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 s="2">
        <v>2187</v>
      </c>
      <c r="G1653">
        <v>491.13</v>
      </c>
      <c r="H1653" s="2">
        <f>Table1[[#This Row],[Profit]]/Table1[[#This Row],[Sales]]*100</f>
        <v>22.456790123456791</v>
      </c>
      <c r="I1653" t="str">
        <f>IF(Table1[[#This Row],[Profit %]]&gt;20,"Excellent",IF(H1653&gt;10.1,"Good","Low"))</f>
        <v>Excellent</v>
      </c>
    </row>
    <row r="1654" spans="1:9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 s="2">
        <v>5105</v>
      </c>
      <c r="G1654">
        <v>1003.4</v>
      </c>
      <c r="H1654" s="2">
        <f>Table1[[#This Row],[Profit]]/Table1[[#This Row],[Sales]]*100</f>
        <v>19.655239960822723</v>
      </c>
      <c r="I1654" t="str">
        <f>IF(Table1[[#This Row],[Profit %]]&gt;20,"Excellent",IF(H1654&gt;10.1,"Good","Low"))</f>
        <v>Good</v>
      </c>
    </row>
    <row r="1655" spans="1:9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 s="2">
        <v>1392</v>
      </c>
      <c r="G1655">
        <v>345.78</v>
      </c>
      <c r="H1655" s="2">
        <f>Table1[[#This Row],[Profit]]/Table1[[#This Row],[Sales]]*100</f>
        <v>24.84051724137931</v>
      </c>
      <c r="I1655" t="str">
        <f>IF(Table1[[#This Row],[Profit %]]&gt;20,"Excellent",IF(H1655&gt;10.1,"Good","Low"))</f>
        <v>Excellent</v>
      </c>
    </row>
    <row r="1656" spans="1:9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 s="2">
        <v>744</v>
      </c>
      <c r="G1656">
        <v>110.81</v>
      </c>
      <c r="H1656" s="2">
        <f>Table1[[#This Row],[Profit]]/Table1[[#This Row],[Sales]]*100</f>
        <v>14.893817204301078</v>
      </c>
      <c r="I1656" t="str">
        <f>IF(Table1[[#This Row],[Profit %]]&gt;20,"Excellent",IF(H1656&gt;10.1,"Good","Low"))</f>
        <v>Good</v>
      </c>
    </row>
    <row r="1657" spans="1:9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 s="2">
        <v>1724</v>
      </c>
      <c r="G1657">
        <v>233.21</v>
      </c>
      <c r="H1657" s="2">
        <f>Table1[[#This Row],[Profit]]/Table1[[#This Row],[Sales]]*100</f>
        <v>13.527262180974478</v>
      </c>
      <c r="I1657" t="str">
        <f>IF(Table1[[#This Row],[Profit %]]&gt;20,"Excellent",IF(H1657&gt;10.1,"Good","Low"))</f>
        <v>Good</v>
      </c>
    </row>
    <row r="1658" spans="1:9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 s="2">
        <v>1940</v>
      </c>
      <c r="G1658">
        <v>423.17</v>
      </c>
      <c r="H1658" s="2">
        <f>Table1[[#This Row],[Profit]]/Table1[[#This Row],[Sales]]*100</f>
        <v>21.812886597938146</v>
      </c>
      <c r="I1658" t="str">
        <f>IF(Table1[[#This Row],[Profit %]]&gt;20,"Excellent",IF(H1658&gt;10.1,"Good","Low"))</f>
        <v>Excellent</v>
      </c>
    </row>
    <row r="1659" spans="1:9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 s="2">
        <v>356</v>
      </c>
      <c r="G1659">
        <v>59.15</v>
      </c>
      <c r="H1659" s="2">
        <f>Table1[[#This Row],[Profit]]/Table1[[#This Row],[Sales]]*100</f>
        <v>16.615168539325843</v>
      </c>
      <c r="I1659" t="str">
        <f>IF(Table1[[#This Row],[Profit %]]&gt;20,"Excellent",IF(H1659&gt;10.1,"Good","Low"))</f>
        <v>Good</v>
      </c>
    </row>
    <row r="1660" spans="1:9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 s="2">
        <v>1095</v>
      </c>
      <c r="G1660">
        <v>269.87</v>
      </c>
      <c r="H1660" s="2">
        <f>Table1[[#This Row],[Profit]]/Table1[[#This Row],[Sales]]*100</f>
        <v>24.645662100456622</v>
      </c>
      <c r="I1660" t="str">
        <f>IF(Table1[[#This Row],[Profit %]]&gt;20,"Excellent",IF(H1660&gt;10.1,"Good","Low"))</f>
        <v>Excellent</v>
      </c>
    </row>
    <row r="1661" spans="1:9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 s="2">
        <v>4064</v>
      </c>
      <c r="G1661">
        <v>543.9</v>
      </c>
      <c r="H1661" s="2">
        <f>Table1[[#This Row],[Profit]]/Table1[[#This Row],[Sales]]*100</f>
        <v>13.383366141732283</v>
      </c>
      <c r="I1661" t="str">
        <f>IF(Table1[[#This Row],[Profit %]]&gt;20,"Excellent",IF(H1661&gt;10.1,"Good","Low"))</f>
        <v>Good</v>
      </c>
    </row>
    <row r="1662" spans="1:9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 s="2">
        <v>5453</v>
      </c>
      <c r="G1662">
        <v>1592.37</v>
      </c>
      <c r="H1662" s="2">
        <f>Table1[[#This Row],[Profit]]/Table1[[#This Row],[Sales]]*100</f>
        <v>29.201723821749493</v>
      </c>
      <c r="I1662" t="str">
        <f>IF(Table1[[#This Row],[Profit %]]&gt;20,"Excellent",IF(H1662&gt;10.1,"Good","Low"))</f>
        <v>Excellent</v>
      </c>
    </row>
    <row r="1663" spans="1:9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 s="2">
        <v>7104</v>
      </c>
      <c r="G1663">
        <v>529.35</v>
      </c>
      <c r="H1663" s="2">
        <f>Table1[[#This Row],[Profit]]/Table1[[#This Row],[Sales]]*100</f>
        <v>7.4514358108108105</v>
      </c>
      <c r="I1663" t="str">
        <f>IF(Table1[[#This Row],[Profit %]]&gt;20,"Excellent",IF(H1663&gt;10.1,"Good","Low"))</f>
        <v>Low</v>
      </c>
    </row>
    <row r="1664" spans="1:9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 s="2">
        <v>2745</v>
      </c>
      <c r="G1664">
        <v>660.56</v>
      </c>
      <c r="H1664" s="2">
        <f>Table1[[#This Row],[Profit]]/Table1[[#This Row],[Sales]]*100</f>
        <v>24.064116575591985</v>
      </c>
      <c r="I1664" t="str">
        <f>IF(Table1[[#This Row],[Profit %]]&gt;20,"Excellent",IF(H1664&gt;10.1,"Good","Low"))</f>
        <v>Excellent</v>
      </c>
    </row>
    <row r="1665" spans="1:9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 s="2">
        <v>1030</v>
      </c>
      <c r="G1665">
        <v>64.81</v>
      </c>
      <c r="H1665" s="2">
        <f>Table1[[#This Row],[Profit]]/Table1[[#This Row],[Sales]]*100</f>
        <v>6.2922330097087382</v>
      </c>
      <c r="I1665" t="str">
        <f>IF(Table1[[#This Row],[Profit %]]&gt;20,"Excellent",IF(H1665&gt;10.1,"Good","Low"))</f>
        <v>Low</v>
      </c>
    </row>
    <row r="1666" spans="1:9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 s="2">
        <v>8973</v>
      </c>
      <c r="G1666">
        <v>471.86</v>
      </c>
      <c r="H1666" s="2">
        <f>Table1[[#This Row],[Profit]]/Table1[[#This Row],[Sales]]*100</f>
        <v>5.2586648835395069</v>
      </c>
      <c r="I1666" t="str">
        <f>IF(Table1[[#This Row],[Profit %]]&gt;20,"Excellent",IF(H1666&gt;10.1,"Good","Low"))</f>
        <v>Low</v>
      </c>
    </row>
    <row r="1667" spans="1:9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 s="2">
        <v>794</v>
      </c>
      <c r="G1667">
        <v>128.5</v>
      </c>
      <c r="H1667" s="2">
        <f>Table1[[#This Row],[Profit]]/Table1[[#This Row],[Sales]]*100</f>
        <v>16.183879093198993</v>
      </c>
      <c r="I1667" t="str">
        <f>IF(Table1[[#This Row],[Profit %]]&gt;20,"Excellent",IF(H1667&gt;10.1,"Good","Low"))</f>
        <v>Good</v>
      </c>
    </row>
    <row r="1668" spans="1:9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 s="2">
        <v>2142</v>
      </c>
      <c r="G1668">
        <v>476.19</v>
      </c>
      <c r="H1668" s="2">
        <f>Table1[[#This Row],[Profit]]/Table1[[#This Row],[Sales]]*100</f>
        <v>22.231092436974791</v>
      </c>
      <c r="I1668" t="str">
        <f>IF(Table1[[#This Row],[Profit %]]&gt;20,"Excellent",IF(H1668&gt;10.1,"Good","Low"))</f>
        <v>Excellent</v>
      </c>
    </row>
    <row r="1669" spans="1:9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 s="2">
        <v>414</v>
      </c>
      <c r="G1669">
        <v>51.1</v>
      </c>
      <c r="H1669" s="2">
        <f>Table1[[#This Row],[Profit]]/Table1[[#This Row],[Sales]]*100</f>
        <v>12.342995169082126</v>
      </c>
      <c r="I1669" t="str">
        <f>IF(Table1[[#This Row],[Profit %]]&gt;20,"Excellent",IF(H1669&gt;10.1,"Good","Low"))</f>
        <v>Good</v>
      </c>
    </row>
    <row r="1670" spans="1:9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 s="2">
        <v>1416</v>
      </c>
      <c r="G1670">
        <v>220.7</v>
      </c>
      <c r="H1670" s="2">
        <f>Table1[[#This Row],[Profit]]/Table1[[#This Row],[Sales]]*100</f>
        <v>15.586158192090394</v>
      </c>
      <c r="I1670" t="str">
        <f>IF(Table1[[#This Row],[Profit %]]&gt;20,"Excellent",IF(H1670&gt;10.1,"Good","Low"))</f>
        <v>Good</v>
      </c>
    </row>
    <row r="1671" spans="1:9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 s="2">
        <v>2103</v>
      </c>
      <c r="G1671">
        <v>541.35</v>
      </c>
      <c r="H1671" s="2">
        <f>Table1[[#This Row],[Profit]]/Table1[[#This Row],[Sales]]*100</f>
        <v>25.741797432239661</v>
      </c>
      <c r="I1671" t="str">
        <f>IF(Table1[[#This Row],[Profit %]]&gt;20,"Excellent",IF(H1671&gt;10.1,"Good","Low"))</f>
        <v>Excellent</v>
      </c>
    </row>
    <row r="1672" spans="1:9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 s="2">
        <v>861</v>
      </c>
      <c r="G1672">
        <v>173.49</v>
      </c>
      <c r="H1672" s="2">
        <f>Table1[[#This Row],[Profit]]/Table1[[#This Row],[Sales]]*100</f>
        <v>20.149825783972126</v>
      </c>
      <c r="I1672" t="str">
        <f>IF(Table1[[#This Row],[Profit %]]&gt;20,"Excellent",IF(H1672&gt;10.1,"Good","Low"))</f>
        <v>Excellent</v>
      </c>
    </row>
    <row r="1673" spans="1:9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 s="2">
        <v>2367</v>
      </c>
      <c r="G1673">
        <v>222.26</v>
      </c>
      <c r="H1673" s="2">
        <f>Table1[[#This Row],[Profit]]/Table1[[#This Row],[Sales]]*100</f>
        <v>9.3899450781580054</v>
      </c>
      <c r="I1673" t="str">
        <f>IF(Table1[[#This Row],[Profit %]]&gt;20,"Excellent",IF(H1673&gt;10.1,"Good","Low"))</f>
        <v>Low</v>
      </c>
    </row>
    <row r="1674" spans="1:9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 s="2">
        <v>2435</v>
      </c>
      <c r="G1674">
        <v>688.82</v>
      </c>
      <c r="H1674" s="2">
        <f>Table1[[#This Row],[Profit]]/Table1[[#This Row],[Sales]]*100</f>
        <v>28.288295687885011</v>
      </c>
      <c r="I1674" t="str">
        <f>IF(Table1[[#This Row],[Profit %]]&gt;20,"Excellent",IF(H1674&gt;10.1,"Good","Low"))</f>
        <v>Excellent</v>
      </c>
    </row>
    <row r="1675" spans="1:9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 s="2">
        <v>2456</v>
      </c>
      <c r="G1675">
        <v>163.61000000000001</v>
      </c>
      <c r="H1675" s="2">
        <f>Table1[[#This Row],[Profit]]/Table1[[#This Row],[Sales]]*100</f>
        <v>6.6616449511400653</v>
      </c>
      <c r="I1675" t="str">
        <f>IF(Table1[[#This Row],[Profit %]]&gt;20,"Excellent",IF(H1675&gt;10.1,"Good","Low"))</f>
        <v>Low</v>
      </c>
    </row>
    <row r="1676" spans="1:9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 s="2">
        <v>3216</v>
      </c>
      <c r="G1676">
        <v>962.49</v>
      </c>
      <c r="H1676" s="2">
        <f>Table1[[#This Row],[Profit]]/Table1[[#This Row],[Sales]]*100</f>
        <v>29.928171641791046</v>
      </c>
      <c r="I1676" t="str">
        <f>IF(Table1[[#This Row],[Profit %]]&gt;20,"Excellent",IF(H1676&gt;10.1,"Good","Low"))</f>
        <v>Excellent</v>
      </c>
    </row>
    <row r="1677" spans="1:9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 s="2">
        <v>4324</v>
      </c>
      <c r="G1677">
        <v>833.11</v>
      </c>
      <c r="H1677" s="2">
        <f>Table1[[#This Row],[Profit]]/Table1[[#This Row],[Sales]]*100</f>
        <v>19.267113783533766</v>
      </c>
      <c r="I1677" t="str">
        <f>IF(Table1[[#This Row],[Profit %]]&gt;20,"Excellent",IF(H1677&gt;10.1,"Good","Low"))</f>
        <v>Good</v>
      </c>
    </row>
    <row r="1678" spans="1:9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 s="2">
        <v>2628</v>
      </c>
      <c r="G1678">
        <v>727.87</v>
      </c>
      <c r="H1678" s="2">
        <f>Table1[[#This Row],[Profit]]/Table1[[#This Row],[Sales]]*100</f>
        <v>27.696727549467276</v>
      </c>
      <c r="I1678" t="str">
        <f>IF(Table1[[#This Row],[Profit %]]&gt;20,"Excellent",IF(H1678&gt;10.1,"Good","Low"))</f>
        <v>Excellent</v>
      </c>
    </row>
    <row r="1679" spans="1:9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 s="2">
        <v>8992</v>
      </c>
      <c r="G1679">
        <v>2018.64</v>
      </c>
      <c r="H1679" s="2">
        <f>Table1[[#This Row],[Profit]]/Table1[[#This Row],[Sales]]*100</f>
        <v>22.44928825622776</v>
      </c>
      <c r="I1679" t="str">
        <f>IF(Table1[[#This Row],[Profit %]]&gt;20,"Excellent",IF(H1679&gt;10.1,"Good","Low"))</f>
        <v>Excellent</v>
      </c>
    </row>
    <row r="1680" spans="1:9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 s="2">
        <v>360</v>
      </c>
      <c r="G1680">
        <v>22.16</v>
      </c>
      <c r="H1680" s="2">
        <f>Table1[[#This Row],[Profit]]/Table1[[#This Row],[Sales]]*100</f>
        <v>6.1555555555555559</v>
      </c>
      <c r="I1680" t="str">
        <f>IF(Table1[[#This Row],[Profit %]]&gt;20,"Excellent",IF(H1680&gt;10.1,"Good","Low"))</f>
        <v>Low</v>
      </c>
    </row>
    <row r="1681" spans="1:9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 s="2">
        <v>2067</v>
      </c>
      <c r="G1681">
        <v>479.39</v>
      </c>
      <c r="H1681" s="2">
        <f>Table1[[#This Row],[Profit]]/Table1[[#This Row],[Sales]]*100</f>
        <v>23.192549588776004</v>
      </c>
      <c r="I1681" t="str">
        <f>IF(Table1[[#This Row],[Profit %]]&gt;20,"Excellent",IF(H1681&gt;10.1,"Good","Low"))</f>
        <v>Excellent</v>
      </c>
    </row>
    <row r="1682" spans="1:9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 s="2">
        <v>3573</v>
      </c>
      <c r="G1682">
        <v>550.44000000000005</v>
      </c>
      <c r="H1682" s="2">
        <f>Table1[[#This Row],[Profit]]/Table1[[#This Row],[Sales]]*100</f>
        <v>15.405541561712848</v>
      </c>
      <c r="I1682" t="str">
        <f>IF(Table1[[#This Row],[Profit %]]&gt;20,"Excellent",IF(H1682&gt;10.1,"Good","Low"))</f>
        <v>Good</v>
      </c>
    </row>
    <row r="1683" spans="1:9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 s="2">
        <v>1800</v>
      </c>
      <c r="G1683">
        <v>142.86000000000001</v>
      </c>
      <c r="H1683" s="2">
        <f>Table1[[#This Row],[Profit]]/Table1[[#This Row],[Sales]]*100</f>
        <v>7.9366666666666665</v>
      </c>
      <c r="I1683" t="str">
        <f>IF(Table1[[#This Row],[Profit %]]&gt;20,"Excellent",IF(H1683&gt;10.1,"Good","Low"))</f>
        <v>Low</v>
      </c>
    </row>
    <row r="1684" spans="1:9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 s="2">
        <v>3912</v>
      </c>
      <c r="G1684">
        <v>334.1</v>
      </c>
      <c r="H1684" s="2">
        <f>Table1[[#This Row],[Profit]]/Table1[[#This Row],[Sales]]*100</f>
        <v>8.5403885480572601</v>
      </c>
      <c r="I1684" t="str">
        <f>IF(Table1[[#This Row],[Profit %]]&gt;20,"Excellent",IF(H1684&gt;10.1,"Good","Low"))</f>
        <v>Low</v>
      </c>
    </row>
    <row r="1685" spans="1:9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 s="2">
        <v>5640</v>
      </c>
      <c r="G1685">
        <v>747.26</v>
      </c>
      <c r="H1685" s="2">
        <f>Table1[[#This Row],[Profit]]/Table1[[#This Row],[Sales]]*100</f>
        <v>13.249290780141843</v>
      </c>
      <c r="I1685" t="str">
        <f>IF(Table1[[#This Row],[Profit %]]&gt;20,"Excellent",IF(H1685&gt;10.1,"Good","Low"))</f>
        <v>Good</v>
      </c>
    </row>
    <row r="1686" spans="1:9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 s="2">
        <v>552</v>
      </c>
      <c r="G1686">
        <v>115.74</v>
      </c>
      <c r="H1686" s="2">
        <f>Table1[[#This Row],[Profit]]/Table1[[#This Row],[Sales]]*100</f>
        <v>20.967391304347824</v>
      </c>
      <c r="I1686" t="str">
        <f>IF(Table1[[#This Row],[Profit %]]&gt;20,"Excellent",IF(H1686&gt;10.1,"Good","Low"))</f>
        <v>Excellent</v>
      </c>
    </row>
    <row r="1687" spans="1:9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 s="2">
        <v>1428</v>
      </c>
      <c r="G1687">
        <v>289.64999999999998</v>
      </c>
      <c r="H1687" s="2">
        <f>Table1[[#This Row],[Profit]]/Table1[[#This Row],[Sales]]*100</f>
        <v>20.283613445378148</v>
      </c>
      <c r="I1687" t="str">
        <f>IF(Table1[[#This Row],[Profit %]]&gt;20,"Excellent",IF(H1687&gt;10.1,"Good","Low"))</f>
        <v>Excellent</v>
      </c>
    </row>
    <row r="1688" spans="1:9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 s="2">
        <v>349</v>
      </c>
      <c r="G1688">
        <v>42.05</v>
      </c>
      <c r="H1688" s="2">
        <f>Table1[[#This Row],[Profit]]/Table1[[#This Row],[Sales]]*100</f>
        <v>12.048710601719197</v>
      </c>
      <c r="I1688" t="str">
        <f>IF(Table1[[#This Row],[Profit %]]&gt;20,"Excellent",IF(H1688&gt;10.1,"Good","Low"))</f>
        <v>Good</v>
      </c>
    </row>
    <row r="1689" spans="1:9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 s="2">
        <v>6402</v>
      </c>
      <c r="G1689">
        <v>1366.28</v>
      </c>
      <c r="H1689" s="2">
        <f>Table1[[#This Row],[Profit]]/Table1[[#This Row],[Sales]]*100</f>
        <v>21.341455795064043</v>
      </c>
      <c r="I1689" t="str">
        <f>IF(Table1[[#This Row],[Profit %]]&gt;20,"Excellent",IF(H1689&gt;10.1,"Good","Low"))</f>
        <v>Excellent</v>
      </c>
    </row>
    <row r="1690" spans="1:9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 s="2">
        <v>657</v>
      </c>
      <c r="G1690">
        <v>185.95</v>
      </c>
      <c r="H1690" s="2">
        <f>Table1[[#This Row],[Profit]]/Table1[[#This Row],[Sales]]*100</f>
        <v>28.302891933028917</v>
      </c>
      <c r="I1690" t="str">
        <f>IF(Table1[[#This Row],[Profit %]]&gt;20,"Excellent",IF(H1690&gt;10.1,"Good","Low"))</f>
        <v>Excellent</v>
      </c>
    </row>
    <row r="1691" spans="1:9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 s="2">
        <v>5327</v>
      </c>
      <c r="G1691">
        <v>950.7</v>
      </c>
      <c r="H1691" s="2">
        <f>Table1[[#This Row],[Profit]]/Table1[[#This Row],[Sales]]*100</f>
        <v>17.846818096489585</v>
      </c>
      <c r="I1691" t="str">
        <f>IF(Table1[[#This Row],[Profit %]]&gt;20,"Excellent",IF(H1691&gt;10.1,"Good","Low"))</f>
        <v>Good</v>
      </c>
    </row>
    <row r="1692" spans="1:9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 s="2">
        <v>4196</v>
      </c>
      <c r="G1692">
        <v>1152.45</v>
      </c>
      <c r="H1692" s="2">
        <f>Table1[[#This Row],[Profit]]/Table1[[#This Row],[Sales]]*100</f>
        <v>27.465443279313632</v>
      </c>
      <c r="I1692" t="str">
        <f>IF(Table1[[#This Row],[Profit %]]&gt;20,"Excellent",IF(H1692&gt;10.1,"Good","Low"))</f>
        <v>Excellent</v>
      </c>
    </row>
    <row r="1693" spans="1:9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 s="2">
        <v>2892</v>
      </c>
      <c r="G1693">
        <v>863.47</v>
      </c>
      <c r="H1693" s="2">
        <f>Table1[[#This Row],[Profit]]/Table1[[#This Row],[Sales]]*100</f>
        <v>29.857192254495157</v>
      </c>
      <c r="I1693" t="str">
        <f>IF(Table1[[#This Row],[Profit %]]&gt;20,"Excellent",IF(H1693&gt;10.1,"Good","Low"))</f>
        <v>Excellent</v>
      </c>
    </row>
    <row r="1694" spans="1:9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 s="2">
        <v>2772</v>
      </c>
      <c r="G1694">
        <v>432.77</v>
      </c>
      <c r="H1694" s="2">
        <f>Table1[[#This Row],[Profit]]/Table1[[#This Row],[Sales]]*100</f>
        <v>15.612193362193361</v>
      </c>
      <c r="I1694" t="str">
        <f>IF(Table1[[#This Row],[Profit %]]&gt;20,"Excellent",IF(H1694&gt;10.1,"Good","Low"))</f>
        <v>Good</v>
      </c>
    </row>
    <row r="1695" spans="1:9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 s="2">
        <v>4692</v>
      </c>
      <c r="G1695">
        <v>1044.97</v>
      </c>
      <c r="H1695" s="2">
        <f>Table1[[#This Row],[Profit]]/Table1[[#This Row],[Sales]]*100</f>
        <v>22.271312872975276</v>
      </c>
      <c r="I1695" t="str">
        <f>IF(Table1[[#This Row],[Profit %]]&gt;20,"Excellent",IF(H1695&gt;10.1,"Good","Low"))</f>
        <v>Excellent</v>
      </c>
    </row>
    <row r="1696" spans="1:9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 s="2">
        <v>2742</v>
      </c>
      <c r="G1696">
        <v>334.48</v>
      </c>
      <c r="H1696" s="2">
        <f>Table1[[#This Row],[Profit]]/Table1[[#This Row],[Sales]]*100</f>
        <v>12.198395331874545</v>
      </c>
      <c r="I1696" t="str">
        <f>IF(Table1[[#This Row],[Profit %]]&gt;20,"Excellent",IF(H1696&gt;10.1,"Good","Low"))</f>
        <v>Good</v>
      </c>
    </row>
    <row r="1697" spans="1:9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 s="2">
        <v>8896</v>
      </c>
      <c r="G1697">
        <v>1154.96</v>
      </c>
      <c r="H1697" s="2">
        <f>Table1[[#This Row],[Profit]]/Table1[[#This Row],[Sales]]*100</f>
        <v>12.98291366906475</v>
      </c>
      <c r="I1697" t="str">
        <f>IF(Table1[[#This Row],[Profit %]]&gt;20,"Excellent",IF(H1697&gt;10.1,"Good","Low"))</f>
        <v>Good</v>
      </c>
    </row>
    <row r="1698" spans="1:9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 s="2">
        <v>2344</v>
      </c>
      <c r="G1698">
        <v>385.19</v>
      </c>
      <c r="H1698" s="2">
        <f>Table1[[#This Row],[Profit]]/Table1[[#This Row],[Sales]]*100</f>
        <v>16.433020477815699</v>
      </c>
      <c r="I1698" t="str">
        <f>IF(Table1[[#This Row],[Profit %]]&gt;20,"Excellent",IF(H1698&gt;10.1,"Good","Low"))</f>
        <v>Good</v>
      </c>
    </row>
    <row r="1699" spans="1:9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 s="2">
        <v>4186</v>
      </c>
      <c r="G1699">
        <v>655.53</v>
      </c>
      <c r="H1699" s="2">
        <f>Table1[[#This Row],[Profit]]/Table1[[#This Row],[Sales]]*100</f>
        <v>15.660057333970375</v>
      </c>
      <c r="I1699" t="str">
        <f>IF(Table1[[#This Row],[Profit %]]&gt;20,"Excellent",IF(H1699&gt;10.1,"Good","Low"))</f>
        <v>Good</v>
      </c>
    </row>
    <row r="1700" spans="1:9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 s="2">
        <v>5238</v>
      </c>
      <c r="G1700">
        <v>1152.42</v>
      </c>
      <c r="H1700" s="2">
        <f>Table1[[#This Row],[Profit]]/Table1[[#This Row],[Sales]]*100</f>
        <v>22.001145475372279</v>
      </c>
      <c r="I1700" t="str">
        <f>IF(Table1[[#This Row],[Profit %]]&gt;20,"Excellent",IF(H1700&gt;10.1,"Good","Low"))</f>
        <v>Excellent</v>
      </c>
    </row>
    <row r="1701" spans="1:9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 s="2">
        <v>2982</v>
      </c>
      <c r="G1701">
        <v>452.22</v>
      </c>
      <c r="H1701" s="2">
        <f>Table1[[#This Row],[Profit]]/Table1[[#This Row],[Sales]]*100</f>
        <v>15.164989939637827</v>
      </c>
      <c r="I1701" t="str">
        <f>IF(Table1[[#This Row],[Profit %]]&gt;20,"Excellent",IF(H1701&gt;10.1,"Good","Low"))</f>
        <v>Good</v>
      </c>
    </row>
    <row r="1702" spans="1:9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 s="2">
        <v>2580</v>
      </c>
      <c r="G1702">
        <v>602.5</v>
      </c>
      <c r="H1702" s="2">
        <f>Table1[[#This Row],[Profit]]/Table1[[#This Row],[Sales]]*100</f>
        <v>23.352713178294575</v>
      </c>
      <c r="I1702" t="str">
        <f>IF(Table1[[#This Row],[Profit %]]&gt;20,"Excellent",IF(H1702&gt;10.1,"Good","Low"))</f>
        <v>Excellent</v>
      </c>
    </row>
    <row r="1703" spans="1:9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 s="2">
        <v>2675</v>
      </c>
      <c r="G1703">
        <v>671.6</v>
      </c>
      <c r="H1703" s="2">
        <f>Table1[[#This Row],[Profit]]/Table1[[#This Row],[Sales]]*100</f>
        <v>25.106542056074765</v>
      </c>
      <c r="I1703" t="str">
        <f>IF(Table1[[#This Row],[Profit %]]&gt;20,"Excellent",IF(H1703&gt;10.1,"Good","Low"))</f>
        <v>Excellent</v>
      </c>
    </row>
    <row r="1704" spans="1:9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 s="2">
        <v>2396</v>
      </c>
      <c r="G1704">
        <v>608.5</v>
      </c>
      <c r="H1704" s="2">
        <f>Table1[[#This Row],[Profit]]/Table1[[#This Row],[Sales]]*100</f>
        <v>25.396494156928213</v>
      </c>
      <c r="I1704" t="str">
        <f>IF(Table1[[#This Row],[Profit %]]&gt;20,"Excellent",IF(H1704&gt;10.1,"Good","Low"))</f>
        <v>Excellent</v>
      </c>
    </row>
    <row r="1705" spans="1:9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 s="2">
        <v>1600</v>
      </c>
      <c r="G1705">
        <v>242.25</v>
      </c>
      <c r="H1705" s="2">
        <f>Table1[[#This Row],[Profit]]/Table1[[#This Row],[Sales]]*100</f>
        <v>15.140625</v>
      </c>
      <c r="I1705" t="str">
        <f>IF(Table1[[#This Row],[Profit %]]&gt;20,"Excellent",IF(H1705&gt;10.1,"Good","Low"))</f>
        <v>Good</v>
      </c>
    </row>
    <row r="1706" spans="1:9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 s="2">
        <v>304</v>
      </c>
      <c r="G1706">
        <v>34.729999999999997</v>
      </c>
      <c r="H1706" s="2">
        <f>Table1[[#This Row],[Profit]]/Table1[[#This Row],[Sales]]*100</f>
        <v>11.424342105263156</v>
      </c>
      <c r="I1706" t="str">
        <f>IF(Table1[[#This Row],[Profit %]]&gt;20,"Excellent",IF(H1706&gt;10.1,"Good","Low"))</f>
        <v>Good</v>
      </c>
    </row>
    <row r="1707" spans="1:9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 s="2">
        <v>2070</v>
      </c>
      <c r="G1707">
        <v>457.39</v>
      </c>
      <c r="H1707" s="2">
        <f>Table1[[#This Row],[Profit]]/Table1[[#This Row],[Sales]]*100</f>
        <v>22.096135265700482</v>
      </c>
      <c r="I1707" t="str">
        <f>IF(Table1[[#This Row],[Profit %]]&gt;20,"Excellent",IF(H1707&gt;10.1,"Good","Low"))</f>
        <v>Excellent</v>
      </c>
    </row>
    <row r="1708" spans="1:9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 s="2">
        <v>1230</v>
      </c>
      <c r="G1708">
        <v>158.22999999999999</v>
      </c>
      <c r="H1708" s="2">
        <f>Table1[[#This Row],[Profit]]/Table1[[#This Row],[Sales]]*100</f>
        <v>12.864227642276422</v>
      </c>
      <c r="I1708" t="str">
        <f>IF(Table1[[#This Row],[Profit %]]&gt;20,"Excellent",IF(H1708&gt;10.1,"Good","Low"))</f>
        <v>Good</v>
      </c>
    </row>
    <row r="1709" spans="1:9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 s="2">
        <v>6234</v>
      </c>
      <c r="G1709">
        <v>758.78</v>
      </c>
      <c r="H1709" s="2">
        <f>Table1[[#This Row],[Profit]]/Table1[[#This Row],[Sales]]*100</f>
        <v>12.17163939685595</v>
      </c>
      <c r="I1709" t="str">
        <f>IF(Table1[[#This Row],[Profit %]]&gt;20,"Excellent",IF(H1709&gt;10.1,"Good","Low"))</f>
        <v>Good</v>
      </c>
    </row>
    <row r="1710" spans="1:9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 s="2">
        <v>396</v>
      </c>
      <c r="G1710">
        <v>46.33</v>
      </c>
      <c r="H1710" s="2">
        <f>Table1[[#This Row],[Profit]]/Table1[[#This Row],[Sales]]*100</f>
        <v>11.699494949494948</v>
      </c>
      <c r="I1710" t="str">
        <f>IF(Table1[[#This Row],[Profit %]]&gt;20,"Excellent",IF(H1710&gt;10.1,"Good","Low"))</f>
        <v>Good</v>
      </c>
    </row>
    <row r="1711" spans="1:9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 s="2">
        <v>2349</v>
      </c>
      <c r="G1711">
        <v>244.18</v>
      </c>
      <c r="H1711" s="2">
        <f>Table1[[#This Row],[Profit]]/Table1[[#This Row],[Sales]]*100</f>
        <v>10.395061728395062</v>
      </c>
      <c r="I1711" t="str">
        <f>IF(Table1[[#This Row],[Profit %]]&gt;20,"Excellent",IF(H1711&gt;10.1,"Good","Low"))</f>
        <v>Good</v>
      </c>
    </row>
    <row r="1712" spans="1:9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 s="2">
        <v>5949</v>
      </c>
      <c r="G1712">
        <v>626.91999999999996</v>
      </c>
      <c r="H1712" s="2">
        <f>Table1[[#This Row],[Profit]]/Table1[[#This Row],[Sales]]*100</f>
        <v>10.538241721297696</v>
      </c>
      <c r="I1712" t="str">
        <f>IF(Table1[[#This Row],[Profit %]]&gt;20,"Excellent",IF(H1712&gt;10.1,"Good","Low"))</f>
        <v>Good</v>
      </c>
    </row>
    <row r="1713" spans="1:9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 s="2">
        <v>5957</v>
      </c>
      <c r="G1713">
        <v>1433.85</v>
      </c>
      <c r="H1713" s="2">
        <f>Table1[[#This Row],[Profit]]/Table1[[#This Row],[Sales]]*100</f>
        <v>24.070001678697327</v>
      </c>
      <c r="I1713" t="str">
        <f>IF(Table1[[#This Row],[Profit %]]&gt;20,"Excellent",IF(H1713&gt;10.1,"Good","Low"))</f>
        <v>Excellent</v>
      </c>
    </row>
    <row r="1714" spans="1:9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 s="2">
        <v>1989</v>
      </c>
      <c r="G1714">
        <v>299.79000000000002</v>
      </c>
      <c r="H1714" s="2">
        <f>Table1[[#This Row],[Profit]]/Table1[[#This Row],[Sales]]*100</f>
        <v>15.07239819004525</v>
      </c>
      <c r="I1714" t="str">
        <f>IF(Table1[[#This Row],[Profit %]]&gt;20,"Excellent",IF(H1714&gt;10.1,"Good","Low"))</f>
        <v>Good</v>
      </c>
    </row>
    <row r="1715" spans="1:9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 s="2">
        <v>1138</v>
      </c>
      <c r="G1715">
        <v>243.36</v>
      </c>
      <c r="H1715" s="2">
        <f>Table1[[#This Row],[Profit]]/Table1[[#This Row],[Sales]]*100</f>
        <v>21.384885764499124</v>
      </c>
      <c r="I1715" t="str">
        <f>IF(Table1[[#This Row],[Profit %]]&gt;20,"Excellent",IF(H1715&gt;10.1,"Good","Low"))</f>
        <v>Excellent</v>
      </c>
    </row>
    <row r="1716" spans="1:9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 s="2">
        <v>3321</v>
      </c>
      <c r="G1716">
        <v>689.64</v>
      </c>
      <c r="H1716" s="2">
        <f>Table1[[#This Row],[Profit]]/Table1[[#This Row],[Sales]]*100</f>
        <v>20.766034327009937</v>
      </c>
      <c r="I1716" t="str">
        <f>IF(Table1[[#This Row],[Profit %]]&gt;20,"Excellent",IF(H1716&gt;10.1,"Good","Low"))</f>
        <v>Excellent</v>
      </c>
    </row>
    <row r="1717" spans="1:9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 s="2">
        <v>4480</v>
      </c>
      <c r="G1717">
        <v>592.82000000000005</v>
      </c>
      <c r="H1717" s="2">
        <f>Table1[[#This Row],[Profit]]/Table1[[#This Row],[Sales]]*100</f>
        <v>13.232589285714285</v>
      </c>
      <c r="I1717" t="str">
        <f>IF(Table1[[#This Row],[Profit %]]&gt;20,"Excellent",IF(H1717&gt;10.1,"Good","Low"))</f>
        <v>Good</v>
      </c>
    </row>
    <row r="1718" spans="1:9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 s="2">
        <v>1533</v>
      </c>
      <c r="G1718">
        <v>440.88</v>
      </c>
      <c r="H1718" s="2">
        <f>Table1[[#This Row],[Profit]]/Table1[[#This Row],[Sales]]*100</f>
        <v>28.759295499021526</v>
      </c>
      <c r="I1718" t="str">
        <f>IF(Table1[[#This Row],[Profit %]]&gt;20,"Excellent",IF(H1718&gt;10.1,"Good","Low"))</f>
        <v>Excellent</v>
      </c>
    </row>
    <row r="1719" spans="1:9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 s="2">
        <v>109</v>
      </c>
      <c r="G1719">
        <v>10.35</v>
      </c>
      <c r="H1719" s="2">
        <f>Table1[[#This Row],[Profit]]/Table1[[#This Row],[Sales]]*100</f>
        <v>9.4954128440366965</v>
      </c>
      <c r="I1719" t="str">
        <f>IF(Table1[[#This Row],[Profit %]]&gt;20,"Excellent",IF(H1719&gt;10.1,"Good","Low"))</f>
        <v>Low</v>
      </c>
    </row>
    <row r="1720" spans="1:9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 s="2">
        <v>2380</v>
      </c>
      <c r="G1720">
        <v>594.86</v>
      </c>
      <c r="H1720" s="2">
        <f>Table1[[#This Row],[Profit]]/Table1[[#This Row],[Sales]]*100</f>
        <v>24.994117647058825</v>
      </c>
      <c r="I1720" t="str">
        <f>IF(Table1[[#This Row],[Profit %]]&gt;20,"Excellent",IF(H1720&gt;10.1,"Good","Low"))</f>
        <v>Excellent</v>
      </c>
    </row>
    <row r="1721" spans="1:9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 s="2">
        <v>2592</v>
      </c>
      <c r="G1721">
        <v>432.37</v>
      </c>
      <c r="H1721" s="2">
        <f>Table1[[#This Row],[Profit]]/Table1[[#This Row],[Sales]]*100</f>
        <v>16.680941358024693</v>
      </c>
      <c r="I1721" t="str">
        <f>IF(Table1[[#This Row],[Profit %]]&gt;20,"Excellent",IF(H1721&gt;10.1,"Good","Low"))</f>
        <v>Good</v>
      </c>
    </row>
    <row r="1722" spans="1:9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 s="2">
        <v>5112</v>
      </c>
      <c r="G1722">
        <v>1289.47</v>
      </c>
      <c r="H1722" s="2">
        <f>Table1[[#This Row],[Profit]]/Table1[[#This Row],[Sales]]*100</f>
        <v>25.224374021909235</v>
      </c>
      <c r="I1722" t="str">
        <f>IF(Table1[[#This Row],[Profit %]]&gt;20,"Excellent",IF(H1722&gt;10.1,"Good","Low"))</f>
        <v>Excellent</v>
      </c>
    </row>
    <row r="1723" spans="1:9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 s="2">
        <v>9392</v>
      </c>
      <c r="G1723">
        <v>1753.08</v>
      </c>
      <c r="H1723" s="2">
        <f>Table1[[#This Row],[Profit]]/Table1[[#This Row],[Sales]]*100</f>
        <v>18.665672913117547</v>
      </c>
      <c r="I1723" t="str">
        <f>IF(Table1[[#This Row],[Profit %]]&gt;20,"Excellent",IF(H1723&gt;10.1,"Good","Low"))</f>
        <v>Good</v>
      </c>
    </row>
    <row r="1724" spans="1:9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 s="2">
        <v>2386</v>
      </c>
      <c r="G1724">
        <v>381.83</v>
      </c>
      <c r="H1724" s="2">
        <f>Table1[[#This Row],[Profit]]/Table1[[#This Row],[Sales]]*100</f>
        <v>16.002933780385582</v>
      </c>
      <c r="I1724" t="str">
        <f>IF(Table1[[#This Row],[Profit %]]&gt;20,"Excellent",IF(H1724&gt;10.1,"Good","Low"))</f>
        <v>Good</v>
      </c>
    </row>
    <row r="1725" spans="1:9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 s="2">
        <v>465</v>
      </c>
      <c r="G1725">
        <v>71.23</v>
      </c>
      <c r="H1725" s="2">
        <f>Table1[[#This Row],[Profit]]/Table1[[#This Row],[Sales]]*100</f>
        <v>15.318279569892473</v>
      </c>
      <c r="I1725" t="str">
        <f>IF(Table1[[#This Row],[Profit %]]&gt;20,"Excellent",IF(H1725&gt;10.1,"Good","Low"))</f>
        <v>Good</v>
      </c>
    </row>
    <row r="1726" spans="1:9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 s="2">
        <v>604</v>
      </c>
      <c r="G1726">
        <v>102.52</v>
      </c>
      <c r="H1726" s="2">
        <f>Table1[[#This Row],[Profit]]/Table1[[#This Row],[Sales]]*100</f>
        <v>16.973509933774832</v>
      </c>
      <c r="I1726" t="str">
        <f>IF(Table1[[#This Row],[Profit %]]&gt;20,"Excellent",IF(H1726&gt;10.1,"Good","Low"))</f>
        <v>Good</v>
      </c>
    </row>
    <row r="1727" spans="1:9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 s="2">
        <v>2216</v>
      </c>
      <c r="G1727">
        <v>650.27</v>
      </c>
      <c r="H1727" s="2">
        <f>Table1[[#This Row],[Profit]]/Table1[[#This Row],[Sales]]*100</f>
        <v>29.344314079422386</v>
      </c>
      <c r="I1727" t="str">
        <f>IF(Table1[[#This Row],[Profit %]]&gt;20,"Excellent",IF(H1727&gt;10.1,"Good","Low"))</f>
        <v>Excellent</v>
      </c>
    </row>
    <row r="1728" spans="1:9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 s="2">
        <v>1168</v>
      </c>
      <c r="G1728">
        <v>220.22</v>
      </c>
      <c r="H1728" s="2">
        <f>Table1[[#This Row],[Profit]]/Table1[[#This Row],[Sales]]*100</f>
        <v>18.854452054794521</v>
      </c>
      <c r="I1728" t="str">
        <f>IF(Table1[[#This Row],[Profit %]]&gt;20,"Excellent",IF(H1728&gt;10.1,"Good","Low"))</f>
        <v>Good</v>
      </c>
    </row>
    <row r="1729" spans="1:9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 s="2">
        <v>4088</v>
      </c>
      <c r="G1729">
        <v>230.43</v>
      </c>
      <c r="H1729" s="2">
        <f>Table1[[#This Row],[Profit]]/Table1[[#This Row],[Sales]]*100</f>
        <v>5.6367416829745594</v>
      </c>
      <c r="I1729" t="str">
        <f>IF(Table1[[#This Row],[Profit %]]&gt;20,"Excellent",IF(H1729&gt;10.1,"Good","Low"))</f>
        <v>Low</v>
      </c>
    </row>
    <row r="1730" spans="1:9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 s="2">
        <v>2597</v>
      </c>
      <c r="G1730">
        <v>152.09</v>
      </c>
      <c r="H1730" s="2">
        <f>Table1[[#This Row],[Profit]]/Table1[[#This Row],[Sales]]*100</f>
        <v>5.8563727377743557</v>
      </c>
      <c r="I1730" t="str">
        <f>IF(Table1[[#This Row],[Profit %]]&gt;20,"Excellent",IF(H1730&gt;10.1,"Good","Low"))</f>
        <v>Low</v>
      </c>
    </row>
    <row r="1731" spans="1:9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 s="2">
        <v>2151</v>
      </c>
      <c r="G1731">
        <v>322.02999999999997</v>
      </c>
      <c r="H1731" s="2">
        <f>Table1[[#This Row],[Profit]]/Table1[[#This Row],[Sales]]*100</f>
        <v>14.97117619711762</v>
      </c>
      <c r="I1731" t="str">
        <f>IF(Table1[[#This Row],[Profit %]]&gt;20,"Excellent",IF(H1731&gt;10.1,"Good","Low"))</f>
        <v>Good</v>
      </c>
    </row>
    <row r="1732" spans="1:9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 s="2">
        <v>462</v>
      </c>
      <c r="G1732">
        <v>71.22</v>
      </c>
      <c r="H1732" s="2">
        <f>Table1[[#This Row],[Profit]]/Table1[[#This Row],[Sales]]*100</f>
        <v>15.415584415584416</v>
      </c>
      <c r="I1732" t="str">
        <f>IF(Table1[[#This Row],[Profit %]]&gt;20,"Excellent",IF(H1732&gt;10.1,"Good","Low"))</f>
        <v>Good</v>
      </c>
    </row>
    <row r="1733" spans="1:9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 s="2">
        <v>5957</v>
      </c>
      <c r="G1733">
        <v>1077.8599999999999</v>
      </c>
      <c r="H1733" s="2">
        <f>Table1[[#This Row],[Profit]]/Table1[[#This Row],[Sales]]*100</f>
        <v>18.094007050528788</v>
      </c>
      <c r="I1733" t="str">
        <f>IF(Table1[[#This Row],[Profit %]]&gt;20,"Excellent",IF(H1733&gt;10.1,"Good","Low"))</f>
        <v>Good</v>
      </c>
    </row>
    <row r="1734" spans="1:9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 s="2">
        <v>6978</v>
      </c>
      <c r="G1734">
        <v>2028.63</v>
      </c>
      <c r="H1734" s="2">
        <f>Table1[[#This Row],[Profit]]/Table1[[#This Row],[Sales]]*100</f>
        <v>29.071797076526231</v>
      </c>
      <c r="I1734" t="str">
        <f>IF(Table1[[#This Row],[Profit %]]&gt;20,"Excellent",IF(H1734&gt;10.1,"Good","Low"))</f>
        <v>Excellent</v>
      </c>
    </row>
    <row r="1735" spans="1:9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 s="2">
        <v>282</v>
      </c>
      <c r="G1735">
        <v>72.5</v>
      </c>
      <c r="H1735" s="2">
        <f>Table1[[#This Row],[Profit]]/Table1[[#This Row],[Sales]]*100</f>
        <v>25.709219858156029</v>
      </c>
      <c r="I1735" t="str">
        <f>IF(Table1[[#This Row],[Profit %]]&gt;20,"Excellent",IF(H1735&gt;10.1,"Good","Low"))</f>
        <v>Excellent</v>
      </c>
    </row>
    <row r="1736" spans="1:9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 s="2">
        <v>157</v>
      </c>
      <c r="G1736">
        <v>27.65</v>
      </c>
      <c r="H1736" s="2">
        <f>Table1[[#This Row],[Profit]]/Table1[[#This Row],[Sales]]*100</f>
        <v>17.611464968152866</v>
      </c>
      <c r="I1736" t="str">
        <f>IF(Table1[[#This Row],[Profit %]]&gt;20,"Excellent",IF(H1736&gt;10.1,"Good","Low"))</f>
        <v>Good</v>
      </c>
    </row>
    <row r="1737" spans="1:9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 s="2">
        <v>3304</v>
      </c>
      <c r="G1737">
        <v>404.33</v>
      </c>
      <c r="H1737" s="2">
        <f>Table1[[#This Row],[Profit]]/Table1[[#This Row],[Sales]]*100</f>
        <v>12.237590799031477</v>
      </c>
      <c r="I1737" t="str">
        <f>IF(Table1[[#This Row],[Profit %]]&gt;20,"Excellent",IF(H1737&gt;10.1,"Good","Low"))</f>
        <v>Good</v>
      </c>
    </row>
    <row r="1738" spans="1:9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 s="2">
        <v>3051</v>
      </c>
      <c r="G1738">
        <v>201.26</v>
      </c>
      <c r="H1738" s="2">
        <f>Table1[[#This Row],[Profit]]/Table1[[#This Row],[Sales]]*100</f>
        <v>6.5965257292690911</v>
      </c>
      <c r="I1738" t="str">
        <f>IF(Table1[[#This Row],[Profit %]]&gt;20,"Excellent",IF(H1738&gt;10.1,"Good","Low"))</f>
        <v>Low</v>
      </c>
    </row>
    <row r="1739" spans="1:9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 s="2">
        <v>8082</v>
      </c>
      <c r="G1739">
        <v>1783.55</v>
      </c>
      <c r="H1739" s="2">
        <f>Table1[[#This Row],[Profit]]/Table1[[#This Row],[Sales]]*100</f>
        <v>22.068176194011382</v>
      </c>
      <c r="I1739" t="str">
        <f>IF(Table1[[#This Row],[Profit %]]&gt;20,"Excellent",IF(H1739&gt;10.1,"Good","Low"))</f>
        <v>Excellent</v>
      </c>
    </row>
    <row r="1740" spans="1:9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 s="2">
        <v>510</v>
      </c>
      <c r="G1740">
        <v>110.38</v>
      </c>
      <c r="H1740" s="2">
        <f>Table1[[#This Row],[Profit]]/Table1[[#This Row],[Sales]]*100</f>
        <v>21.643137254901958</v>
      </c>
      <c r="I1740" t="str">
        <f>IF(Table1[[#This Row],[Profit %]]&gt;20,"Excellent",IF(H1740&gt;10.1,"Good","Low"))</f>
        <v>Excellent</v>
      </c>
    </row>
    <row r="1741" spans="1:9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 s="2">
        <v>3976</v>
      </c>
      <c r="G1741">
        <v>1170.3599999999999</v>
      </c>
      <c r="H1741" s="2">
        <f>Table1[[#This Row],[Profit]]/Table1[[#This Row],[Sales]]*100</f>
        <v>29.435613682092555</v>
      </c>
      <c r="I1741" t="str">
        <f>IF(Table1[[#This Row],[Profit %]]&gt;20,"Excellent",IF(H1741&gt;10.1,"Good","Low"))</f>
        <v>Excellent</v>
      </c>
    </row>
    <row r="1742" spans="1:9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 s="2">
        <v>828</v>
      </c>
      <c r="G1742">
        <v>59.99</v>
      </c>
      <c r="H1742" s="2">
        <f>Table1[[#This Row],[Profit]]/Table1[[#This Row],[Sales]]*100</f>
        <v>7.2451690821256038</v>
      </c>
      <c r="I1742" t="str">
        <f>IF(Table1[[#This Row],[Profit %]]&gt;20,"Excellent",IF(H1742&gt;10.1,"Good","Low"))</f>
        <v>Low</v>
      </c>
    </row>
    <row r="1743" spans="1:9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 s="2">
        <v>2457</v>
      </c>
      <c r="G1743">
        <v>388.11</v>
      </c>
      <c r="H1743" s="2">
        <f>Table1[[#This Row],[Profit]]/Table1[[#This Row],[Sales]]*100</f>
        <v>15.796092796092797</v>
      </c>
      <c r="I1743" t="str">
        <f>IF(Table1[[#This Row],[Profit %]]&gt;20,"Excellent",IF(H1743&gt;10.1,"Good","Low"))</f>
        <v>Good</v>
      </c>
    </row>
    <row r="1744" spans="1:9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 s="2">
        <v>3924</v>
      </c>
      <c r="G1744">
        <v>298.07</v>
      </c>
      <c r="H1744" s="2">
        <f>Table1[[#This Row],[Profit]]/Table1[[#This Row],[Sales]]*100</f>
        <v>7.5960754332313956</v>
      </c>
      <c r="I1744" t="str">
        <f>IF(Table1[[#This Row],[Profit %]]&gt;20,"Excellent",IF(H1744&gt;10.1,"Good","Low"))</f>
        <v>Low</v>
      </c>
    </row>
    <row r="1745" spans="1:9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 s="2">
        <v>2018</v>
      </c>
      <c r="G1745">
        <v>227.75</v>
      </c>
      <c r="H1745" s="2">
        <f>Table1[[#This Row],[Profit]]/Table1[[#This Row],[Sales]]*100</f>
        <v>11.285926660059465</v>
      </c>
      <c r="I1745" t="str">
        <f>IF(Table1[[#This Row],[Profit %]]&gt;20,"Excellent",IF(H1745&gt;10.1,"Good","Low"))</f>
        <v>Good</v>
      </c>
    </row>
    <row r="1746" spans="1:9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 s="2">
        <v>2043</v>
      </c>
      <c r="G1746">
        <v>479.9</v>
      </c>
      <c r="H1746" s="2">
        <f>Table1[[#This Row],[Profit]]/Table1[[#This Row],[Sales]]*100</f>
        <v>23.489965736661773</v>
      </c>
      <c r="I1746" t="str">
        <f>IF(Table1[[#This Row],[Profit %]]&gt;20,"Excellent",IF(H1746&gt;10.1,"Good","Low"))</f>
        <v>Excellent</v>
      </c>
    </row>
    <row r="1747" spans="1:9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 s="2">
        <v>1035</v>
      </c>
      <c r="G1747">
        <v>187.12</v>
      </c>
      <c r="H1747" s="2">
        <f>Table1[[#This Row],[Profit]]/Table1[[#This Row],[Sales]]*100</f>
        <v>18.079227053140098</v>
      </c>
      <c r="I1747" t="str">
        <f>IF(Table1[[#This Row],[Profit %]]&gt;20,"Excellent",IF(H1747&gt;10.1,"Good","Low"))</f>
        <v>Good</v>
      </c>
    </row>
    <row r="1748" spans="1:9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 s="2">
        <v>2724</v>
      </c>
      <c r="G1748">
        <v>675.53</v>
      </c>
      <c r="H1748" s="2">
        <f>Table1[[#This Row],[Profit]]/Table1[[#This Row],[Sales]]*100</f>
        <v>24.799192364170334</v>
      </c>
      <c r="I1748" t="str">
        <f>IF(Table1[[#This Row],[Profit %]]&gt;20,"Excellent",IF(H1748&gt;10.1,"Good","Low"))</f>
        <v>Excellent</v>
      </c>
    </row>
    <row r="1749" spans="1:9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 s="2">
        <v>1120</v>
      </c>
      <c r="G1749">
        <v>127.32</v>
      </c>
      <c r="H1749" s="2">
        <f>Table1[[#This Row],[Profit]]/Table1[[#This Row],[Sales]]*100</f>
        <v>11.367857142857142</v>
      </c>
      <c r="I1749" t="str">
        <f>IF(Table1[[#This Row],[Profit %]]&gt;20,"Excellent",IF(H1749&gt;10.1,"Good","Low"))</f>
        <v>Good</v>
      </c>
    </row>
    <row r="1750" spans="1:9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 s="2">
        <v>3438</v>
      </c>
      <c r="G1750">
        <v>631.95000000000005</v>
      </c>
      <c r="H1750" s="2">
        <f>Table1[[#This Row],[Profit]]/Table1[[#This Row],[Sales]]*100</f>
        <v>18.381326352530543</v>
      </c>
      <c r="I1750" t="str">
        <f>IF(Table1[[#This Row],[Profit %]]&gt;20,"Excellent",IF(H1750&gt;10.1,"Good","Low"))</f>
        <v>Good</v>
      </c>
    </row>
    <row r="1751" spans="1:9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 s="2">
        <v>3170</v>
      </c>
      <c r="G1751">
        <v>379.27</v>
      </c>
      <c r="H1751" s="2">
        <f>Table1[[#This Row],[Profit]]/Table1[[#This Row],[Sales]]*100</f>
        <v>11.964353312302839</v>
      </c>
      <c r="I1751" t="str">
        <f>IF(Table1[[#This Row],[Profit %]]&gt;20,"Excellent",IF(H1751&gt;10.1,"Good","Low"))</f>
        <v>Good</v>
      </c>
    </row>
    <row r="1752" spans="1:9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 s="2">
        <v>660</v>
      </c>
      <c r="G1752">
        <v>83.96</v>
      </c>
      <c r="H1752" s="2">
        <f>Table1[[#This Row],[Profit]]/Table1[[#This Row],[Sales]]*100</f>
        <v>12.721212121212119</v>
      </c>
      <c r="I1752" t="str">
        <f>IF(Table1[[#This Row],[Profit %]]&gt;20,"Excellent",IF(H1752&gt;10.1,"Good","Low"))</f>
        <v>Good</v>
      </c>
    </row>
    <row r="1753" spans="1:9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 s="2">
        <v>4669</v>
      </c>
      <c r="G1753">
        <v>1088.1500000000001</v>
      </c>
      <c r="H1753" s="2">
        <f>Table1[[#This Row],[Profit]]/Table1[[#This Row],[Sales]]*100</f>
        <v>23.305847076461774</v>
      </c>
      <c r="I1753" t="str">
        <f>IF(Table1[[#This Row],[Profit %]]&gt;20,"Excellent",IF(H1753&gt;10.1,"Good","Low"))</f>
        <v>Excellent</v>
      </c>
    </row>
    <row r="1754" spans="1:9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 s="2">
        <v>1045</v>
      </c>
      <c r="G1754">
        <v>89</v>
      </c>
      <c r="H1754" s="2">
        <f>Table1[[#This Row],[Profit]]/Table1[[#This Row],[Sales]]*100</f>
        <v>8.5167464114832523</v>
      </c>
      <c r="I1754" t="str">
        <f>IF(Table1[[#This Row],[Profit %]]&gt;20,"Excellent",IF(H1754&gt;10.1,"Good","Low"))</f>
        <v>Low</v>
      </c>
    </row>
    <row r="1755" spans="1:9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 s="2">
        <v>2724</v>
      </c>
      <c r="G1755">
        <v>229.47</v>
      </c>
      <c r="H1755" s="2">
        <f>Table1[[#This Row],[Profit]]/Table1[[#This Row],[Sales]]*100</f>
        <v>8.4240088105726869</v>
      </c>
      <c r="I1755" t="str">
        <f>IF(Table1[[#This Row],[Profit %]]&gt;20,"Excellent",IF(H1755&gt;10.1,"Good","Low"))</f>
        <v>Low</v>
      </c>
    </row>
    <row r="1756" spans="1:9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 s="2">
        <v>5312</v>
      </c>
      <c r="G1756">
        <v>1583</v>
      </c>
      <c r="H1756" s="2">
        <f>Table1[[#This Row],[Profit]]/Table1[[#This Row],[Sales]]*100</f>
        <v>29.800451807228917</v>
      </c>
      <c r="I1756" t="str">
        <f>IF(Table1[[#This Row],[Profit %]]&gt;20,"Excellent",IF(H1756&gt;10.1,"Good","Low"))</f>
        <v>Excellent</v>
      </c>
    </row>
    <row r="1757" spans="1:9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 s="2">
        <v>4252</v>
      </c>
      <c r="G1757">
        <v>445.18</v>
      </c>
      <c r="H1757" s="2">
        <f>Table1[[#This Row],[Profit]]/Table1[[#This Row],[Sales]]*100</f>
        <v>10.469896519285042</v>
      </c>
      <c r="I1757" t="str">
        <f>IF(Table1[[#This Row],[Profit %]]&gt;20,"Excellent",IF(H1757&gt;10.1,"Good","Low"))</f>
        <v>Good</v>
      </c>
    </row>
    <row r="1758" spans="1:9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 s="2">
        <v>8057</v>
      </c>
      <c r="G1758">
        <v>1652.27</v>
      </c>
      <c r="H1758" s="2">
        <f>Table1[[#This Row],[Profit]]/Table1[[#This Row],[Sales]]*100</f>
        <v>20.507260767034875</v>
      </c>
      <c r="I1758" t="str">
        <f>IF(Table1[[#This Row],[Profit %]]&gt;20,"Excellent",IF(H1758&gt;10.1,"Good","Low"))</f>
        <v>Excellent</v>
      </c>
    </row>
    <row r="1759" spans="1:9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 s="2">
        <v>2023</v>
      </c>
      <c r="G1759">
        <v>274.25</v>
      </c>
      <c r="H1759" s="2">
        <f>Table1[[#This Row],[Profit]]/Table1[[#This Row],[Sales]]*100</f>
        <v>13.556599110232328</v>
      </c>
      <c r="I1759" t="str">
        <f>IF(Table1[[#This Row],[Profit %]]&gt;20,"Excellent",IF(H1759&gt;10.1,"Good","Low"))</f>
        <v>Good</v>
      </c>
    </row>
    <row r="1760" spans="1:9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 s="2">
        <v>9416</v>
      </c>
      <c r="G1760">
        <v>2125.54</v>
      </c>
      <c r="H1760" s="2">
        <f>Table1[[#This Row],[Profit]]/Table1[[#This Row],[Sales]]*100</f>
        <v>22.573704333050127</v>
      </c>
      <c r="I1760" t="str">
        <f>IF(Table1[[#This Row],[Profit %]]&gt;20,"Excellent",IF(H1760&gt;10.1,"Good","Low"))</f>
        <v>Excellent</v>
      </c>
    </row>
    <row r="1761" spans="1:9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 s="2">
        <v>7560</v>
      </c>
      <c r="G1761">
        <v>494.34</v>
      </c>
      <c r="H1761" s="2">
        <f>Table1[[#This Row],[Profit]]/Table1[[#This Row],[Sales]]*100</f>
        <v>6.5388888888888888</v>
      </c>
      <c r="I1761" t="str">
        <f>IF(Table1[[#This Row],[Profit %]]&gt;20,"Excellent",IF(H1761&gt;10.1,"Good","Low"))</f>
        <v>Low</v>
      </c>
    </row>
    <row r="1762" spans="1:9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 s="2">
        <v>828</v>
      </c>
      <c r="G1762">
        <v>50.07</v>
      </c>
      <c r="H1762" s="2">
        <f>Table1[[#This Row],[Profit]]/Table1[[#This Row],[Sales]]*100</f>
        <v>6.0471014492753623</v>
      </c>
      <c r="I1762" t="str">
        <f>IF(Table1[[#This Row],[Profit %]]&gt;20,"Excellent",IF(H1762&gt;10.1,"Good","Low"))</f>
        <v>Low</v>
      </c>
    </row>
    <row r="1763" spans="1:9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 s="2">
        <v>527</v>
      </c>
      <c r="G1763">
        <v>27.45</v>
      </c>
      <c r="H1763" s="2">
        <f>Table1[[#This Row],[Profit]]/Table1[[#This Row],[Sales]]*100</f>
        <v>5.2087286527514234</v>
      </c>
      <c r="I1763" t="str">
        <f>IF(Table1[[#This Row],[Profit %]]&gt;20,"Excellent",IF(H1763&gt;10.1,"Good","Low"))</f>
        <v>Low</v>
      </c>
    </row>
    <row r="1764" spans="1:9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 s="2">
        <v>1160</v>
      </c>
      <c r="G1764">
        <v>206.49</v>
      </c>
      <c r="H1764" s="2">
        <f>Table1[[#This Row],[Profit]]/Table1[[#This Row],[Sales]]*100</f>
        <v>17.800862068965518</v>
      </c>
      <c r="I1764" t="str">
        <f>IF(Table1[[#This Row],[Profit %]]&gt;20,"Excellent",IF(H1764&gt;10.1,"Good","Low"))</f>
        <v>Good</v>
      </c>
    </row>
    <row r="1765" spans="1:9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 s="2">
        <v>5430</v>
      </c>
      <c r="G1765">
        <v>310.86</v>
      </c>
      <c r="H1765" s="2">
        <f>Table1[[#This Row],[Profit]]/Table1[[#This Row],[Sales]]*100</f>
        <v>5.724861878453039</v>
      </c>
      <c r="I1765" t="str">
        <f>IF(Table1[[#This Row],[Profit %]]&gt;20,"Excellent",IF(H1765&gt;10.1,"Good","Low"))</f>
        <v>Low</v>
      </c>
    </row>
    <row r="1766" spans="1:9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 s="2">
        <v>6874</v>
      </c>
      <c r="G1766">
        <v>454.53</v>
      </c>
      <c r="H1766" s="2">
        <f>Table1[[#This Row],[Profit]]/Table1[[#This Row],[Sales]]*100</f>
        <v>6.612307244690137</v>
      </c>
      <c r="I1766" t="str">
        <f>IF(Table1[[#This Row],[Profit %]]&gt;20,"Excellent",IF(H1766&gt;10.1,"Good","Low"))</f>
        <v>Low</v>
      </c>
    </row>
    <row r="1767" spans="1:9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 s="2">
        <v>8952</v>
      </c>
      <c r="G1767">
        <v>1825.37</v>
      </c>
      <c r="H1767" s="2">
        <f>Table1[[#This Row],[Profit]]/Table1[[#This Row],[Sales]]*100</f>
        <v>20.390638963360143</v>
      </c>
      <c r="I1767" t="str">
        <f>IF(Table1[[#This Row],[Profit %]]&gt;20,"Excellent",IF(H1767&gt;10.1,"Good","Low"))</f>
        <v>Excellent</v>
      </c>
    </row>
    <row r="1768" spans="1:9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 s="2">
        <v>416</v>
      </c>
      <c r="G1768">
        <v>67.81</v>
      </c>
      <c r="H1768" s="2">
        <f>Table1[[#This Row],[Profit]]/Table1[[#This Row],[Sales]]*100</f>
        <v>16.30048076923077</v>
      </c>
      <c r="I1768" t="str">
        <f>IF(Table1[[#This Row],[Profit %]]&gt;20,"Excellent",IF(H1768&gt;10.1,"Good","Low"))</f>
        <v>Good</v>
      </c>
    </row>
    <row r="1769" spans="1:9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 s="2">
        <v>1680</v>
      </c>
      <c r="G1769">
        <v>140.27000000000001</v>
      </c>
      <c r="H1769" s="2">
        <f>Table1[[#This Row],[Profit]]/Table1[[#This Row],[Sales]]*100</f>
        <v>8.3494047619047613</v>
      </c>
      <c r="I1769" t="str">
        <f>IF(Table1[[#This Row],[Profit %]]&gt;20,"Excellent",IF(H1769&gt;10.1,"Good","Low"))</f>
        <v>Low</v>
      </c>
    </row>
    <row r="1770" spans="1:9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 s="2">
        <v>4340</v>
      </c>
      <c r="G1770">
        <v>383.9</v>
      </c>
      <c r="H1770" s="2">
        <f>Table1[[#This Row],[Profit]]/Table1[[#This Row],[Sales]]*100</f>
        <v>8.8456221198156673</v>
      </c>
      <c r="I1770" t="str">
        <f>IF(Table1[[#This Row],[Profit %]]&gt;20,"Excellent",IF(H1770&gt;10.1,"Good","Low"))</f>
        <v>Low</v>
      </c>
    </row>
    <row r="1771" spans="1:9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 s="2">
        <v>7650</v>
      </c>
      <c r="G1771">
        <v>2130.8200000000002</v>
      </c>
      <c r="H1771" s="2">
        <f>Table1[[#This Row],[Profit]]/Table1[[#This Row],[Sales]]*100</f>
        <v>27.853856209150329</v>
      </c>
      <c r="I1771" t="str">
        <f>IF(Table1[[#This Row],[Profit %]]&gt;20,"Excellent",IF(H1771&gt;10.1,"Good","Low"))</f>
        <v>Excellent</v>
      </c>
    </row>
    <row r="1772" spans="1:9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 s="2">
        <v>6328</v>
      </c>
      <c r="G1772">
        <v>412.76</v>
      </c>
      <c r="H1772" s="2">
        <f>Table1[[#This Row],[Profit]]/Table1[[#This Row],[Sales]]*100</f>
        <v>6.5227560050568902</v>
      </c>
      <c r="I1772" t="str">
        <f>IF(Table1[[#This Row],[Profit %]]&gt;20,"Excellent",IF(H1772&gt;10.1,"Good","Low"))</f>
        <v>Low</v>
      </c>
    </row>
    <row r="1773" spans="1:9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 s="2">
        <v>1312</v>
      </c>
      <c r="G1773">
        <v>344</v>
      </c>
      <c r="H1773" s="2">
        <f>Table1[[#This Row],[Profit]]/Table1[[#This Row],[Sales]]*100</f>
        <v>26.219512195121951</v>
      </c>
      <c r="I1773" t="str">
        <f>IF(Table1[[#This Row],[Profit %]]&gt;20,"Excellent",IF(H1773&gt;10.1,"Good","Low"))</f>
        <v>Excellent</v>
      </c>
    </row>
    <row r="1774" spans="1:9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 s="2">
        <v>8055</v>
      </c>
      <c r="G1774">
        <v>2300.17</v>
      </c>
      <c r="H1774" s="2">
        <f>Table1[[#This Row],[Profit]]/Table1[[#This Row],[Sales]]*100</f>
        <v>28.555803848541277</v>
      </c>
      <c r="I1774" t="str">
        <f>IF(Table1[[#This Row],[Profit %]]&gt;20,"Excellent",IF(H1774&gt;10.1,"Good","Low"))</f>
        <v>Excellent</v>
      </c>
    </row>
    <row r="1775" spans="1:9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 s="2">
        <v>840</v>
      </c>
      <c r="G1775">
        <v>153.61000000000001</v>
      </c>
      <c r="H1775" s="2">
        <f>Table1[[#This Row],[Profit]]/Table1[[#This Row],[Sales]]*100</f>
        <v>18.286904761904761</v>
      </c>
      <c r="I1775" t="str">
        <f>IF(Table1[[#This Row],[Profit %]]&gt;20,"Excellent",IF(H1775&gt;10.1,"Good","Low"))</f>
        <v>Good</v>
      </c>
    </row>
    <row r="1776" spans="1:9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 s="2">
        <v>9423</v>
      </c>
      <c r="G1776">
        <v>2794.89</v>
      </c>
      <c r="H1776" s="2">
        <f>Table1[[#This Row],[Profit]]/Table1[[#This Row],[Sales]]*100</f>
        <v>29.660299267749124</v>
      </c>
      <c r="I1776" t="str">
        <f>IF(Table1[[#This Row],[Profit %]]&gt;20,"Excellent",IF(H1776&gt;10.1,"Good","Low"))</f>
        <v>Excellent</v>
      </c>
    </row>
    <row r="1777" spans="1:9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 s="2">
        <v>6520</v>
      </c>
      <c r="G1777">
        <v>1113.1199999999999</v>
      </c>
      <c r="H1777" s="2">
        <f>Table1[[#This Row],[Profit]]/Table1[[#This Row],[Sales]]*100</f>
        <v>17.072392638036806</v>
      </c>
      <c r="I1777" t="str">
        <f>IF(Table1[[#This Row],[Profit %]]&gt;20,"Excellent",IF(H1777&gt;10.1,"Good","Low"))</f>
        <v>Good</v>
      </c>
    </row>
    <row r="1778" spans="1:9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 s="2">
        <v>1950</v>
      </c>
      <c r="G1778">
        <v>116.12</v>
      </c>
      <c r="H1778" s="2">
        <f>Table1[[#This Row],[Profit]]/Table1[[#This Row],[Sales]]*100</f>
        <v>5.9548717948717949</v>
      </c>
      <c r="I1778" t="str">
        <f>IF(Table1[[#This Row],[Profit %]]&gt;20,"Excellent",IF(H1778&gt;10.1,"Good","Low"))</f>
        <v>Low</v>
      </c>
    </row>
    <row r="1779" spans="1:9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 s="2">
        <v>5928</v>
      </c>
      <c r="G1779">
        <v>1177.2</v>
      </c>
      <c r="H1779" s="2">
        <f>Table1[[#This Row],[Profit]]/Table1[[#This Row],[Sales]]*100</f>
        <v>19.858299595141702</v>
      </c>
      <c r="I1779" t="str">
        <f>IF(Table1[[#This Row],[Profit %]]&gt;20,"Excellent",IF(H1779&gt;10.1,"Good","Low"))</f>
        <v>Good</v>
      </c>
    </row>
    <row r="1780" spans="1:9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 s="2">
        <v>4809</v>
      </c>
      <c r="G1780">
        <v>1418.72</v>
      </c>
      <c r="H1780" s="2">
        <f>Table1[[#This Row],[Profit]]/Table1[[#This Row],[Sales]]*100</f>
        <v>29.501351632355998</v>
      </c>
      <c r="I1780" t="str">
        <f>IF(Table1[[#This Row],[Profit %]]&gt;20,"Excellent",IF(H1780&gt;10.1,"Good","Low"))</f>
        <v>Excellent</v>
      </c>
    </row>
    <row r="1781" spans="1:9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 s="2">
        <v>356</v>
      </c>
      <c r="G1781">
        <v>23.4</v>
      </c>
      <c r="H1781" s="2">
        <f>Table1[[#This Row],[Profit]]/Table1[[#This Row],[Sales]]*100</f>
        <v>6.5730337078651679</v>
      </c>
      <c r="I1781" t="str">
        <f>IF(Table1[[#This Row],[Profit %]]&gt;20,"Excellent",IF(H1781&gt;10.1,"Good","Low"))</f>
        <v>Low</v>
      </c>
    </row>
    <row r="1782" spans="1:9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 s="2">
        <v>570</v>
      </c>
      <c r="G1782">
        <v>94.39</v>
      </c>
      <c r="H1782" s="2">
        <f>Table1[[#This Row],[Profit]]/Table1[[#This Row],[Sales]]*100</f>
        <v>16.55964912280702</v>
      </c>
      <c r="I1782" t="str">
        <f>IF(Table1[[#This Row],[Profit %]]&gt;20,"Excellent",IF(H1782&gt;10.1,"Good","Low"))</f>
        <v>Good</v>
      </c>
    </row>
    <row r="1783" spans="1:9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 s="2">
        <v>7791</v>
      </c>
      <c r="G1783">
        <v>907.96</v>
      </c>
      <c r="H1783" s="2">
        <f>Table1[[#This Row],[Profit]]/Table1[[#This Row],[Sales]]*100</f>
        <v>11.653959697086382</v>
      </c>
      <c r="I1783" t="str">
        <f>IF(Table1[[#This Row],[Profit %]]&gt;20,"Excellent",IF(H1783&gt;10.1,"Good","Low"))</f>
        <v>Good</v>
      </c>
    </row>
    <row r="1784" spans="1:9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 s="2">
        <v>4168</v>
      </c>
      <c r="G1784">
        <v>494.48</v>
      </c>
      <c r="H1784" s="2">
        <f>Table1[[#This Row],[Profit]]/Table1[[#This Row],[Sales]]*100</f>
        <v>11.863723608445298</v>
      </c>
      <c r="I1784" t="str">
        <f>IF(Table1[[#This Row],[Profit %]]&gt;20,"Excellent",IF(H1784&gt;10.1,"Good","Low"))</f>
        <v>Good</v>
      </c>
    </row>
    <row r="1785" spans="1:9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 s="2">
        <v>684</v>
      </c>
      <c r="G1785">
        <v>183.85</v>
      </c>
      <c r="H1785" s="2">
        <f>Table1[[#This Row],[Profit]]/Table1[[#This Row],[Sales]]*100</f>
        <v>26.878654970760234</v>
      </c>
      <c r="I1785" t="str">
        <f>IF(Table1[[#This Row],[Profit %]]&gt;20,"Excellent",IF(H1785&gt;10.1,"Good","Low"))</f>
        <v>Excellent</v>
      </c>
    </row>
    <row r="1786" spans="1:9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 s="2">
        <v>3857</v>
      </c>
      <c r="G1786">
        <v>447.99</v>
      </c>
      <c r="H1786" s="2">
        <f>Table1[[#This Row],[Profit]]/Table1[[#This Row],[Sales]]*100</f>
        <v>11.614985740212601</v>
      </c>
      <c r="I1786" t="str">
        <f>IF(Table1[[#This Row],[Profit %]]&gt;20,"Excellent",IF(H1786&gt;10.1,"Good","Low"))</f>
        <v>Good</v>
      </c>
    </row>
    <row r="1787" spans="1:9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 s="2">
        <v>3250</v>
      </c>
      <c r="G1787">
        <v>699.99</v>
      </c>
      <c r="H1787" s="2">
        <f>Table1[[#This Row],[Profit]]/Table1[[#This Row],[Sales]]*100</f>
        <v>21.538153846153847</v>
      </c>
      <c r="I1787" t="str">
        <f>IF(Table1[[#This Row],[Profit %]]&gt;20,"Excellent",IF(H1787&gt;10.1,"Good","Low"))</f>
        <v>Excellent</v>
      </c>
    </row>
    <row r="1788" spans="1:9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 s="2">
        <v>1194</v>
      </c>
      <c r="G1788">
        <v>79.62</v>
      </c>
      <c r="H1788" s="2">
        <f>Table1[[#This Row],[Profit]]/Table1[[#This Row],[Sales]]*100</f>
        <v>6.668341708542715</v>
      </c>
      <c r="I1788" t="str">
        <f>IF(Table1[[#This Row],[Profit %]]&gt;20,"Excellent",IF(H1788&gt;10.1,"Good","Low"))</f>
        <v>Low</v>
      </c>
    </row>
    <row r="1789" spans="1:9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 s="2">
        <v>3486</v>
      </c>
      <c r="G1789">
        <v>320.91000000000003</v>
      </c>
      <c r="H1789" s="2">
        <f>Table1[[#This Row],[Profit]]/Table1[[#This Row],[Sales]]*100</f>
        <v>9.2056798623063685</v>
      </c>
      <c r="I1789" t="str">
        <f>IF(Table1[[#This Row],[Profit %]]&gt;20,"Excellent",IF(H1789&gt;10.1,"Good","Low"))</f>
        <v>Low</v>
      </c>
    </row>
    <row r="1790" spans="1:9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 s="2">
        <v>1554</v>
      </c>
      <c r="G1790">
        <v>370.97</v>
      </c>
      <c r="H1790" s="2">
        <f>Table1[[#This Row],[Profit]]/Table1[[#This Row],[Sales]]*100</f>
        <v>23.871943371943374</v>
      </c>
      <c r="I1790" t="str">
        <f>IF(Table1[[#This Row],[Profit %]]&gt;20,"Excellent",IF(H1790&gt;10.1,"Good","Low"))</f>
        <v>Excellent</v>
      </c>
    </row>
    <row r="1791" spans="1:9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 s="2">
        <v>2601</v>
      </c>
      <c r="G1791">
        <v>463.36</v>
      </c>
      <c r="H1791" s="2">
        <f>Table1[[#This Row],[Profit]]/Table1[[#This Row],[Sales]]*100</f>
        <v>17.814686658977315</v>
      </c>
      <c r="I1791" t="str">
        <f>IF(Table1[[#This Row],[Profit %]]&gt;20,"Excellent",IF(H1791&gt;10.1,"Good","Low"))</f>
        <v>Good</v>
      </c>
    </row>
    <row r="1792" spans="1:9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 s="2">
        <v>3616</v>
      </c>
      <c r="G1792">
        <v>745.75</v>
      </c>
      <c r="H1792" s="2">
        <f>Table1[[#This Row],[Profit]]/Table1[[#This Row],[Sales]]*100</f>
        <v>20.623617256637168</v>
      </c>
      <c r="I1792" t="str">
        <f>IF(Table1[[#This Row],[Profit %]]&gt;20,"Excellent",IF(H1792&gt;10.1,"Good","Low"))</f>
        <v>Excellent</v>
      </c>
    </row>
    <row r="1793" spans="1:9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 s="2">
        <v>3350</v>
      </c>
      <c r="G1793">
        <v>986.33</v>
      </c>
      <c r="H1793" s="2">
        <f>Table1[[#This Row],[Profit]]/Table1[[#This Row],[Sales]]*100</f>
        <v>29.442686567164177</v>
      </c>
      <c r="I1793" t="str">
        <f>IF(Table1[[#This Row],[Profit %]]&gt;20,"Excellent",IF(H1793&gt;10.1,"Good","Low"))</f>
        <v>Excellent</v>
      </c>
    </row>
    <row r="1794" spans="1:9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 s="2">
        <v>2545</v>
      </c>
      <c r="G1794">
        <v>588.47</v>
      </c>
      <c r="H1794" s="2">
        <f>Table1[[#This Row],[Profit]]/Table1[[#This Row],[Sales]]*100</f>
        <v>23.122593320235758</v>
      </c>
      <c r="I1794" t="str">
        <f>IF(Table1[[#This Row],[Profit %]]&gt;20,"Excellent",IF(H1794&gt;10.1,"Good","Low"))</f>
        <v>Excellent</v>
      </c>
    </row>
    <row r="1795" spans="1:9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 s="2">
        <v>545</v>
      </c>
      <c r="G1795">
        <v>68.28</v>
      </c>
      <c r="H1795" s="2">
        <f>Table1[[#This Row],[Profit]]/Table1[[#This Row],[Sales]]*100</f>
        <v>12.528440366972477</v>
      </c>
      <c r="I1795" t="str">
        <f>IF(Table1[[#This Row],[Profit %]]&gt;20,"Excellent",IF(H1795&gt;10.1,"Good","Low"))</f>
        <v>Good</v>
      </c>
    </row>
    <row r="1796" spans="1:9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 s="2">
        <v>1470</v>
      </c>
      <c r="G1796">
        <v>178.85</v>
      </c>
      <c r="H1796" s="2">
        <f>Table1[[#This Row],[Profit]]/Table1[[#This Row],[Sales]]*100</f>
        <v>12.166666666666666</v>
      </c>
      <c r="I1796" t="str">
        <f>IF(Table1[[#This Row],[Profit %]]&gt;20,"Excellent",IF(H1796&gt;10.1,"Good","Low"))</f>
        <v>Good</v>
      </c>
    </row>
    <row r="1797" spans="1:9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 s="2">
        <v>3126</v>
      </c>
      <c r="G1797">
        <v>870.95</v>
      </c>
      <c r="H1797" s="2">
        <f>Table1[[#This Row],[Profit]]/Table1[[#This Row],[Sales]]*100</f>
        <v>27.861484325015994</v>
      </c>
      <c r="I1797" t="str">
        <f>IF(Table1[[#This Row],[Profit %]]&gt;20,"Excellent",IF(H1797&gt;10.1,"Good","Low"))</f>
        <v>Excellent</v>
      </c>
    </row>
    <row r="1798" spans="1:9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 s="2">
        <v>1368</v>
      </c>
      <c r="G1798">
        <v>302.29000000000002</v>
      </c>
      <c r="H1798" s="2">
        <f>Table1[[#This Row],[Profit]]/Table1[[#This Row],[Sales]]*100</f>
        <v>22.097222222222225</v>
      </c>
      <c r="I1798" t="str">
        <f>IF(Table1[[#This Row],[Profit %]]&gt;20,"Excellent",IF(H1798&gt;10.1,"Good","Low"))</f>
        <v>Excellent</v>
      </c>
    </row>
    <row r="1799" spans="1:9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 s="2">
        <v>7083</v>
      </c>
      <c r="G1799">
        <v>1353.39</v>
      </c>
      <c r="H1799" s="2">
        <f>Table1[[#This Row],[Profit]]/Table1[[#This Row],[Sales]]*100</f>
        <v>19.107581533248624</v>
      </c>
      <c r="I1799" t="str">
        <f>IF(Table1[[#This Row],[Profit %]]&gt;20,"Excellent",IF(H1799&gt;10.1,"Good","Low"))</f>
        <v>Good</v>
      </c>
    </row>
    <row r="1800" spans="1:9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 s="2">
        <v>1994</v>
      </c>
      <c r="G1800">
        <v>453.74</v>
      </c>
      <c r="H1800" s="2">
        <f>Table1[[#This Row],[Profit]]/Table1[[#This Row],[Sales]]*100</f>
        <v>22.755265797392177</v>
      </c>
      <c r="I1800" t="str">
        <f>IF(Table1[[#This Row],[Profit %]]&gt;20,"Excellent",IF(H1800&gt;10.1,"Good","Low"))</f>
        <v>Excellent</v>
      </c>
    </row>
    <row r="1801" spans="1:9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 s="2">
        <v>4716</v>
      </c>
      <c r="G1801">
        <v>1084.1600000000001</v>
      </c>
      <c r="H1801" s="2">
        <f>Table1[[#This Row],[Profit]]/Table1[[#This Row],[Sales]]*100</f>
        <v>22.98897370653096</v>
      </c>
      <c r="I1801" t="str">
        <f>IF(Table1[[#This Row],[Profit %]]&gt;20,"Excellent",IF(H1801&gt;10.1,"Good","Low"))</f>
        <v>Excellent</v>
      </c>
    </row>
    <row r="1802" spans="1:9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 s="2">
        <v>975</v>
      </c>
      <c r="G1802">
        <v>125.85</v>
      </c>
      <c r="H1802" s="2">
        <f>Table1[[#This Row],[Profit]]/Table1[[#This Row],[Sales]]*100</f>
        <v>12.907692307692306</v>
      </c>
      <c r="I1802" t="str">
        <f>IF(Table1[[#This Row],[Profit %]]&gt;20,"Excellent",IF(H1802&gt;10.1,"Good","Low"))</f>
        <v>Good</v>
      </c>
    </row>
    <row r="1803" spans="1:9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 s="2">
        <v>9891</v>
      </c>
      <c r="G1803">
        <v>1774.03</v>
      </c>
      <c r="H1803" s="2">
        <f>Table1[[#This Row],[Profit]]/Table1[[#This Row],[Sales]]*100</f>
        <v>17.935800222424426</v>
      </c>
      <c r="I1803" t="str">
        <f>IF(Table1[[#This Row],[Profit %]]&gt;20,"Excellent",IF(H1803&gt;10.1,"Good","Low"))</f>
        <v>Good</v>
      </c>
    </row>
    <row r="1804" spans="1:9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 s="2">
        <v>626</v>
      </c>
      <c r="G1804">
        <v>159.49</v>
      </c>
      <c r="H1804" s="2">
        <f>Table1[[#This Row],[Profit]]/Table1[[#This Row],[Sales]]*100</f>
        <v>25.477635782747605</v>
      </c>
      <c r="I1804" t="str">
        <f>IF(Table1[[#This Row],[Profit %]]&gt;20,"Excellent",IF(H1804&gt;10.1,"Good","Low"))</f>
        <v>Excellent</v>
      </c>
    </row>
    <row r="1805" spans="1:9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 s="2">
        <v>5632</v>
      </c>
      <c r="G1805">
        <v>1620.04</v>
      </c>
      <c r="H1805" s="2">
        <f>Table1[[#This Row],[Profit]]/Table1[[#This Row],[Sales]]*100</f>
        <v>28.764914772727273</v>
      </c>
      <c r="I1805" t="str">
        <f>IF(Table1[[#This Row],[Profit %]]&gt;20,"Excellent",IF(H1805&gt;10.1,"Good","Low"))</f>
        <v>Excellent</v>
      </c>
    </row>
    <row r="1806" spans="1:9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 s="2">
        <v>2568</v>
      </c>
      <c r="G1806">
        <v>734.6</v>
      </c>
      <c r="H1806" s="2">
        <f>Table1[[#This Row],[Profit]]/Table1[[#This Row],[Sales]]*100</f>
        <v>28.605919003115265</v>
      </c>
      <c r="I1806" t="str">
        <f>IF(Table1[[#This Row],[Profit %]]&gt;20,"Excellent",IF(H1806&gt;10.1,"Good","Low"))</f>
        <v>Excellent</v>
      </c>
    </row>
    <row r="1807" spans="1:9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 s="2">
        <v>5285</v>
      </c>
      <c r="G1807">
        <v>629.07000000000005</v>
      </c>
      <c r="H1807" s="2">
        <f>Table1[[#This Row],[Profit]]/Table1[[#This Row],[Sales]]*100</f>
        <v>11.902932828760644</v>
      </c>
      <c r="I1807" t="str">
        <f>IF(Table1[[#This Row],[Profit %]]&gt;20,"Excellent",IF(H1807&gt;10.1,"Good","Low"))</f>
        <v>Good</v>
      </c>
    </row>
    <row r="1808" spans="1:9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 s="2">
        <v>516</v>
      </c>
      <c r="G1808">
        <v>122.77</v>
      </c>
      <c r="H1808" s="2">
        <f>Table1[[#This Row],[Profit]]/Table1[[#This Row],[Sales]]*100</f>
        <v>23.79263565891473</v>
      </c>
      <c r="I1808" t="str">
        <f>IF(Table1[[#This Row],[Profit %]]&gt;20,"Excellent",IF(H1808&gt;10.1,"Good","Low"))</f>
        <v>Excellent</v>
      </c>
    </row>
    <row r="1809" spans="1:9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 s="2">
        <v>2139</v>
      </c>
      <c r="G1809">
        <v>503.08</v>
      </c>
      <c r="H1809" s="2">
        <f>Table1[[#This Row],[Profit]]/Table1[[#This Row],[Sales]]*100</f>
        <v>23.519401589527817</v>
      </c>
      <c r="I1809" t="str">
        <f>IF(Table1[[#This Row],[Profit %]]&gt;20,"Excellent",IF(H1809&gt;10.1,"Good","Low"))</f>
        <v>Excellent</v>
      </c>
    </row>
    <row r="1810" spans="1:9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 s="2">
        <v>8136</v>
      </c>
      <c r="G1810">
        <v>1923.89</v>
      </c>
      <c r="H1810" s="2">
        <f>Table1[[#This Row],[Profit]]/Table1[[#This Row],[Sales]]*100</f>
        <v>23.646632251720749</v>
      </c>
      <c r="I1810" t="str">
        <f>IF(Table1[[#This Row],[Profit %]]&gt;20,"Excellent",IF(H1810&gt;10.1,"Good","Low"))</f>
        <v>Excellent</v>
      </c>
    </row>
    <row r="1811" spans="1:9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 s="2">
        <v>2130</v>
      </c>
      <c r="G1811">
        <v>318.99</v>
      </c>
      <c r="H1811" s="2">
        <f>Table1[[#This Row],[Profit]]/Table1[[#This Row],[Sales]]*100</f>
        <v>14.976056338028171</v>
      </c>
      <c r="I1811" t="str">
        <f>IF(Table1[[#This Row],[Profit %]]&gt;20,"Excellent",IF(H1811&gt;10.1,"Good","Low"))</f>
        <v>Good</v>
      </c>
    </row>
    <row r="1812" spans="1:9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 s="2">
        <v>3445</v>
      </c>
      <c r="G1812">
        <v>202.15</v>
      </c>
      <c r="H1812" s="2">
        <f>Table1[[#This Row],[Profit]]/Table1[[#This Row],[Sales]]*100</f>
        <v>5.867924528301887</v>
      </c>
      <c r="I1812" t="str">
        <f>IF(Table1[[#This Row],[Profit %]]&gt;20,"Excellent",IF(H1812&gt;10.1,"Good","Low"))</f>
        <v>Low</v>
      </c>
    </row>
    <row r="1813" spans="1:9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 s="2">
        <v>5376</v>
      </c>
      <c r="G1813">
        <v>429.84</v>
      </c>
      <c r="H1813" s="2">
        <f>Table1[[#This Row],[Profit]]/Table1[[#This Row],[Sales]]*100</f>
        <v>7.9955357142857135</v>
      </c>
      <c r="I1813" t="str">
        <f>IF(Table1[[#This Row],[Profit %]]&gt;20,"Excellent",IF(H1813&gt;10.1,"Good","Low"))</f>
        <v>Low</v>
      </c>
    </row>
    <row r="1814" spans="1:9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 s="2">
        <v>3006</v>
      </c>
      <c r="G1814">
        <v>730.14</v>
      </c>
      <c r="H1814" s="2">
        <f>Table1[[#This Row],[Profit]]/Table1[[#This Row],[Sales]]*100</f>
        <v>24.289421157684629</v>
      </c>
      <c r="I1814" t="str">
        <f>IF(Table1[[#This Row],[Profit %]]&gt;20,"Excellent",IF(H1814&gt;10.1,"Good","Low"))</f>
        <v>Excellent</v>
      </c>
    </row>
    <row r="1815" spans="1:9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 s="2">
        <v>3941</v>
      </c>
      <c r="G1815">
        <v>1113.8499999999999</v>
      </c>
      <c r="H1815" s="2">
        <f>Table1[[#This Row],[Profit]]/Table1[[#This Row],[Sales]]*100</f>
        <v>28.26313118497843</v>
      </c>
      <c r="I1815" t="str">
        <f>IF(Table1[[#This Row],[Profit %]]&gt;20,"Excellent",IF(H1815&gt;10.1,"Good","Low"))</f>
        <v>Excellent</v>
      </c>
    </row>
    <row r="1816" spans="1:9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 s="2">
        <v>3350</v>
      </c>
      <c r="G1816">
        <v>389.95</v>
      </c>
      <c r="H1816" s="2">
        <f>Table1[[#This Row],[Profit]]/Table1[[#This Row],[Sales]]*100</f>
        <v>11.640298507462687</v>
      </c>
      <c r="I1816" t="str">
        <f>IF(Table1[[#This Row],[Profit %]]&gt;20,"Excellent",IF(H1816&gt;10.1,"Good","Low"))</f>
        <v>Good</v>
      </c>
    </row>
    <row r="1817" spans="1:9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 s="2">
        <v>2019</v>
      </c>
      <c r="G1817">
        <v>265.44</v>
      </c>
      <c r="H1817" s="2">
        <f>Table1[[#This Row],[Profit]]/Table1[[#This Row],[Sales]]*100</f>
        <v>13.147102526002971</v>
      </c>
      <c r="I1817" t="str">
        <f>IF(Table1[[#This Row],[Profit %]]&gt;20,"Excellent",IF(H1817&gt;10.1,"Good","Low"))</f>
        <v>Good</v>
      </c>
    </row>
    <row r="1818" spans="1:9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 s="2">
        <v>2416</v>
      </c>
      <c r="G1818">
        <v>403.38</v>
      </c>
      <c r="H1818" s="2">
        <f>Table1[[#This Row],[Profit]]/Table1[[#This Row],[Sales]]*100</f>
        <v>16.696192052980134</v>
      </c>
      <c r="I1818" t="str">
        <f>IF(Table1[[#This Row],[Profit %]]&gt;20,"Excellent",IF(H1818&gt;10.1,"Good","Low"))</f>
        <v>Good</v>
      </c>
    </row>
    <row r="1819" spans="1:9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 s="2">
        <v>6160</v>
      </c>
      <c r="G1819">
        <v>684.71</v>
      </c>
      <c r="H1819" s="2">
        <f>Table1[[#This Row],[Profit]]/Table1[[#This Row],[Sales]]*100</f>
        <v>11.115422077922078</v>
      </c>
      <c r="I1819" t="str">
        <f>IF(Table1[[#This Row],[Profit %]]&gt;20,"Excellent",IF(H1819&gt;10.1,"Good","Low"))</f>
        <v>Good</v>
      </c>
    </row>
    <row r="1820" spans="1:9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 s="2">
        <v>2796</v>
      </c>
      <c r="G1820">
        <v>682.65</v>
      </c>
      <c r="H1820" s="2">
        <f>Table1[[#This Row],[Profit]]/Table1[[#This Row],[Sales]]*100</f>
        <v>24.415236051502145</v>
      </c>
      <c r="I1820" t="str">
        <f>IF(Table1[[#This Row],[Profit %]]&gt;20,"Excellent",IF(H1820&gt;10.1,"Good","Low"))</f>
        <v>Excellent</v>
      </c>
    </row>
    <row r="1821" spans="1:9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 s="2">
        <v>7700</v>
      </c>
      <c r="G1821">
        <v>1573.41</v>
      </c>
      <c r="H1821" s="2">
        <f>Table1[[#This Row],[Profit]]/Table1[[#This Row],[Sales]]*100</f>
        <v>20.433896103896103</v>
      </c>
      <c r="I1821" t="str">
        <f>IF(Table1[[#This Row],[Profit %]]&gt;20,"Excellent",IF(H1821&gt;10.1,"Good","Low"))</f>
        <v>Excellent</v>
      </c>
    </row>
    <row r="1822" spans="1:9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 s="2">
        <v>2095</v>
      </c>
      <c r="G1822">
        <v>193.93</v>
      </c>
      <c r="H1822" s="2">
        <f>Table1[[#This Row],[Profit]]/Table1[[#This Row],[Sales]]*100</f>
        <v>9.2568019093078764</v>
      </c>
      <c r="I1822" t="str">
        <f>IF(Table1[[#This Row],[Profit %]]&gt;20,"Excellent",IF(H1822&gt;10.1,"Good","Low"))</f>
        <v>Low</v>
      </c>
    </row>
    <row r="1823" spans="1:9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 s="2">
        <v>5990</v>
      </c>
      <c r="G1823">
        <v>1548.62</v>
      </c>
      <c r="H1823" s="2">
        <f>Table1[[#This Row],[Profit]]/Table1[[#This Row],[Sales]]*100</f>
        <v>25.853422370617697</v>
      </c>
      <c r="I1823" t="str">
        <f>IF(Table1[[#This Row],[Profit %]]&gt;20,"Excellent",IF(H1823&gt;10.1,"Good","Low"))</f>
        <v>Excellent</v>
      </c>
    </row>
    <row r="1824" spans="1:9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 s="2">
        <v>1206</v>
      </c>
      <c r="G1824">
        <v>307.02</v>
      </c>
      <c r="H1824" s="2">
        <f>Table1[[#This Row],[Profit]]/Table1[[#This Row],[Sales]]*100</f>
        <v>25.457711442786067</v>
      </c>
      <c r="I1824" t="str">
        <f>IF(Table1[[#This Row],[Profit %]]&gt;20,"Excellent",IF(H1824&gt;10.1,"Good","Low"))</f>
        <v>Excellent</v>
      </c>
    </row>
    <row r="1825" spans="1:9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 s="2">
        <v>1330</v>
      </c>
      <c r="G1825">
        <v>285.77999999999997</v>
      </c>
      <c r="H1825" s="2">
        <f>Table1[[#This Row],[Profit]]/Table1[[#This Row],[Sales]]*100</f>
        <v>21.48721804511278</v>
      </c>
      <c r="I1825" t="str">
        <f>IF(Table1[[#This Row],[Profit %]]&gt;20,"Excellent",IF(H1825&gt;10.1,"Good","Low"))</f>
        <v>Excellent</v>
      </c>
    </row>
    <row r="1826" spans="1:9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 s="2">
        <v>2706</v>
      </c>
      <c r="G1826">
        <v>766.68</v>
      </c>
      <c r="H1826" s="2">
        <f>Table1[[#This Row],[Profit]]/Table1[[#This Row],[Sales]]*100</f>
        <v>28.332594235033259</v>
      </c>
      <c r="I1826" t="str">
        <f>IF(Table1[[#This Row],[Profit %]]&gt;20,"Excellent",IF(H1826&gt;10.1,"Good","Low"))</f>
        <v>Excellent</v>
      </c>
    </row>
    <row r="1827" spans="1:9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 s="2">
        <v>426</v>
      </c>
      <c r="G1827">
        <v>50.8</v>
      </c>
      <c r="H1827" s="2">
        <f>Table1[[#This Row],[Profit]]/Table1[[#This Row],[Sales]]*100</f>
        <v>11.92488262910798</v>
      </c>
      <c r="I1827" t="str">
        <f>IF(Table1[[#This Row],[Profit %]]&gt;20,"Excellent",IF(H1827&gt;10.1,"Good","Low"))</f>
        <v>Good</v>
      </c>
    </row>
    <row r="1828" spans="1:9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 s="2">
        <v>414</v>
      </c>
      <c r="G1828">
        <v>50.26</v>
      </c>
      <c r="H1828" s="2">
        <f>Table1[[#This Row],[Profit]]/Table1[[#This Row],[Sales]]*100</f>
        <v>12.140096618357488</v>
      </c>
      <c r="I1828" t="str">
        <f>IF(Table1[[#This Row],[Profit %]]&gt;20,"Excellent",IF(H1828&gt;10.1,"Good","Low"))</f>
        <v>Good</v>
      </c>
    </row>
    <row r="1829" spans="1:9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 s="2">
        <v>5465</v>
      </c>
      <c r="G1829">
        <v>546.33000000000004</v>
      </c>
      <c r="H1829" s="2">
        <f>Table1[[#This Row],[Profit]]/Table1[[#This Row],[Sales]]*100</f>
        <v>9.996889295516926</v>
      </c>
      <c r="I1829" t="str">
        <f>IF(Table1[[#This Row],[Profit %]]&gt;20,"Excellent",IF(H1829&gt;10.1,"Good","Low"))</f>
        <v>Low</v>
      </c>
    </row>
    <row r="1830" spans="1:9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 s="2">
        <v>726</v>
      </c>
      <c r="G1830">
        <v>71.06</v>
      </c>
      <c r="H1830" s="2">
        <f>Table1[[#This Row],[Profit]]/Table1[[#This Row],[Sales]]*100</f>
        <v>9.787878787878789</v>
      </c>
      <c r="I1830" t="str">
        <f>IF(Table1[[#This Row],[Profit %]]&gt;20,"Excellent",IF(H1830&gt;10.1,"Good","Low"))</f>
        <v>Low</v>
      </c>
    </row>
    <row r="1831" spans="1:9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 s="2">
        <v>1001</v>
      </c>
      <c r="G1831">
        <v>225.75</v>
      </c>
      <c r="H1831" s="2">
        <f>Table1[[#This Row],[Profit]]/Table1[[#This Row],[Sales]]*100</f>
        <v>22.552447552447553</v>
      </c>
      <c r="I1831" t="str">
        <f>IF(Table1[[#This Row],[Profit %]]&gt;20,"Excellent",IF(H1831&gt;10.1,"Good","Low"))</f>
        <v>Excellent</v>
      </c>
    </row>
    <row r="1832" spans="1:9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 s="2">
        <v>7362</v>
      </c>
      <c r="G1832">
        <v>1866.65</v>
      </c>
      <c r="H1832" s="2">
        <f>Table1[[#This Row],[Profit]]/Table1[[#This Row],[Sales]]*100</f>
        <v>25.355202390654714</v>
      </c>
      <c r="I1832" t="str">
        <f>IF(Table1[[#This Row],[Profit %]]&gt;20,"Excellent",IF(H1832&gt;10.1,"Good","Low"))</f>
        <v>Excellent</v>
      </c>
    </row>
    <row r="1833" spans="1:9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 s="2">
        <v>2284</v>
      </c>
      <c r="G1833">
        <v>576.59</v>
      </c>
      <c r="H1833" s="2">
        <f>Table1[[#This Row],[Profit]]/Table1[[#This Row],[Sales]]*100</f>
        <v>25.24474605954466</v>
      </c>
      <c r="I1833" t="str">
        <f>IF(Table1[[#This Row],[Profit %]]&gt;20,"Excellent",IF(H1833&gt;10.1,"Good","Low"))</f>
        <v>Excellent</v>
      </c>
    </row>
    <row r="1834" spans="1:9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 s="2">
        <v>2940</v>
      </c>
      <c r="G1834">
        <v>566.36</v>
      </c>
      <c r="H1834" s="2">
        <f>Table1[[#This Row],[Profit]]/Table1[[#This Row],[Sales]]*100</f>
        <v>19.263945578231294</v>
      </c>
      <c r="I1834" t="str">
        <f>IF(Table1[[#This Row],[Profit %]]&gt;20,"Excellent",IF(H1834&gt;10.1,"Good","Low"))</f>
        <v>Good</v>
      </c>
    </row>
    <row r="1835" spans="1:9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 s="2">
        <v>3068</v>
      </c>
      <c r="G1835">
        <v>868.89</v>
      </c>
      <c r="H1835" s="2">
        <f>Table1[[#This Row],[Profit]]/Table1[[#This Row],[Sales]]*100</f>
        <v>28.321056062581484</v>
      </c>
      <c r="I1835" t="str">
        <f>IF(Table1[[#This Row],[Profit %]]&gt;20,"Excellent",IF(H1835&gt;10.1,"Good","Low"))</f>
        <v>Excellent</v>
      </c>
    </row>
    <row r="1836" spans="1:9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 s="2">
        <v>3477</v>
      </c>
      <c r="G1836">
        <v>862.21</v>
      </c>
      <c r="H1836" s="2">
        <f>Table1[[#This Row],[Profit]]/Table1[[#This Row],[Sales]]*100</f>
        <v>24.797526603393731</v>
      </c>
      <c r="I1836" t="str">
        <f>IF(Table1[[#This Row],[Profit %]]&gt;20,"Excellent",IF(H1836&gt;10.1,"Good","Low"))</f>
        <v>Excellent</v>
      </c>
    </row>
    <row r="1837" spans="1:9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 s="2">
        <v>4014</v>
      </c>
      <c r="G1837">
        <v>204.48</v>
      </c>
      <c r="H1837" s="2">
        <f>Table1[[#This Row],[Profit]]/Table1[[#This Row],[Sales]]*100</f>
        <v>5.0941704035874436</v>
      </c>
      <c r="I1837" t="str">
        <f>IF(Table1[[#This Row],[Profit %]]&gt;20,"Excellent",IF(H1837&gt;10.1,"Good","Low"))</f>
        <v>Low</v>
      </c>
    </row>
    <row r="1838" spans="1:9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 s="2">
        <v>7200</v>
      </c>
      <c r="G1838">
        <v>804.53</v>
      </c>
      <c r="H1838" s="2">
        <f>Table1[[#This Row],[Profit]]/Table1[[#This Row],[Sales]]*100</f>
        <v>11.174027777777777</v>
      </c>
      <c r="I1838" t="str">
        <f>IF(Table1[[#This Row],[Profit %]]&gt;20,"Excellent",IF(H1838&gt;10.1,"Good","Low"))</f>
        <v>Good</v>
      </c>
    </row>
    <row r="1839" spans="1:9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 s="2">
        <v>735</v>
      </c>
      <c r="G1839">
        <v>134.53</v>
      </c>
      <c r="H1839" s="2">
        <f>Table1[[#This Row],[Profit]]/Table1[[#This Row],[Sales]]*100</f>
        <v>18.303401360544218</v>
      </c>
      <c r="I1839" t="str">
        <f>IF(Table1[[#This Row],[Profit %]]&gt;20,"Excellent",IF(H1839&gt;10.1,"Good","Low"))</f>
        <v>Good</v>
      </c>
    </row>
    <row r="1840" spans="1:9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 s="2">
        <v>2964</v>
      </c>
      <c r="G1840">
        <v>446.54</v>
      </c>
      <c r="H1840" s="2">
        <f>Table1[[#This Row],[Profit]]/Table1[[#This Row],[Sales]]*100</f>
        <v>15.065452091767881</v>
      </c>
      <c r="I1840" t="str">
        <f>IF(Table1[[#This Row],[Profit %]]&gt;20,"Excellent",IF(H1840&gt;10.1,"Good","Low"))</f>
        <v>Good</v>
      </c>
    </row>
    <row r="1841" spans="1:9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 s="2">
        <v>3699</v>
      </c>
      <c r="G1841">
        <v>276.07</v>
      </c>
      <c r="H1841" s="2">
        <f>Table1[[#This Row],[Profit]]/Table1[[#This Row],[Sales]]*100</f>
        <v>7.463368477967018</v>
      </c>
      <c r="I1841" t="str">
        <f>IF(Table1[[#This Row],[Profit %]]&gt;20,"Excellent",IF(H1841&gt;10.1,"Good","Low"))</f>
        <v>Low</v>
      </c>
    </row>
    <row r="1842" spans="1:9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 s="2">
        <v>1563</v>
      </c>
      <c r="G1842">
        <v>221.62</v>
      </c>
      <c r="H1842" s="2">
        <f>Table1[[#This Row],[Profit]]/Table1[[#This Row],[Sales]]*100</f>
        <v>14.179142674344211</v>
      </c>
      <c r="I1842" t="str">
        <f>IF(Table1[[#This Row],[Profit %]]&gt;20,"Excellent",IF(H1842&gt;10.1,"Good","Low"))</f>
        <v>Good</v>
      </c>
    </row>
    <row r="1843" spans="1:9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 s="2">
        <v>124</v>
      </c>
      <c r="G1843">
        <v>32.270000000000003</v>
      </c>
      <c r="H1843" s="2">
        <f>Table1[[#This Row],[Profit]]/Table1[[#This Row],[Sales]]*100</f>
        <v>26.024193548387096</v>
      </c>
      <c r="I1843" t="str">
        <f>IF(Table1[[#This Row],[Profit %]]&gt;20,"Excellent",IF(H1843&gt;10.1,"Good","Low"))</f>
        <v>Excellent</v>
      </c>
    </row>
    <row r="1844" spans="1:9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 s="2">
        <v>416</v>
      </c>
      <c r="G1844">
        <v>71.680000000000007</v>
      </c>
      <c r="H1844" s="2">
        <f>Table1[[#This Row],[Profit]]/Table1[[#This Row],[Sales]]*100</f>
        <v>17.230769230769234</v>
      </c>
      <c r="I1844" t="str">
        <f>IF(Table1[[#This Row],[Profit %]]&gt;20,"Excellent",IF(H1844&gt;10.1,"Good","Low"))</f>
        <v>Good</v>
      </c>
    </row>
    <row r="1845" spans="1:9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 s="2">
        <v>2624</v>
      </c>
      <c r="G1845">
        <v>294.24</v>
      </c>
      <c r="H1845" s="2">
        <f>Table1[[#This Row],[Profit]]/Table1[[#This Row],[Sales]]*100</f>
        <v>11.213414634146341</v>
      </c>
      <c r="I1845" t="str">
        <f>IF(Table1[[#This Row],[Profit %]]&gt;20,"Excellent",IF(H1845&gt;10.1,"Good","Low"))</f>
        <v>Good</v>
      </c>
    </row>
    <row r="1846" spans="1:9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 s="2">
        <v>1636</v>
      </c>
      <c r="G1846">
        <v>134.85</v>
      </c>
      <c r="H1846" s="2">
        <f>Table1[[#This Row],[Profit]]/Table1[[#This Row],[Sales]]*100</f>
        <v>8.2426650366748166</v>
      </c>
      <c r="I1846" t="str">
        <f>IF(Table1[[#This Row],[Profit %]]&gt;20,"Excellent",IF(H1846&gt;10.1,"Good","Low"))</f>
        <v>Low</v>
      </c>
    </row>
    <row r="1847" spans="1:9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 s="2">
        <v>8200</v>
      </c>
      <c r="G1847">
        <v>1978.93</v>
      </c>
      <c r="H1847" s="2">
        <f>Table1[[#This Row],[Profit]]/Table1[[#This Row],[Sales]]*100</f>
        <v>24.133292682926829</v>
      </c>
      <c r="I1847" t="str">
        <f>IF(Table1[[#This Row],[Profit %]]&gt;20,"Excellent",IF(H1847&gt;10.1,"Good","Low"))</f>
        <v>Excellent</v>
      </c>
    </row>
    <row r="1848" spans="1:9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 s="2">
        <v>5615</v>
      </c>
      <c r="G1848">
        <v>715.58</v>
      </c>
      <c r="H1848" s="2">
        <f>Table1[[#This Row],[Profit]]/Table1[[#This Row],[Sales]]*100</f>
        <v>12.744078361531614</v>
      </c>
      <c r="I1848" t="str">
        <f>IF(Table1[[#This Row],[Profit %]]&gt;20,"Excellent",IF(H1848&gt;10.1,"Good","Low"))</f>
        <v>Good</v>
      </c>
    </row>
    <row r="1849" spans="1:9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 s="2">
        <v>3085</v>
      </c>
      <c r="G1849">
        <v>413.52</v>
      </c>
      <c r="H1849" s="2">
        <f>Table1[[#This Row],[Profit]]/Table1[[#This Row],[Sales]]*100</f>
        <v>13.404213938411669</v>
      </c>
      <c r="I1849" t="str">
        <f>IF(Table1[[#This Row],[Profit %]]&gt;20,"Excellent",IF(H1849&gt;10.1,"Good","Low"))</f>
        <v>Good</v>
      </c>
    </row>
    <row r="1850" spans="1:9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 s="2">
        <v>3198</v>
      </c>
      <c r="G1850">
        <v>913.76</v>
      </c>
      <c r="H1850" s="2">
        <f>Table1[[#This Row],[Profit]]/Table1[[#This Row],[Sales]]*100</f>
        <v>28.57285803627267</v>
      </c>
      <c r="I1850" t="str">
        <f>IF(Table1[[#This Row],[Profit %]]&gt;20,"Excellent",IF(H1850&gt;10.1,"Good","Low"))</f>
        <v>Excellent</v>
      </c>
    </row>
    <row r="1851" spans="1:9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 s="2">
        <v>1848</v>
      </c>
      <c r="G1851">
        <v>374.66</v>
      </c>
      <c r="H1851" s="2">
        <f>Table1[[#This Row],[Profit]]/Table1[[#This Row],[Sales]]*100</f>
        <v>20.273809523809526</v>
      </c>
      <c r="I1851" t="str">
        <f>IF(Table1[[#This Row],[Profit %]]&gt;20,"Excellent",IF(H1851&gt;10.1,"Good","Low"))</f>
        <v>Excellent</v>
      </c>
    </row>
    <row r="1852" spans="1:9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 s="2">
        <v>652</v>
      </c>
      <c r="G1852">
        <v>116.06</v>
      </c>
      <c r="H1852" s="2">
        <f>Table1[[#This Row],[Profit]]/Table1[[#This Row],[Sales]]*100</f>
        <v>17.800613496932517</v>
      </c>
      <c r="I1852" t="str">
        <f>IF(Table1[[#This Row],[Profit %]]&gt;20,"Excellent",IF(H1852&gt;10.1,"Good","Low"))</f>
        <v>Good</v>
      </c>
    </row>
    <row r="1853" spans="1:9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 s="2">
        <v>2940</v>
      </c>
      <c r="G1853">
        <v>609.99</v>
      </c>
      <c r="H1853" s="2">
        <f>Table1[[#This Row],[Profit]]/Table1[[#This Row],[Sales]]*100</f>
        <v>20.747959183673469</v>
      </c>
      <c r="I1853" t="str">
        <f>IF(Table1[[#This Row],[Profit %]]&gt;20,"Excellent",IF(H1853&gt;10.1,"Good","Low"))</f>
        <v>Excellent</v>
      </c>
    </row>
    <row r="1854" spans="1:9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 s="2">
        <v>3912</v>
      </c>
      <c r="G1854">
        <v>454.89</v>
      </c>
      <c r="H1854" s="2">
        <f>Table1[[#This Row],[Profit]]/Table1[[#This Row],[Sales]]*100</f>
        <v>11.628067484662576</v>
      </c>
      <c r="I1854" t="str">
        <f>IF(Table1[[#This Row],[Profit %]]&gt;20,"Excellent",IF(H1854&gt;10.1,"Good","Low"))</f>
        <v>Good</v>
      </c>
    </row>
    <row r="1855" spans="1:9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 s="2">
        <v>9392</v>
      </c>
      <c r="G1855">
        <v>891.07</v>
      </c>
      <c r="H1855" s="2">
        <f>Table1[[#This Row],[Profit]]/Table1[[#This Row],[Sales]]*100</f>
        <v>9.4875425894378189</v>
      </c>
      <c r="I1855" t="str">
        <f>IF(Table1[[#This Row],[Profit %]]&gt;20,"Excellent",IF(H1855&gt;10.1,"Good","Low"))</f>
        <v>Low</v>
      </c>
    </row>
    <row r="1856" spans="1:9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 s="2">
        <v>312</v>
      </c>
      <c r="G1856">
        <v>43.01</v>
      </c>
      <c r="H1856" s="2">
        <f>Table1[[#This Row],[Profit]]/Table1[[#This Row],[Sales]]*100</f>
        <v>13.785256410256411</v>
      </c>
      <c r="I1856" t="str">
        <f>IF(Table1[[#This Row],[Profit %]]&gt;20,"Excellent",IF(H1856&gt;10.1,"Good","Low"))</f>
        <v>Good</v>
      </c>
    </row>
    <row r="1857" spans="1:9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 s="2">
        <v>7731</v>
      </c>
      <c r="G1857">
        <v>1459.74</v>
      </c>
      <c r="H1857" s="2">
        <f>Table1[[#This Row],[Profit]]/Table1[[#This Row],[Sales]]*100</f>
        <v>18.88164532402018</v>
      </c>
      <c r="I1857" t="str">
        <f>IF(Table1[[#This Row],[Profit %]]&gt;20,"Excellent",IF(H1857&gt;10.1,"Good","Low"))</f>
        <v>Good</v>
      </c>
    </row>
    <row r="1858" spans="1:9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 s="2">
        <v>1081</v>
      </c>
      <c r="G1858">
        <v>229.32</v>
      </c>
      <c r="H1858" s="2">
        <f>Table1[[#This Row],[Profit]]/Table1[[#This Row],[Sales]]*100</f>
        <v>21.213691026827011</v>
      </c>
      <c r="I1858" t="str">
        <f>IF(Table1[[#This Row],[Profit %]]&gt;20,"Excellent",IF(H1858&gt;10.1,"Good","Low"))</f>
        <v>Excellent</v>
      </c>
    </row>
    <row r="1859" spans="1:9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 s="2">
        <v>1926</v>
      </c>
      <c r="G1859">
        <v>393.01</v>
      </c>
      <c r="H1859" s="2">
        <f>Table1[[#This Row],[Profit]]/Table1[[#This Row],[Sales]]*100</f>
        <v>20.405503634475597</v>
      </c>
      <c r="I1859" t="str">
        <f>IF(Table1[[#This Row],[Profit %]]&gt;20,"Excellent",IF(H1859&gt;10.1,"Good","Low"))</f>
        <v>Excellent</v>
      </c>
    </row>
    <row r="1860" spans="1:9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 s="2">
        <v>936</v>
      </c>
      <c r="G1860">
        <v>88.51</v>
      </c>
      <c r="H1860" s="2">
        <f>Table1[[#This Row],[Profit]]/Table1[[#This Row],[Sales]]*100</f>
        <v>9.4561965811965809</v>
      </c>
      <c r="I1860" t="str">
        <f>IF(Table1[[#This Row],[Profit %]]&gt;20,"Excellent",IF(H1860&gt;10.1,"Good","Low"))</f>
        <v>Low</v>
      </c>
    </row>
    <row r="1861" spans="1:9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 s="2">
        <v>8550</v>
      </c>
      <c r="G1861">
        <v>1970.98</v>
      </c>
      <c r="H1861" s="2">
        <f>Table1[[#This Row],[Profit]]/Table1[[#This Row],[Sales]]*100</f>
        <v>23.052397660818713</v>
      </c>
      <c r="I1861" t="str">
        <f>IF(Table1[[#This Row],[Profit %]]&gt;20,"Excellent",IF(H1861&gt;10.1,"Good","Low"))</f>
        <v>Excellent</v>
      </c>
    </row>
    <row r="1862" spans="1:9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 s="2">
        <v>2468</v>
      </c>
      <c r="G1862">
        <v>457.51</v>
      </c>
      <c r="H1862" s="2">
        <f>Table1[[#This Row],[Profit]]/Table1[[#This Row],[Sales]]*100</f>
        <v>18.53768233387358</v>
      </c>
      <c r="I1862" t="str">
        <f>IF(Table1[[#This Row],[Profit %]]&gt;20,"Excellent",IF(H1862&gt;10.1,"Good","Low"))</f>
        <v>Good</v>
      </c>
    </row>
    <row r="1863" spans="1:9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 s="2">
        <v>801</v>
      </c>
      <c r="G1863">
        <v>90.34</v>
      </c>
      <c r="H1863" s="2">
        <f>Table1[[#This Row],[Profit]]/Table1[[#This Row],[Sales]]*100</f>
        <v>11.278401997503122</v>
      </c>
      <c r="I1863" t="str">
        <f>IF(Table1[[#This Row],[Profit %]]&gt;20,"Excellent",IF(H1863&gt;10.1,"Good","Low"))</f>
        <v>Good</v>
      </c>
    </row>
    <row r="1864" spans="1:9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 s="2">
        <v>2655</v>
      </c>
      <c r="G1864">
        <v>701.11</v>
      </c>
      <c r="H1864" s="2">
        <f>Table1[[#This Row],[Profit]]/Table1[[#This Row],[Sales]]*100</f>
        <v>26.407156308851228</v>
      </c>
      <c r="I1864" t="str">
        <f>IF(Table1[[#This Row],[Profit %]]&gt;20,"Excellent",IF(H1864&gt;10.1,"Good","Low"))</f>
        <v>Excellent</v>
      </c>
    </row>
    <row r="1865" spans="1:9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 s="2">
        <v>3928</v>
      </c>
      <c r="G1865">
        <v>700.38</v>
      </c>
      <c r="H1865" s="2">
        <f>Table1[[#This Row],[Profit]]/Table1[[#This Row],[Sales]]*100</f>
        <v>17.830448065173115</v>
      </c>
      <c r="I1865" t="str">
        <f>IF(Table1[[#This Row],[Profit %]]&gt;20,"Excellent",IF(H1865&gt;10.1,"Good","Low"))</f>
        <v>Good</v>
      </c>
    </row>
    <row r="1866" spans="1:9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 s="2">
        <v>6488</v>
      </c>
      <c r="G1866">
        <v>1438.34</v>
      </c>
      <c r="H1866" s="2">
        <f>Table1[[#This Row],[Profit]]/Table1[[#This Row],[Sales]]*100</f>
        <v>22.169235511713932</v>
      </c>
      <c r="I1866" t="str">
        <f>IF(Table1[[#This Row],[Profit %]]&gt;20,"Excellent",IF(H1866&gt;10.1,"Good","Low"))</f>
        <v>Excellent</v>
      </c>
    </row>
    <row r="1867" spans="1:9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 s="2">
        <v>7695</v>
      </c>
      <c r="G1867">
        <v>1749.26</v>
      </c>
      <c r="H1867" s="2">
        <f>Table1[[#This Row],[Profit]]/Table1[[#This Row],[Sales]]*100</f>
        <v>22.732423651721898</v>
      </c>
      <c r="I1867" t="str">
        <f>IF(Table1[[#This Row],[Profit %]]&gt;20,"Excellent",IF(H1867&gt;10.1,"Good","Low"))</f>
        <v>Excellent</v>
      </c>
    </row>
    <row r="1868" spans="1:9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 s="2">
        <v>1856</v>
      </c>
      <c r="G1868">
        <v>468.19</v>
      </c>
      <c r="H1868" s="2">
        <f>Table1[[#This Row],[Profit]]/Table1[[#This Row],[Sales]]*100</f>
        <v>25.225754310344829</v>
      </c>
      <c r="I1868" t="str">
        <f>IF(Table1[[#This Row],[Profit %]]&gt;20,"Excellent",IF(H1868&gt;10.1,"Good","Low"))</f>
        <v>Excellent</v>
      </c>
    </row>
    <row r="1869" spans="1:9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 s="2">
        <v>1519</v>
      </c>
      <c r="G1869">
        <v>403.63</v>
      </c>
      <c r="H1869" s="2">
        <f>Table1[[#This Row],[Profit]]/Table1[[#This Row],[Sales]]*100</f>
        <v>26.572086899275838</v>
      </c>
      <c r="I1869" t="str">
        <f>IF(Table1[[#This Row],[Profit %]]&gt;20,"Excellent",IF(H1869&gt;10.1,"Good","Low"))</f>
        <v>Excellent</v>
      </c>
    </row>
    <row r="1870" spans="1:9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 s="2">
        <v>3549</v>
      </c>
      <c r="G1870">
        <v>996.05</v>
      </c>
      <c r="H1870" s="2">
        <f>Table1[[#This Row],[Profit]]/Table1[[#This Row],[Sales]]*100</f>
        <v>28.065652296421529</v>
      </c>
      <c r="I1870" t="str">
        <f>IF(Table1[[#This Row],[Profit %]]&gt;20,"Excellent",IF(H1870&gt;10.1,"Good","Low"))</f>
        <v>Excellent</v>
      </c>
    </row>
    <row r="1871" spans="1:9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 s="2">
        <v>1656</v>
      </c>
      <c r="G1871">
        <v>378.84</v>
      </c>
      <c r="H1871" s="2">
        <f>Table1[[#This Row],[Profit]]/Table1[[#This Row],[Sales]]*100</f>
        <v>22.876811594202898</v>
      </c>
      <c r="I1871" t="str">
        <f>IF(Table1[[#This Row],[Profit %]]&gt;20,"Excellent",IF(H1871&gt;10.1,"Good","Low"))</f>
        <v>Excellent</v>
      </c>
    </row>
    <row r="1872" spans="1:9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 s="2">
        <v>812</v>
      </c>
      <c r="G1872">
        <v>175.55</v>
      </c>
      <c r="H1872" s="2">
        <f>Table1[[#This Row],[Profit]]/Table1[[#This Row],[Sales]]*100</f>
        <v>21.619458128078819</v>
      </c>
      <c r="I1872" t="str">
        <f>IF(Table1[[#This Row],[Profit %]]&gt;20,"Excellent",IF(H1872&gt;10.1,"Good","Low"))</f>
        <v>Excellent</v>
      </c>
    </row>
    <row r="1873" spans="1:9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 s="2">
        <v>3730</v>
      </c>
      <c r="G1873">
        <v>864.41</v>
      </c>
      <c r="H1873" s="2">
        <f>Table1[[#This Row],[Profit]]/Table1[[#This Row],[Sales]]*100</f>
        <v>23.174530831099194</v>
      </c>
      <c r="I1873" t="str">
        <f>IF(Table1[[#This Row],[Profit %]]&gt;20,"Excellent",IF(H1873&gt;10.1,"Good","Low"))</f>
        <v>Excellent</v>
      </c>
    </row>
    <row r="1874" spans="1:9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 s="2">
        <v>1161</v>
      </c>
      <c r="G1874">
        <v>210.87</v>
      </c>
      <c r="H1874" s="2">
        <f>Table1[[#This Row],[Profit]]/Table1[[#This Row],[Sales]]*100</f>
        <v>18.162790697674421</v>
      </c>
      <c r="I1874" t="str">
        <f>IF(Table1[[#This Row],[Profit %]]&gt;20,"Excellent",IF(H1874&gt;10.1,"Good","Low"))</f>
        <v>Good</v>
      </c>
    </row>
    <row r="1875" spans="1:9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 s="2">
        <v>2256</v>
      </c>
      <c r="G1875">
        <v>282.52</v>
      </c>
      <c r="H1875" s="2">
        <f>Table1[[#This Row],[Profit]]/Table1[[#This Row],[Sales]]*100</f>
        <v>12.523049645390069</v>
      </c>
      <c r="I1875" t="str">
        <f>IF(Table1[[#This Row],[Profit %]]&gt;20,"Excellent",IF(H1875&gt;10.1,"Good","Low"))</f>
        <v>Good</v>
      </c>
    </row>
    <row r="1876" spans="1:9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 s="2">
        <v>359</v>
      </c>
      <c r="G1876">
        <v>78.17</v>
      </c>
      <c r="H1876" s="2">
        <f>Table1[[#This Row],[Profit]]/Table1[[#This Row],[Sales]]*100</f>
        <v>21.774373259052926</v>
      </c>
      <c r="I1876" t="str">
        <f>IF(Table1[[#This Row],[Profit %]]&gt;20,"Excellent",IF(H1876&gt;10.1,"Good","Low"))</f>
        <v>Excellent</v>
      </c>
    </row>
    <row r="1877" spans="1:9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 s="2">
        <v>130</v>
      </c>
      <c r="G1877">
        <v>11.1</v>
      </c>
      <c r="H1877" s="2">
        <f>Table1[[#This Row],[Profit]]/Table1[[#This Row],[Sales]]*100</f>
        <v>8.5384615384615383</v>
      </c>
      <c r="I1877" t="str">
        <f>IF(Table1[[#This Row],[Profit %]]&gt;20,"Excellent",IF(H1877&gt;10.1,"Good","Low"))</f>
        <v>Low</v>
      </c>
    </row>
    <row r="1878" spans="1:9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 s="2">
        <v>4248</v>
      </c>
      <c r="G1878">
        <v>831.54</v>
      </c>
      <c r="H1878" s="2">
        <f>Table1[[#This Row],[Profit]]/Table1[[#This Row],[Sales]]*100</f>
        <v>19.574858757062145</v>
      </c>
      <c r="I1878" t="str">
        <f>IF(Table1[[#This Row],[Profit %]]&gt;20,"Excellent",IF(H1878&gt;10.1,"Good","Low"))</f>
        <v>Good</v>
      </c>
    </row>
    <row r="1879" spans="1:9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 s="2">
        <v>1825</v>
      </c>
      <c r="G1879">
        <v>221.47</v>
      </c>
      <c r="H1879" s="2">
        <f>Table1[[#This Row],[Profit]]/Table1[[#This Row],[Sales]]*100</f>
        <v>12.135342465753425</v>
      </c>
      <c r="I1879" t="str">
        <f>IF(Table1[[#This Row],[Profit %]]&gt;20,"Excellent",IF(H1879&gt;10.1,"Good","Low"))</f>
        <v>Good</v>
      </c>
    </row>
    <row r="1880" spans="1:9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 s="2">
        <v>876</v>
      </c>
      <c r="G1880">
        <v>224.01</v>
      </c>
      <c r="H1880" s="2">
        <f>Table1[[#This Row],[Profit]]/Table1[[#This Row],[Sales]]*100</f>
        <v>25.571917808219176</v>
      </c>
      <c r="I1880" t="str">
        <f>IF(Table1[[#This Row],[Profit %]]&gt;20,"Excellent",IF(H1880&gt;10.1,"Good","Low"))</f>
        <v>Excellent</v>
      </c>
    </row>
    <row r="1881" spans="1:9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 s="2">
        <v>9180</v>
      </c>
      <c r="G1881">
        <v>2752.84</v>
      </c>
      <c r="H1881" s="2">
        <f>Table1[[#This Row],[Profit]]/Table1[[#This Row],[Sales]]*100</f>
        <v>29.987363834422659</v>
      </c>
      <c r="I1881" t="str">
        <f>IF(Table1[[#This Row],[Profit %]]&gt;20,"Excellent",IF(H1881&gt;10.1,"Good","Low"))</f>
        <v>Excellent</v>
      </c>
    </row>
    <row r="1882" spans="1:9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 s="2">
        <v>1765</v>
      </c>
      <c r="G1882">
        <v>160.88999999999999</v>
      </c>
      <c r="H1882" s="2">
        <f>Table1[[#This Row],[Profit]]/Table1[[#This Row],[Sales]]*100</f>
        <v>9.1155807365439081</v>
      </c>
      <c r="I1882" t="str">
        <f>IF(Table1[[#This Row],[Profit %]]&gt;20,"Excellent",IF(H1882&gt;10.1,"Good","Low"))</f>
        <v>Low</v>
      </c>
    </row>
    <row r="1883" spans="1:9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 s="2">
        <v>1504</v>
      </c>
      <c r="G1883">
        <v>164.51</v>
      </c>
      <c r="H1883" s="2">
        <f>Table1[[#This Row],[Profit]]/Table1[[#This Row],[Sales]]*100</f>
        <v>10.938164893617021</v>
      </c>
      <c r="I1883" t="str">
        <f>IF(Table1[[#This Row],[Profit %]]&gt;20,"Excellent",IF(H1883&gt;10.1,"Good","Low"))</f>
        <v>Good</v>
      </c>
    </row>
    <row r="1884" spans="1:9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 s="2">
        <v>1881</v>
      </c>
      <c r="G1884">
        <v>430.78</v>
      </c>
      <c r="H1884" s="2">
        <f>Table1[[#This Row],[Profit]]/Table1[[#This Row],[Sales]]*100</f>
        <v>22.901648059542794</v>
      </c>
      <c r="I1884" t="str">
        <f>IF(Table1[[#This Row],[Profit %]]&gt;20,"Excellent",IF(H1884&gt;10.1,"Good","Low"))</f>
        <v>Excellent</v>
      </c>
    </row>
    <row r="1885" spans="1:9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 s="2">
        <v>7425</v>
      </c>
      <c r="G1885">
        <v>1533.72</v>
      </c>
      <c r="H1885" s="2">
        <f>Table1[[#This Row],[Profit]]/Table1[[#This Row],[Sales]]*100</f>
        <v>20.656161616161619</v>
      </c>
      <c r="I1885" t="str">
        <f>IF(Table1[[#This Row],[Profit %]]&gt;20,"Excellent",IF(H1885&gt;10.1,"Good","Low"))</f>
        <v>Excellent</v>
      </c>
    </row>
    <row r="1886" spans="1:9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 s="2">
        <v>720</v>
      </c>
      <c r="G1886">
        <v>192.83</v>
      </c>
      <c r="H1886" s="2">
        <f>Table1[[#This Row],[Profit]]/Table1[[#This Row],[Sales]]*100</f>
        <v>26.781944444444445</v>
      </c>
      <c r="I1886" t="str">
        <f>IF(Table1[[#This Row],[Profit %]]&gt;20,"Excellent",IF(H1886&gt;10.1,"Good","Low"))</f>
        <v>Excellent</v>
      </c>
    </row>
    <row r="1887" spans="1:9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 s="2">
        <v>2985</v>
      </c>
      <c r="G1887">
        <v>698.22</v>
      </c>
      <c r="H1887" s="2">
        <f>Table1[[#This Row],[Profit]]/Table1[[#This Row],[Sales]]*100</f>
        <v>23.390954773869346</v>
      </c>
      <c r="I1887" t="str">
        <f>IF(Table1[[#This Row],[Profit %]]&gt;20,"Excellent",IF(H1887&gt;10.1,"Good","Low"))</f>
        <v>Excellent</v>
      </c>
    </row>
    <row r="1888" spans="1:9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 s="2">
        <v>711</v>
      </c>
      <c r="G1888">
        <v>200.11</v>
      </c>
      <c r="H1888" s="2">
        <f>Table1[[#This Row],[Profit]]/Table1[[#This Row],[Sales]]*100</f>
        <v>28.144866385372719</v>
      </c>
      <c r="I1888" t="str">
        <f>IF(Table1[[#This Row],[Profit %]]&gt;20,"Excellent",IF(H1888&gt;10.1,"Good","Low"))</f>
        <v>Excellent</v>
      </c>
    </row>
    <row r="1889" spans="1:9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 s="2">
        <v>6276</v>
      </c>
      <c r="G1889">
        <v>1396.25</v>
      </c>
      <c r="H1889" s="2">
        <f>Table1[[#This Row],[Profit]]/Table1[[#This Row],[Sales]]*100</f>
        <v>22.247450605481198</v>
      </c>
      <c r="I1889" t="str">
        <f>IF(Table1[[#This Row],[Profit %]]&gt;20,"Excellent",IF(H1889&gt;10.1,"Good","Low"))</f>
        <v>Excellent</v>
      </c>
    </row>
    <row r="1890" spans="1:9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 s="2">
        <v>7966</v>
      </c>
      <c r="G1890">
        <v>955.8</v>
      </c>
      <c r="H1890" s="2">
        <f>Table1[[#This Row],[Profit]]/Table1[[#This Row],[Sales]]*100</f>
        <v>11.99849359779061</v>
      </c>
      <c r="I1890" t="str">
        <f>IF(Table1[[#This Row],[Profit %]]&gt;20,"Excellent",IF(H1890&gt;10.1,"Good","Low"))</f>
        <v>Good</v>
      </c>
    </row>
    <row r="1891" spans="1:9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 s="2">
        <v>4200</v>
      </c>
      <c r="G1891">
        <v>854.89</v>
      </c>
      <c r="H1891" s="2">
        <f>Table1[[#This Row],[Profit]]/Table1[[#This Row],[Sales]]*100</f>
        <v>20.354523809523808</v>
      </c>
      <c r="I1891" t="str">
        <f>IF(Table1[[#This Row],[Profit %]]&gt;20,"Excellent",IF(H1891&gt;10.1,"Good","Low"))</f>
        <v>Excellent</v>
      </c>
    </row>
    <row r="1892" spans="1:9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 s="2">
        <v>455</v>
      </c>
      <c r="G1892">
        <v>80</v>
      </c>
      <c r="H1892" s="2">
        <f>Table1[[#This Row],[Profit]]/Table1[[#This Row],[Sales]]*100</f>
        <v>17.582417582417584</v>
      </c>
      <c r="I1892" t="str">
        <f>IF(Table1[[#This Row],[Profit %]]&gt;20,"Excellent",IF(H1892&gt;10.1,"Good","Low"))</f>
        <v>Good</v>
      </c>
    </row>
    <row r="1893" spans="1:9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 s="2">
        <v>5040</v>
      </c>
      <c r="G1893">
        <v>465.36</v>
      </c>
      <c r="H1893" s="2">
        <f>Table1[[#This Row],[Profit]]/Table1[[#This Row],[Sales]]*100</f>
        <v>9.2333333333333343</v>
      </c>
      <c r="I1893" t="str">
        <f>IF(Table1[[#This Row],[Profit %]]&gt;20,"Excellent",IF(H1893&gt;10.1,"Good","Low"))</f>
        <v>Low</v>
      </c>
    </row>
    <row r="1894" spans="1:9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 s="2">
        <v>856</v>
      </c>
      <c r="G1894">
        <v>87.69</v>
      </c>
      <c r="H1894" s="2">
        <f>Table1[[#This Row],[Profit]]/Table1[[#This Row],[Sales]]*100</f>
        <v>10.244158878504672</v>
      </c>
      <c r="I1894" t="str">
        <f>IF(Table1[[#This Row],[Profit %]]&gt;20,"Excellent",IF(H1894&gt;10.1,"Good","Low"))</f>
        <v>Good</v>
      </c>
    </row>
    <row r="1895" spans="1:9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 s="2">
        <v>5230</v>
      </c>
      <c r="G1895">
        <v>385.77</v>
      </c>
      <c r="H1895" s="2">
        <f>Table1[[#This Row],[Profit]]/Table1[[#This Row],[Sales]]*100</f>
        <v>7.3760994263862329</v>
      </c>
      <c r="I1895" t="str">
        <f>IF(Table1[[#This Row],[Profit %]]&gt;20,"Excellent",IF(H1895&gt;10.1,"Good","Low"))</f>
        <v>Low</v>
      </c>
    </row>
    <row r="1896" spans="1:9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 s="2">
        <v>4635</v>
      </c>
      <c r="G1896">
        <v>769.03</v>
      </c>
      <c r="H1896" s="2">
        <f>Table1[[#This Row],[Profit]]/Table1[[#This Row],[Sales]]*100</f>
        <v>16.591801510248111</v>
      </c>
      <c r="I1896" t="str">
        <f>IF(Table1[[#This Row],[Profit %]]&gt;20,"Excellent",IF(H1896&gt;10.1,"Good","Low"))</f>
        <v>Good</v>
      </c>
    </row>
    <row r="1897" spans="1:9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 s="2">
        <v>5508</v>
      </c>
      <c r="G1897">
        <v>360.28</v>
      </c>
      <c r="H1897" s="2">
        <f>Table1[[#This Row],[Profit]]/Table1[[#This Row],[Sales]]*100</f>
        <v>6.5410312273057363</v>
      </c>
      <c r="I1897" t="str">
        <f>IF(Table1[[#This Row],[Profit %]]&gt;20,"Excellent",IF(H1897&gt;10.1,"Good","Low"))</f>
        <v>Low</v>
      </c>
    </row>
    <row r="1898" spans="1:9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 s="2">
        <v>258</v>
      </c>
      <c r="G1898">
        <v>27.01</v>
      </c>
      <c r="H1898" s="2">
        <f>Table1[[#This Row],[Profit]]/Table1[[#This Row],[Sales]]*100</f>
        <v>10.468992248062015</v>
      </c>
      <c r="I1898" t="str">
        <f>IF(Table1[[#This Row],[Profit %]]&gt;20,"Excellent",IF(H1898&gt;10.1,"Good","Low"))</f>
        <v>Good</v>
      </c>
    </row>
    <row r="1899" spans="1:9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 s="2">
        <v>677</v>
      </c>
      <c r="G1899">
        <v>88.41</v>
      </c>
      <c r="H1899" s="2">
        <f>Table1[[#This Row],[Profit]]/Table1[[#This Row],[Sales]]*100</f>
        <v>13.059084194977844</v>
      </c>
      <c r="I1899" t="str">
        <f>IF(Table1[[#This Row],[Profit %]]&gt;20,"Excellent",IF(H1899&gt;10.1,"Good","Low"))</f>
        <v>Good</v>
      </c>
    </row>
    <row r="1900" spans="1:9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 s="2">
        <v>4545</v>
      </c>
      <c r="G1900">
        <v>755.05</v>
      </c>
      <c r="H1900" s="2">
        <f>Table1[[#This Row],[Profit]]/Table1[[#This Row],[Sales]]*100</f>
        <v>16.61276127612761</v>
      </c>
      <c r="I1900" t="str">
        <f>IF(Table1[[#This Row],[Profit %]]&gt;20,"Excellent",IF(H1900&gt;10.1,"Good","Low"))</f>
        <v>Good</v>
      </c>
    </row>
    <row r="1901" spans="1:9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 s="2">
        <v>4370</v>
      </c>
      <c r="G1901">
        <v>1255.3599999999999</v>
      </c>
      <c r="H1901" s="2">
        <f>Table1[[#This Row],[Profit]]/Table1[[#This Row],[Sales]]*100</f>
        <v>28.726773455377575</v>
      </c>
      <c r="I1901" t="str">
        <f>IF(Table1[[#This Row],[Profit %]]&gt;20,"Excellent",IF(H1901&gt;10.1,"Good","Low"))</f>
        <v>Excellent</v>
      </c>
    </row>
    <row r="1902" spans="1:9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 s="2">
        <v>372</v>
      </c>
      <c r="G1902">
        <v>57.51</v>
      </c>
      <c r="H1902" s="2">
        <f>Table1[[#This Row],[Profit]]/Table1[[#This Row],[Sales]]*100</f>
        <v>15.45967741935484</v>
      </c>
      <c r="I1902" t="str">
        <f>IF(Table1[[#This Row],[Profit %]]&gt;20,"Excellent",IF(H1902&gt;10.1,"Good","Low"))</f>
        <v>Good</v>
      </c>
    </row>
    <row r="1903" spans="1:9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 s="2">
        <v>3177</v>
      </c>
      <c r="G1903">
        <v>629.96</v>
      </c>
      <c r="H1903" s="2">
        <f>Table1[[#This Row],[Profit]]/Table1[[#This Row],[Sales]]*100</f>
        <v>19.828769279194209</v>
      </c>
      <c r="I1903" t="str">
        <f>IF(Table1[[#This Row],[Profit %]]&gt;20,"Excellent",IF(H1903&gt;10.1,"Good","Low"))</f>
        <v>Good</v>
      </c>
    </row>
    <row r="1904" spans="1:9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 s="2">
        <v>1659</v>
      </c>
      <c r="G1904">
        <v>127.48</v>
      </c>
      <c r="H1904" s="2">
        <f>Table1[[#This Row],[Profit]]/Table1[[#This Row],[Sales]]*100</f>
        <v>7.6841470765521409</v>
      </c>
      <c r="I1904" t="str">
        <f>IF(Table1[[#This Row],[Profit %]]&gt;20,"Excellent",IF(H1904&gt;10.1,"Good","Low"))</f>
        <v>Low</v>
      </c>
    </row>
    <row r="1905" spans="1:9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 s="2">
        <v>3360</v>
      </c>
      <c r="G1905">
        <v>759.31</v>
      </c>
      <c r="H1905" s="2">
        <f>Table1[[#This Row],[Profit]]/Table1[[#This Row],[Sales]]*100</f>
        <v>22.598511904761903</v>
      </c>
      <c r="I1905" t="str">
        <f>IF(Table1[[#This Row],[Profit %]]&gt;20,"Excellent",IF(H1905&gt;10.1,"Good","Low"))</f>
        <v>Excellent</v>
      </c>
    </row>
    <row r="1906" spans="1:9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 s="2">
        <v>1132</v>
      </c>
      <c r="G1906">
        <v>290.56</v>
      </c>
      <c r="H1906" s="2">
        <f>Table1[[#This Row],[Profit]]/Table1[[#This Row],[Sales]]*100</f>
        <v>25.667844522968196</v>
      </c>
      <c r="I1906" t="str">
        <f>IF(Table1[[#This Row],[Profit %]]&gt;20,"Excellent",IF(H1906&gt;10.1,"Good","Low"))</f>
        <v>Excellent</v>
      </c>
    </row>
    <row r="1907" spans="1:9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 s="2">
        <v>1815</v>
      </c>
      <c r="G1907">
        <v>468.62</v>
      </c>
      <c r="H1907" s="2">
        <f>Table1[[#This Row],[Profit]]/Table1[[#This Row],[Sales]]*100</f>
        <v>25.819283746556476</v>
      </c>
      <c r="I1907" t="str">
        <f>IF(Table1[[#This Row],[Profit %]]&gt;20,"Excellent",IF(H1907&gt;10.1,"Good","Low"))</f>
        <v>Excellent</v>
      </c>
    </row>
    <row r="1908" spans="1:9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 s="2">
        <v>459</v>
      </c>
      <c r="G1908">
        <v>125.19</v>
      </c>
      <c r="H1908" s="2">
        <f>Table1[[#This Row],[Profit]]/Table1[[#This Row],[Sales]]*100</f>
        <v>27.274509803921571</v>
      </c>
      <c r="I1908" t="str">
        <f>IF(Table1[[#This Row],[Profit %]]&gt;20,"Excellent",IF(H1908&gt;10.1,"Good","Low"))</f>
        <v>Excellent</v>
      </c>
    </row>
    <row r="1909" spans="1:9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 s="2">
        <v>1128</v>
      </c>
      <c r="G1909">
        <v>73.739999999999995</v>
      </c>
      <c r="H1909" s="2">
        <f>Table1[[#This Row],[Profit]]/Table1[[#This Row],[Sales]]*100</f>
        <v>6.5372340425531918</v>
      </c>
      <c r="I1909" t="str">
        <f>IF(Table1[[#This Row],[Profit %]]&gt;20,"Excellent",IF(H1909&gt;10.1,"Good","Low"))</f>
        <v>Low</v>
      </c>
    </row>
    <row r="1910" spans="1:9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 s="2">
        <v>1170</v>
      </c>
      <c r="G1910">
        <v>104.63</v>
      </c>
      <c r="H1910" s="2">
        <f>Table1[[#This Row],[Profit]]/Table1[[#This Row],[Sales]]*100</f>
        <v>8.9427350427350429</v>
      </c>
      <c r="I1910" t="str">
        <f>IF(Table1[[#This Row],[Profit %]]&gt;20,"Excellent",IF(H1910&gt;10.1,"Good","Low"))</f>
        <v>Low</v>
      </c>
    </row>
    <row r="1911" spans="1:9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 s="2">
        <v>4420</v>
      </c>
      <c r="G1911">
        <v>380.69</v>
      </c>
      <c r="H1911" s="2">
        <f>Table1[[#This Row],[Profit]]/Table1[[#This Row],[Sales]]*100</f>
        <v>8.6128959276018104</v>
      </c>
      <c r="I1911" t="str">
        <f>IF(Table1[[#This Row],[Profit %]]&gt;20,"Excellent",IF(H1911&gt;10.1,"Good","Low"))</f>
        <v>Low</v>
      </c>
    </row>
    <row r="1912" spans="1:9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 s="2">
        <v>456</v>
      </c>
      <c r="G1912">
        <v>69.150000000000006</v>
      </c>
      <c r="H1912" s="2">
        <f>Table1[[#This Row],[Profit]]/Table1[[#This Row],[Sales]]*100</f>
        <v>15.164473684210527</v>
      </c>
      <c r="I1912" t="str">
        <f>IF(Table1[[#This Row],[Profit %]]&gt;20,"Excellent",IF(H1912&gt;10.1,"Good","Low"))</f>
        <v>Good</v>
      </c>
    </row>
    <row r="1913" spans="1:9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 s="2">
        <v>1458</v>
      </c>
      <c r="G1913">
        <v>154.79</v>
      </c>
      <c r="H1913" s="2">
        <f>Table1[[#This Row],[Profit]]/Table1[[#This Row],[Sales]]*100</f>
        <v>10.616598079561042</v>
      </c>
      <c r="I1913" t="str">
        <f>IF(Table1[[#This Row],[Profit %]]&gt;20,"Excellent",IF(H1913&gt;10.1,"Good","Low"))</f>
        <v>Good</v>
      </c>
    </row>
    <row r="1914" spans="1:9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 s="2">
        <v>2989</v>
      </c>
      <c r="G1914">
        <v>197.58</v>
      </c>
      <c r="H1914" s="2">
        <f>Table1[[#This Row],[Profit]]/Table1[[#This Row],[Sales]]*100</f>
        <v>6.6102375376380067</v>
      </c>
      <c r="I1914" t="str">
        <f>IF(Table1[[#This Row],[Profit %]]&gt;20,"Excellent",IF(H1914&gt;10.1,"Good","Low"))</f>
        <v>Low</v>
      </c>
    </row>
    <row r="1915" spans="1:9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 s="2">
        <v>3424</v>
      </c>
      <c r="G1915">
        <v>845.68</v>
      </c>
      <c r="H1915" s="2">
        <f>Table1[[#This Row],[Profit]]/Table1[[#This Row],[Sales]]*100</f>
        <v>24.69859813084112</v>
      </c>
      <c r="I1915" t="str">
        <f>IF(Table1[[#This Row],[Profit %]]&gt;20,"Excellent",IF(H1915&gt;10.1,"Good","Low"))</f>
        <v>Excellent</v>
      </c>
    </row>
    <row r="1916" spans="1:9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 s="2">
        <v>1226</v>
      </c>
      <c r="G1916">
        <v>124.25</v>
      </c>
      <c r="H1916" s="2">
        <f>Table1[[#This Row],[Profit]]/Table1[[#This Row],[Sales]]*100</f>
        <v>10.134584013050571</v>
      </c>
      <c r="I1916" t="str">
        <f>IF(Table1[[#This Row],[Profit %]]&gt;20,"Excellent",IF(H1916&gt;10.1,"Good","Low"))</f>
        <v>Good</v>
      </c>
    </row>
    <row r="1917" spans="1:9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 s="2">
        <v>6760</v>
      </c>
      <c r="G1917">
        <v>1097.6300000000001</v>
      </c>
      <c r="H1917" s="2">
        <f>Table1[[#This Row],[Profit]]/Table1[[#This Row],[Sales]]*100</f>
        <v>16.237130177514793</v>
      </c>
      <c r="I1917" t="str">
        <f>IF(Table1[[#This Row],[Profit %]]&gt;20,"Excellent",IF(H1917&gt;10.1,"Good","Low"))</f>
        <v>Good</v>
      </c>
    </row>
    <row r="1918" spans="1:9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 s="2">
        <v>111</v>
      </c>
      <c r="G1918">
        <v>13.61</v>
      </c>
      <c r="H1918" s="2">
        <f>Table1[[#This Row],[Profit]]/Table1[[#This Row],[Sales]]*100</f>
        <v>12.261261261261261</v>
      </c>
      <c r="I1918" t="str">
        <f>IF(Table1[[#This Row],[Profit %]]&gt;20,"Excellent",IF(H1918&gt;10.1,"Good","Low"))</f>
        <v>Good</v>
      </c>
    </row>
    <row r="1919" spans="1:9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 s="2">
        <v>3275</v>
      </c>
      <c r="G1919">
        <v>222.29</v>
      </c>
      <c r="H1919" s="2">
        <f>Table1[[#This Row],[Profit]]/Table1[[#This Row],[Sales]]*100</f>
        <v>6.7874809160305345</v>
      </c>
      <c r="I1919" t="str">
        <f>IF(Table1[[#This Row],[Profit %]]&gt;20,"Excellent",IF(H1919&gt;10.1,"Good","Low"))</f>
        <v>Low</v>
      </c>
    </row>
    <row r="1920" spans="1:9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 s="2">
        <v>2508</v>
      </c>
      <c r="G1920">
        <v>498.69</v>
      </c>
      <c r="H1920" s="2">
        <f>Table1[[#This Row],[Profit]]/Table1[[#This Row],[Sales]]*100</f>
        <v>19.883971291866029</v>
      </c>
      <c r="I1920" t="str">
        <f>IF(Table1[[#This Row],[Profit %]]&gt;20,"Excellent",IF(H1920&gt;10.1,"Good","Low"))</f>
        <v>Good</v>
      </c>
    </row>
    <row r="1921" spans="1:9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 s="2">
        <v>904</v>
      </c>
      <c r="G1921">
        <v>202.35</v>
      </c>
      <c r="H1921" s="2">
        <f>Table1[[#This Row],[Profit]]/Table1[[#This Row],[Sales]]*100</f>
        <v>22.383849557522122</v>
      </c>
      <c r="I1921" t="str">
        <f>IF(Table1[[#This Row],[Profit %]]&gt;20,"Excellent",IF(H1921&gt;10.1,"Good","Low"))</f>
        <v>Excellent</v>
      </c>
    </row>
    <row r="1922" spans="1:9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 s="2">
        <v>1506</v>
      </c>
      <c r="G1922">
        <v>427.84</v>
      </c>
      <c r="H1922" s="2">
        <f>Table1[[#This Row],[Profit]]/Table1[[#This Row],[Sales]]*100</f>
        <v>28.409030544488711</v>
      </c>
      <c r="I1922" t="str">
        <f>IF(Table1[[#This Row],[Profit %]]&gt;20,"Excellent",IF(H1922&gt;10.1,"Good","Low"))</f>
        <v>Excellent</v>
      </c>
    </row>
    <row r="1923" spans="1:9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 s="2">
        <v>987</v>
      </c>
      <c r="G1923">
        <v>97.01</v>
      </c>
      <c r="H1923" s="2">
        <f>Table1[[#This Row],[Profit]]/Table1[[#This Row],[Sales]]*100</f>
        <v>9.8287740628166169</v>
      </c>
      <c r="I1923" t="str">
        <f>IF(Table1[[#This Row],[Profit %]]&gt;20,"Excellent",IF(H1923&gt;10.1,"Good","Low"))</f>
        <v>Low</v>
      </c>
    </row>
    <row r="1924" spans="1:9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 s="2">
        <v>2968</v>
      </c>
      <c r="G1924">
        <v>728.94</v>
      </c>
      <c r="H1924" s="2">
        <f>Table1[[#This Row],[Profit]]/Table1[[#This Row],[Sales]]*100</f>
        <v>24.559973045822105</v>
      </c>
      <c r="I1924" t="str">
        <f>IF(Table1[[#This Row],[Profit %]]&gt;20,"Excellent",IF(H1924&gt;10.1,"Good","Low"))</f>
        <v>Excellent</v>
      </c>
    </row>
    <row r="1925" spans="1:9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 s="2">
        <v>4200</v>
      </c>
      <c r="G1925">
        <v>746.86</v>
      </c>
      <c r="H1925" s="2">
        <f>Table1[[#This Row],[Profit]]/Table1[[#This Row],[Sales]]*100</f>
        <v>17.782380952380951</v>
      </c>
      <c r="I1925" t="str">
        <f>IF(Table1[[#This Row],[Profit %]]&gt;20,"Excellent",IF(H1925&gt;10.1,"Good","Low"))</f>
        <v>Good</v>
      </c>
    </row>
    <row r="1926" spans="1:9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 s="2">
        <v>1645</v>
      </c>
      <c r="G1926">
        <v>313.66000000000003</v>
      </c>
      <c r="H1926" s="2">
        <f>Table1[[#This Row],[Profit]]/Table1[[#This Row],[Sales]]*100</f>
        <v>19.067477203647417</v>
      </c>
      <c r="I1926" t="str">
        <f>IF(Table1[[#This Row],[Profit %]]&gt;20,"Excellent",IF(H1926&gt;10.1,"Good","Low"))</f>
        <v>Good</v>
      </c>
    </row>
    <row r="1927" spans="1:9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 s="2">
        <v>3282</v>
      </c>
      <c r="G1927">
        <v>492.59</v>
      </c>
      <c r="H1927" s="2">
        <f>Table1[[#This Row],[Profit]]/Table1[[#This Row],[Sales]]*100</f>
        <v>15.00883607556368</v>
      </c>
      <c r="I1927" t="str">
        <f>IF(Table1[[#This Row],[Profit %]]&gt;20,"Excellent",IF(H1927&gt;10.1,"Good","Low"))</f>
        <v>Good</v>
      </c>
    </row>
    <row r="1928" spans="1:9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 s="2">
        <v>4914</v>
      </c>
      <c r="G1928">
        <v>1160.45</v>
      </c>
      <c r="H1928" s="2">
        <f>Table1[[#This Row],[Profit]]/Table1[[#This Row],[Sales]]*100</f>
        <v>23.615181115181116</v>
      </c>
      <c r="I1928" t="str">
        <f>IF(Table1[[#This Row],[Profit %]]&gt;20,"Excellent",IF(H1928&gt;10.1,"Good","Low"))</f>
        <v>Excellent</v>
      </c>
    </row>
    <row r="1929" spans="1:9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 s="2">
        <v>3924</v>
      </c>
      <c r="G1929">
        <v>762.96</v>
      </c>
      <c r="H1929" s="2">
        <f>Table1[[#This Row],[Profit]]/Table1[[#This Row],[Sales]]*100</f>
        <v>19.443425076452598</v>
      </c>
      <c r="I1929" t="str">
        <f>IF(Table1[[#This Row],[Profit %]]&gt;20,"Excellent",IF(H1929&gt;10.1,"Good","Low"))</f>
        <v>Good</v>
      </c>
    </row>
    <row r="1930" spans="1:9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 s="2">
        <v>420</v>
      </c>
      <c r="G1930">
        <v>65.62</v>
      </c>
      <c r="H1930" s="2">
        <f>Table1[[#This Row],[Profit]]/Table1[[#This Row],[Sales]]*100</f>
        <v>15.623809523809525</v>
      </c>
      <c r="I1930" t="str">
        <f>IF(Table1[[#This Row],[Profit %]]&gt;20,"Excellent",IF(H1930&gt;10.1,"Good","Low"))</f>
        <v>Good</v>
      </c>
    </row>
    <row r="1931" spans="1:9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 s="2">
        <v>1544</v>
      </c>
      <c r="G1931">
        <v>106.02</v>
      </c>
      <c r="H1931" s="2">
        <f>Table1[[#This Row],[Profit]]/Table1[[#This Row],[Sales]]*100</f>
        <v>6.8665803108808294</v>
      </c>
      <c r="I1931" t="str">
        <f>IF(Table1[[#This Row],[Profit %]]&gt;20,"Excellent",IF(H1931&gt;10.1,"Good","Low"))</f>
        <v>Low</v>
      </c>
    </row>
    <row r="1932" spans="1:9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 s="2">
        <v>2046</v>
      </c>
      <c r="G1932">
        <v>233.47</v>
      </c>
      <c r="H1932" s="2">
        <f>Table1[[#This Row],[Profit]]/Table1[[#This Row],[Sales]]*100</f>
        <v>11.411045943304007</v>
      </c>
      <c r="I1932" t="str">
        <f>IF(Table1[[#This Row],[Profit %]]&gt;20,"Excellent",IF(H1932&gt;10.1,"Good","Low"))</f>
        <v>Good</v>
      </c>
    </row>
    <row r="1933" spans="1:9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 s="2">
        <v>1548</v>
      </c>
      <c r="G1933">
        <v>157.47999999999999</v>
      </c>
      <c r="H1933" s="2">
        <f>Table1[[#This Row],[Profit]]/Table1[[#This Row],[Sales]]*100</f>
        <v>10.17312661498708</v>
      </c>
      <c r="I1933" t="str">
        <f>IF(Table1[[#This Row],[Profit %]]&gt;20,"Excellent",IF(H1933&gt;10.1,"Good","Low"))</f>
        <v>Good</v>
      </c>
    </row>
    <row r="1934" spans="1:9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 s="2">
        <v>3184</v>
      </c>
      <c r="G1934">
        <v>478.27</v>
      </c>
      <c r="H1934" s="2">
        <f>Table1[[#This Row],[Profit]]/Table1[[#This Row],[Sales]]*100</f>
        <v>15.021042713567839</v>
      </c>
      <c r="I1934" t="str">
        <f>IF(Table1[[#This Row],[Profit %]]&gt;20,"Excellent",IF(H1934&gt;10.1,"Good","Low"))</f>
        <v>Good</v>
      </c>
    </row>
    <row r="1935" spans="1:9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 s="2">
        <v>3385</v>
      </c>
      <c r="G1935">
        <v>774.86</v>
      </c>
      <c r="H1935" s="2">
        <f>Table1[[#This Row],[Profit]]/Table1[[#This Row],[Sales]]*100</f>
        <v>22.890989660265877</v>
      </c>
      <c r="I1935" t="str">
        <f>IF(Table1[[#This Row],[Profit %]]&gt;20,"Excellent",IF(H1935&gt;10.1,"Good","Low"))</f>
        <v>Excellent</v>
      </c>
    </row>
    <row r="1936" spans="1:9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 s="2">
        <v>59</v>
      </c>
      <c r="G1936">
        <v>10.32</v>
      </c>
      <c r="H1936" s="2">
        <f>Table1[[#This Row],[Profit]]/Table1[[#This Row],[Sales]]*100</f>
        <v>17.491525423728817</v>
      </c>
      <c r="I1936" t="str">
        <f>IF(Table1[[#This Row],[Profit %]]&gt;20,"Excellent",IF(H1936&gt;10.1,"Good","Low"))</f>
        <v>Good</v>
      </c>
    </row>
    <row r="1937" spans="1:9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 s="2">
        <v>5976</v>
      </c>
      <c r="G1937">
        <v>1016.99</v>
      </c>
      <c r="H1937" s="2">
        <f>Table1[[#This Row],[Profit]]/Table1[[#This Row],[Sales]]*100</f>
        <v>17.017904953145919</v>
      </c>
      <c r="I1937" t="str">
        <f>IF(Table1[[#This Row],[Profit %]]&gt;20,"Excellent",IF(H1937&gt;10.1,"Good","Low"))</f>
        <v>Good</v>
      </c>
    </row>
    <row r="1938" spans="1:9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 s="2">
        <v>1791</v>
      </c>
      <c r="G1938">
        <v>122.5</v>
      </c>
      <c r="H1938" s="2">
        <f>Table1[[#This Row],[Profit]]/Table1[[#This Row],[Sales]]*100</f>
        <v>6.8397543271915131</v>
      </c>
      <c r="I1938" t="str">
        <f>IF(Table1[[#This Row],[Profit %]]&gt;20,"Excellent",IF(H1938&gt;10.1,"Good","Low"))</f>
        <v>Low</v>
      </c>
    </row>
    <row r="1939" spans="1:9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 s="2">
        <v>1644</v>
      </c>
      <c r="G1939">
        <v>189.32</v>
      </c>
      <c r="H1939" s="2">
        <f>Table1[[#This Row],[Profit]]/Table1[[#This Row],[Sales]]*100</f>
        <v>11.515815085158151</v>
      </c>
      <c r="I1939" t="str">
        <f>IF(Table1[[#This Row],[Profit %]]&gt;20,"Excellent",IF(H1939&gt;10.1,"Good","Low"))</f>
        <v>Good</v>
      </c>
    </row>
    <row r="1940" spans="1:9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 s="2">
        <v>6584</v>
      </c>
      <c r="G1940">
        <v>544.62</v>
      </c>
      <c r="H1940" s="2">
        <f>Table1[[#This Row],[Profit]]/Table1[[#This Row],[Sales]]*100</f>
        <v>8.2718712029161612</v>
      </c>
      <c r="I1940" t="str">
        <f>IF(Table1[[#This Row],[Profit %]]&gt;20,"Excellent",IF(H1940&gt;10.1,"Good","Low"))</f>
        <v>Low</v>
      </c>
    </row>
    <row r="1941" spans="1:9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 s="2">
        <v>1620</v>
      </c>
      <c r="G1941">
        <v>325.87</v>
      </c>
      <c r="H1941" s="2">
        <f>Table1[[#This Row],[Profit]]/Table1[[#This Row],[Sales]]*100</f>
        <v>20.115432098765432</v>
      </c>
      <c r="I1941" t="str">
        <f>IF(Table1[[#This Row],[Profit %]]&gt;20,"Excellent",IF(H1941&gt;10.1,"Good","Low"))</f>
        <v>Excellent</v>
      </c>
    </row>
    <row r="1942" spans="1:9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 s="2">
        <v>2736</v>
      </c>
      <c r="G1942">
        <v>407.22</v>
      </c>
      <c r="H1942" s="2">
        <f>Table1[[#This Row],[Profit]]/Table1[[#This Row],[Sales]]*100</f>
        <v>14.883771929824563</v>
      </c>
      <c r="I1942" t="str">
        <f>IF(Table1[[#This Row],[Profit %]]&gt;20,"Excellent",IF(H1942&gt;10.1,"Good","Low"))</f>
        <v>Good</v>
      </c>
    </row>
    <row r="1943" spans="1:9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 s="2">
        <v>1064</v>
      </c>
      <c r="G1943">
        <v>274.47000000000003</v>
      </c>
      <c r="H1943" s="2">
        <f>Table1[[#This Row],[Profit]]/Table1[[#This Row],[Sales]]*100</f>
        <v>25.796052631578949</v>
      </c>
      <c r="I1943" t="str">
        <f>IF(Table1[[#This Row],[Profit %]]&gt;20,"Excellent",IF(H1943&gt;10.1,"Good","Low"))</f>
        <v>Excellent</v>
      </c>
    </row>
    <row r="1944" spans="1:9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 s="2">
        <v>2667</v>
      </c>
      <c r="G1944">
        <v>363.5</v>
      </c>
      <c r="H1944" s="2">
        <f>Table1[[#This Row],[Profit]]/Table1[[#This Row],[Sales]]*100</f>
        <v>13.629546306711662</v>
      </c>
      <c r="I1944" t="str">
        <f>IF(Table1[[#This Row],[Profit %]]&gt;20,"Excellent",IF(H1944&gt;10.1,"Good","Low"))</f>
        <v>Good</v>
      </c>
    </row>
    <row r="1945" spans="1:9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 s="2">
        <v>735</v>
      </c>
      <c r="G1945">
        <v>217.79</v>
      </c>
      <c r="H1945" s="2">
        <f>Table1[[#This Row],[Profit]]/Table1[[#This Row],[Sales]]*100</f>
        <v>29.631292517006802</v>
      </c>
      <c r="I1945" t="str">
        <f>IF(Table1[[#This Row],[Profit %]]&gt;20,"Excellent",IF(H1945&gt;10.1,"Good","Low"))</f>
        <v>Excellent</v>
      </c>
    </row>
    <row r="1946" spans="1:9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 s="2">
        <v>58</v>
      </c>
      <c r="G1946">
        <v>11.25</v>
      </c>
      <c r="H1946" s="2">
        <f>Table1[[#This Row],[Profit]]/Table1[[#This Row],[Sales]]*100</f>
        <v>19.396551724137932</v>
      </c>
      <c r="I1946" t="str">
        <f>IF(Table1[[#This Row],[Profit %]]&gt;20,"Excellent",IF(H1946&gt;10.1,"Good","Low"))</f>
        <v>Good</v>
      </c>
    </row>
    <row r="1947" spans="1:9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 s="2">
        <v>3136</v>
      </c>
      <c r="G1947">
        <v>850.3</v>
      </c>
      <c r="H1947" s="2">
        <f>Table1[[#This Row],[Profit]]/Table1[[#This Row],[Sales]]*100</f>
        <v>27.114158163265305</v>
      </c>
      <c r="I1947" t="str">
        <f>IF(Table1[[#This Row],[Profit %]]&gt;20,"Excellent",IF(H1947&gt;10.1,"Good","Low"))</f>
        <v>Excellent</v>
      </c>
    </row>
    <row r="1948" spans="1:9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 s="2">
        <v>3936</v>
      </c>
      <c r="G1948">
        <v>374.34</v>
      </c>
      <c r="H1948" s="2">
        <f>Table1[[#This Row],[Profit]]/Table1[[#This Row],[Sales]]*100</f>
        <v>9.5106707317073162</v>
      </c>
      <c r="I1948" t="str">
        <f>IF(Table1[[#This Row],[Profit %]]&gt;20,"Excellent",IF(H1948&gt;10.1,"Good","Low"))</f>
        <v>Low</v>
      </c>
    </row>
    <row r="1949" spans="1:9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 s="2">
        <v>6102</v>
      </c>
      <c r="G1949">
        <v>947.91</v>
      </c>
      <c r="H1949" s="2">
        <f>Table1[[#This Row],[Profit]]/Table1[[#This Row],[Sales]]*100</f>
        <v>15.534414945919369</v>
      </c>
      <c r="I1949" t="str">
        <f>IF(Table1[[#This Row],[Profit %]]&gt;20,"Excellent",IF(H1949&gt;10.1,"Good","Low"))</f>
        <v>Good</v>
      </c>
    </row>
    <row r="1950" spans="1:9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 s="2">
        <v>9408</v>
      </c>
      <c r="G1950">
        <v>552.44000000000005</v>
      </c>
      <c r="H1950" s="2">
        <f>Table1[[#This Row],[Profit]]/Table1[[#This Row],[Sales]]*100</f>
        <v>5.8720238095238102</v>
      </c>
      <c r="I1950" t="str">
        <f>IF(Table1[[#This Row],[Profit %]]&gt;20,"Excellent",IF(H1950&gt;10.1,"Good","Low"))</f>
        <v>Low</v>
      </c>
    </row>
    <row r="1951" spans="1:9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 s="2">
        <v>7875</v>
      </c>
      <c r="G1951">
        <v>1243.56</v>
      </c>
      <c r="H1951" s="2">
        <f>Table1[[#This Row],[Profit]]/Table1[[#This Row],[Sales]]*100</f>
        <v>15.791238095238095</v>
      </c>
      <c r="I1951" t="str">
        <f>IF(Table1[[#This Row],[Profit %]]&gt;20,"Excellent",IF(H1951&gt;10.1,"Good","Low"))</f>
        <v>Good</v>
      </c>
    </row>
    <row r="1952" spans="1:9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 s="2">
        <v>9900</v>
      </c>
      <c r="G1952">
        <v>576.79999999999995</v>
      </c>
      <c r="H1952" s="2">
        <f>Table1[[#This Row],[Profit]]/Table1[[#This Row],[Sales]]*100</f>
        <v>5.8262626262626256</v>
      </c>
      <c r="I1952" t="str">
        <f>IF(Table1[[#This Row],[Profit %]]&gt;20,"Excellent",IF(H1952&gt;10.1,"Good","Low"))</f>
        <v>Low</v>
      </c>
    </row>
    <row r="1953" spans="1:9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 s="2">
        <v>430</v>
      </c>
      <c r="G1953">
        <v>114.91</v>
      </c>
      <c r="H1953" s="2">
        <f>Table1[[#This Row],[Profit]]/Table1[[#This Row],[Sales]]*100</f>
        <v>26.723255813953489</v>
      </c>
      <c r="I1953" t="str">
        <f>IF(Table1[[#This Row],[Profit %]]&gt;20,"Excellent",IF(H1953&gt;10.1,"Good","Low"))</f>
        <v>Excellent</v>
      </c>
    </row>
    <row r="1954" spans="1:9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 s="2">
        <v>813</v>
      </c>
      <c r="G1954">
        <v>238.1</v>
      </c>
      <c r="H1954" s="2">
        <f>Table1[[#This Row],[Profit]]/Table1[[#This Row],[Sales]]*100</f>
        <v>29.286592865928657</v>
      </c>
      <c r="I1954" t="str">
        <f>IF(Table1[[#This Row],[Profit %]]&gt;20,"Excellent",IF(H1954&gt;10.1,"Good","Low"))</f>
        <v>Excellent</v>
      </c>
    </row>
    <row r="1955" spans="1:9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 s="2">
        <v>4176</v>
      </c>
      <c r="G1955">
        <v>980.11</v>
      </c>
      <c r="H1955" s="2">
        <f>Table1[[#This Row],[Profit]]/Table1[[#This Row],[Sales]]*100</f>
        <v>23.470067049808428</v>
      </c>
      <c r="I1955" t="str">
        <f>IF(Table1[[#This Row],[Profit %]]&gt;20,"Excellent",IF(H1955&gt;10.1,"Good","Low"))</f>
        <v>Excellent</v>
      </c>
    </row>
    <row r="1956" spans="1:9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 s="2">
        <v>3084</v>
      </c>
      <c r="G1956">
        <v>348.38</v>
      </c>
      <c r="H1956" s="2">
        <f>Table1[[#This Row],[Profit]]/Table1[[#This Row],[Sales]]*100</f>
        <v>11.296368352788585</v>
      </c>
      <c r="I1956" t="str">
        <f>IF(Table1[[#This Row],[Profit %]]&gt;20,"Excellent",IF(H1956&gt;10.1,"Good","Low"))</f>
        <v>Good</v>
      </c>
    </row>
    <row r="1957" spans="1:9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 s="2">
        <v>8008</v>
      </c>
      <c r="G1957">
        <v>1593.65</v>
      </c>
      <c r="H1957" s="2">
        <f>Table1[[#This Row],[Profit]]/Table1[[#This Row],[Sales]]*100</f>
        <v>19.900724275724276</v>
      </c>
      <c r="I1957" t="str">
        <f>IF(Table1[[#This Row],[Profit %]]&gt;20,"Excellent",IF(H1957&gt;10.1,"Good","Low"))</f>
        <v>Good</v>
      </c>
    </row>
    <row r="1958" spans="1:9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 s="2">
        <v>4608</v>
      </c>
      <c r="G1958">
        <v>963.5</v>
      </c>
      <c r="H1958" s="2">
        <f>Table1[[#This Row],[Profit]]/Table1[[#This Row],[Sales]]*100</f>
        <v>20.909288194444446</v>
      </c>
      <c r="I1958" t="str">
        <f>IF(Table1[[#This Row],[Profit %]]&gt;20,"Excellent",IF(H1958&gt;10.1,"Good","Low"))</f>
        <v>Excellent</v>
      </c>
    </row>
    <row r="1959" spans="1:9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 s="2">
        <v>4356</v>
      </c>
      <c r="G1959">
        <v>614.62</v>
      </c>
      <c r="H1959" s="2">
        <f>Table1[[#This Row],[Profit]]/Table1[[#This Row],[Sales]]*100</f>
        <v>14.10973370064279</v>
      </c>
      <c r="I1959" t="str">
        <f>IF(Table1[[#This Row],[Profit %]]&gt;20,"Excellent",IF(H1959&gt;10.1,"Good","Low"))</f>
        <v>Good</v>
      </c>
    </row>
    <row r="1960" spans="1:9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 s="2">
        <v>566</v>
      </c>
      <c r="G1960">
        <v>169.17</v>
      </c>
      <c r="H1960" s="2">
        <f>Table1[[#This Row],[Profit]]/Table1[[#This Row],[Sales]]*100</f>
        <v>29.8886925795053</v>
      </c>
      <c r="I1960" t="str">
        <f>IF(Table1[[#This Row],[Profit %]]&gt;20,"Excellent",IF(H1960&gt;10.1,"Good","Low"))</f>
        <v>Excellent</v>
      </c>
    </row>
    <row r="1961" spans="1:9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 s="2">
        <v>945</v>
      </c>
      <c r="G1961">
        <v>75.209999999999994</v>
      </c>
      <c r="H1961" s="2">
        <f>Table1[[#This Row],[Profit]]/Table1[[#This Row],[Sales]]*100</f>
        <v>7.958730158730158</v>
      </c>
      <c r="I1961" t="str">
        <f>IF(Table1[[#This Row],[Profit %]]&gt;20,"Excellent",IF(H1961&gt;10.1,"Good","Low"))</f>
        <v>Low</v>
      </c>
    </row>
    <row r="1962" spans="1:9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 s="2">
        <v>2200</v>
      </c>
      <c r="G1962">
        <v>484.33</v>
      </c>
      <c r="H1962" s="2">
        <f>Table1[[#This Row],[Profit]]/Table1[[#This Row],[Sales]]*100</f>
        <v>22.014999999999997</v>
      </c>
      <c r="I1962" t="str">
        <f>IF(Table1[[#This Row],[Profit %]]&gt;20,"Excellent",IF(H1962&gt;10.1,"Good","Low"))</f>
        <v>Excellent</v>
      </c>
    </row>
    <row r="1963" spans="1:9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 s="2">
        <v>746</v>
      </c>
      <c r="G1963">
        <v>131.25</v>
      </c>
      <c r="H1963" s="2">
        <f>Table1[[#This Row],[Profit]]/Table1[[#This Row],[Sales]]*100</f>
        <v>17.593833780160857</v>
      </c>
      <c r="I1963" t="str">
        <f>IF(Table1[[#This Row],[Profit %]]&gt;20,"Excellent",IF(H1963&gt;10.1,"Good","Low"))</f>
        <v>Good</v>
      </c>
    </row>
    <row r="1964" spans="1:9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 s="2">
        <v>3505</v>
      </c>
      <c r="G1964">
        <v>678.18</v>
      </c>
      <c r="H1964" s="2">
        <f>Table1[[#This Row],[Profit]]/Table1[[#This Row],[Sales]]*100</f>
        <v>19.348930099857345</v>
      </c>
      <c r="I1964" t="str">
        <f>IF(Table1[[#This Row],[Profit %]]&gt;20,"Excellent",IF(H1964&gt;10.1,"Good","Low"))</f>
        <v>Good</v>
      </c>
    </row>
    <row r="1965" spans="1:9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 s="2">
        <v>4795</v>
      </c>
      <c r="G1965">
        <v>819.12</v>
      </c>
      <c r="H1965" s="2">
        <f>Table1[[#This Row],[Profit]]/Table1[[#This Row],[Sales]]*100</f>
        <v>17.082794577685089</v>
      </c>
      <c r="I1965" t="str">
        <f>IF(Table1[[#This Row],[Profit %]]&gt;20,"Excellent",IF(H1965&gt;10.1,"Good","Low"))</f>
        <v>Good</v>
      </c>
    </row>
    <row r="1966" spans="1:9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 s="2">
        <v>4590</v>
      </c>
      <c r="G1966">
        <v>650.04999999999995</v>
      </c>
      <c r="H1966" s="2">
        <f>Table1[[#This Row],[Profit]]/Table1[[#This Row],[Sales]]*100</f>
        <v>14.162309368191719</v>
      </c>
      <c r="I1966" t="str">
        <f>IF(Table1[[#This Row],[Profit %]]&gt;20,"Excellent",IF(H1966&gt;10.1,"Good","Low"))</f>
        <v>Good</v>
      </c>
    </row>
    <row r="1967" spans="1:9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 s="2">
        <v>2092</v>
      </c>
      <c r="G1967">
        <v>467.02</v>
      </c>
      <c r="H1967" s="2">
        <f>Table1[[#This Row],[Profit]]/Table1[[#This Row],[Sales]]*100</f>
        <v>22.324091778202675</v>
      </c>
      <c r="I1967" t="str">
        <f>IF(Table1[[#This Row],[Profit %]]&gt;20,"Excellent",IF(H1967&gt;10.1,"Good","Low"))</f>
        <v>Excellent</v>
      </c>
    </row>
    <row r="1968" spans="1:9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 s="2">
        <v>3568</v>
      </c>
      <c r="G1968">
        <v>334.13</v>
      </c>
      <c r="H1968" s="2">
        <f>Table1[[#This Row],[Profit]]/Table1[[#This Row],[Sales]]*100</f>
        <v>9.3646300448430484</v>
      </c>
      <c r="I1968" t="str">
        <f>IF(Table1[[#This Row],[Profit %]]&gt;20,"Excellent",IF(H1968&gt;10.1,"Good","Low"))</f>
        <v>Low</v>
      </c>
    </row>
    <row r="1969" spans="1:9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 s="2">
        <v>10404</v>
      </c>
      <c r="G1969">
        <v>2028.21</v>
      </c>
      <c r="H1969" s="2">
        <f>Table1[[#This Row],[Profit]]/Table1[[#This Row],[Sales]]*100</f>
        <v>19.494521337946942</v>
      </c>
      <c r="I1969" t="str">
        <f>IF(Table1[[#This Row],[Profit %]]&gt;20,"Excellent",IF(H1969&gt;10.1,"Good","Low"))</f>
        <v>Good</v>
      </c>
    </row>
    <row r="1970" spans="1:9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 s="2">
        <v>7029</v>
      </c>
      <c r="G1970">
        <v>1005.58</v>
      </c>
      <c r="H1970" s="2">
        <f>Table1[[#This Row],[Profit]]/Table1[[#This Row],[Sales]]*100</f>
        <v>14.306160193484137</v>
      </c>
      <c r="I1970" t="str">
        <f>IF(Table1[[#This Row],[Profit %]]&gt;20,"Excellent",IF(H1970&gt;10.1,"Good","Low"))</f>
        <v>Good</v>
      </c>
    </row>
    <row r="1971" spans="1:9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 s="2">
        <v>664</v>
      </c>
      <c r="G1971">
        <v>126.6</v>
      </c>
      <c r="H1971" s="2">
        <f>Table1[[#This Row],[Profit]]/Table1[[#This Row],[Sales]]*100</f>
        <v>19.066265060240966</v>
      </c>
      <c r="I1971" t="str">
        <f>IF(Table1[[#This Row],[Profit %]]&gt;20,"Excellent",IF(H1971&gt;10.1,"Good","Low"))</f>
        <v>Good</v>
      </c>
    </row>
    <row r="1972" spans="1:9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 s="2">
        <v>1923</v>
      </c>
      <c r="G1972">
        <v>274</v>
      </c>
      <c r="H1972" s="2">
        <f>Table1[[#This Row],[Profit]]/Table1[[#This Row],[Sales]]*100</f>
        <v>14.248569942797712</v>
      </c>
      <c r="I1972" t="str">
        <f>IF(Table1[[#This Row],[Profit %]]&gt;20,"Excellent",IF(H1972&gt;10.1,"Good","Low"))</f>
        <v>Good</v>
      </c>
    </row>
    <row r="1973" spans="1:9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 s="2">
        <v>2471</v>
      </c>
      <c r="G1973">
        <v>566.51</v>
      </c>
      <c r="H1973" s="2">
        <f>Table1[[#This Row],[Profit]]/Table1[[#This Row],[Sales]]*100</f>
        <v>22.926345609065155</v>
      </c>
      <c r="I1973" t="str">
        <f>IF(Table1[[#This Row],[Profit %]]&gt;20,"Excellent",IF(H1973&gt;10.1,"Good","Low"))</f>
        <v>Excellent</v>
      </c>
    </row>
    <row r="1974" spans="1:9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 s="2">
        <v>258</v>
      </c>
      <c r="G1974">
        <v>64.12</v>
      </c>
      <c r="H1974" s="2">
        <f>Table1[[#This Row],[Profit]]/Table1[[#This Row],[Sales]]*100</f>
        <v>24.852713178294575</v>
      </c>
      <c r="I1974" t="str">
        <f>IF(Table1[[#This Row],[Profit %]]&gt;20,"Excellent",IF(H1974&gt;10.1,"Good","Low"))</f>
        <v>Excellent</v>
      </c>
    </row>
    <row r="1975" spans="1:9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 s="2">
        <v>1134</v>
      </c>
      <c r="G1975">
        <v>267.26</v>
      </c>
      <c r="H1975" s="2">
        <f>Table1[[#This Row],[Profit]]/Table1[[#This Row],[Sales]]*100</f>
        <v>23.567901234567902</v>
      </c>
      <c r="I1975" t="str">
        <f>IF(Table1[[#This Row],[Profit %]]&gt;20,"Excellent",IF(H1975&gt;10.1,"Good","Low"))</f>
        <v>Excellent</v>
      </c>
    </row>
    <row r="1976" spans="1:9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 s="2">
        <v>855</v>
      </c>
      <c r="G1976">
        <v>238.83</v>
      </c>
      <c r="H1976" s="2">
        <f>Table1[[#This Row],[Profit]]/Table1[[#This Row],[Sales]]*100</f>
        <v>27.933333333333334</v>
      </c>
      <c r="I1976" t="str">
        <f>IF(Table1[[#This Row],[Profit %]]&gt;20,"Excellent",IF(H1976&gt;10.1,"Good","Low"))</f>
        <v>Excellent</v>
      </c>
    </row>
    <row r="1977" spans="1:9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 s="2">
        <v>3231</v>
      </c>
      <c r="G1977">
        <v>670.85</v>
      </c>
      <c r="H1977" s="2">
        <f>Table1[[#This Row],[Profit]]/Table1[[#This Row],[Sales]]*100</f>
        <v>20.762921696069327</v>
      </c>
      <c r="I1977" t="str">
        <f>IF(Table1[[#This Row],[Profit %]]&gt;20,"Excellent",IF(H1977&gt;10.1,"Good","Low"))</f>
        <v>Excellent</v>
      </c>
    </row>
    <row r="1978" spans="1:9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 s="2">
        <v>3591</v>
      </c>
      <c r="G1978">
        <v>266.58999999999997</v>
      </c>
      <c r="H1978" s="2">
        <f>Table1[[#This Row],[Profit]]/Table1[[#This Row],[Sales]]*100</f>
        <v>7.4238373712057912</v>
      </c>
      <c r="I1978" t="str">
        <f>IF(Table1[[#This Row],[Profit %]]&gt;20,"Excellent",IF(H1978&gt;10.1,"Good","Low"))</f>
        <v>Low</v>
      </c>
    </row>
    <row r="1979" spans="1:9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 s="2">
        <v>254</v>
      </c>
      <c r="G1979">
        <v>20.48</v>
      </c>
      <c r="H1979" s="2">
        <f>Table1[[#This Row],[Profit]]/Table1[[#This Row],[Sales]]*100</f>
        <v>8.0629921259842519</v>
      </c>
      <c r="I1979" t="str">
        <f>IF(Table1[[#This Row],[Profit %]]&gt;20,"Excellent",IF(H1979&gt;10.1,"Good","Low"))</f>
        <v>Low</v>
      </c>
    </row>
    <row r="1980" spans="1:9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 s="2">
        <v>5930</v>
      </c>
      <c r="G1980">
        <v>1193.32</v>
      </c>
      <c r="H1980" s="2">
        <f>Table1[[#This Row],[Profit]]/Table1[[#This Row],[Sales]]*100</f>
        <v>20.123440134907248</v>
      </c>
      <c r="I1980" t="str">
        <f>IF(Table1[[#This Row],[Profit %]]&gt;20,"Excellent",IF(H1980&gt;10.1,"Good","Low"))</f>
        <v>Excellent</v>
      </c>
    </row>
    <row r="1981" spans="1:9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 s="2">
        <v>1344</v>
      </c>
      <c r="G1981">
        <v>297.99</v>
      </c>
      <c r="H1981" s="2">
        <f>Table1[[#This Row],[Profit]]/Table1[[#This Row],[Sales]]*100</f>
        <v>22.171875000000004</v>
      </c>
      <c r="I1981" t="str">
        <f>IF(Table1[[#This Row],[Profit %]]&gt;20,"Excellent",IF(H1981&gt;10.1,"Good","Low"))</f>
        <v>Excellent</v>
      </c>
    </row>
    <row r="1982" spans="1:9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 s="2">
        <v>920</v>
      </c>
      <c r="G1982">
        <v>98.31</v>
      </c>
      <c r="H1982" s="2">
        <f>Table1[[#This Row],[Profit]]/Table1[[#This Row],[Sales]]*100</f>
        <v>10.685869565217391</v>
      </c>
      <c r="I1982" t="str">
        <f>IF(Table1[[#This Row],[Profit %]]&gt;20,"Excellent",IF(H1982&gt;10.1,"Good","Low"))</f>
        <v>Good</v>
      </c>
    </row>
    <row r="1983" spans="1:9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 s="2">
        <v>5454</v>
      </c>
      <c r="G1983">
        <v>385.51</v>
      </c>
      <c r="H1983" s="2">
        <f>Table1[[#This Row],[Profit]]/Table1[[#This Row],[Sales]]*100</f>
        <v>7.0683901723505675</v>
      </c>
      <c r="I1983" t="str">
        <f>IF(Table1[[#This Row],[Profit %]]&gt;20,"Excellent",IF(H1983&gt;10.1,"Good","Low"))</f>
        <v>Low</v>
      </c>
    </row>
    <row r="1984" spans="1:9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 s="2">
        <v>9512</v>
      </c>
      <c r="G1984">
        <v>663.23</v>
      </c>
      <c r="H1984" s="2">
        <f>Table1[[#This Row],[Profit]]/Table1[[#This Row],[Sales]]*100</f>
        <v>6.9725609756097571</v>
      </c>
      <c r="I1984" t="str">
        <f>IF(Table1[[#This Row],[Profit %]]&gt;20,"Excellent",IF(H1984&gt;10.1,"Good","Low"))</f>
        <v>Low</v>
      </c>
    </row>
    <row r="1985" spans="1:9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 s="2">
        <v>2972</v>
      </c>
      <c r="G1985">
        <v>827.46</v>
      </c>
      <c r="H1985" s="2">
        <f>Table1[[#This Row],[Profit]]/Table1[[#This Row],[Sales]]*100</f>
        <v>27.841857335127862</v>
      </c>
      <c r="I1985" t="str">
        <f>IF(Table1[[#This Row],[Profit %]]&gt;20,"Excellent",IF(H1985&gt;10.1,"Good","Low"))</f>
        <v>Excellent</v>
      </c>
    </row>
    <row r="1986" spans="1:9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 s="2">
        <v>3360</v>
      </c>
      <c r="G1986">
        <v>465.02</v>
      </c>
      <c r="H1986" s="2">
        <f>Table1[[#This Row],[Profit]]/Table1[[#This Row],[Sales]]*100</f>
        <v>13.83988095238095</v>
      </c>
      <c r="I1986" t="str">
        <f>IF(Table1[[#This Row],[Profit %]]&gt;20,"Excellent",IF(H1986&gt;10.1,"Good","Low"))</f>
        <v>Good</v>
      </c>
    </row>
    <row r="1987" spans="1:9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 s="2">
        <v>1004</v>
      </c>
      <c r="G1987">
        <v>240.13</v>
      </c>
      <c r="H1987" s="2">
        <f>Table1[[#This Row],[Profit]]/Table1[[#This Row],[Sales]]*100</f>
        <v>23.917330677290835</v>
      </c>
      <c r="I1987" t="str">
        <f>IF(Table1[[#This Row],[Profit %]]&gt;20,"Excellent",IF(H1987&gt;10.1,"Good","Low"))</f>
        <v>Excellent</v>
      </c>
    </row>
    <row r="1988" spans="1:9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 s="2">
        <v>1944</v>
      </c>
      <c r="G1988">
        <v>332.55</v>
      </c>
      <c r="H1988" s="2">
        <f>Table1[[#This Row],[Profit]]/Table1[[#This Row],[Sales]]*100</f>
        <v>17.106481481481481</v>
      </c>
      <c r="I1988" t="str">
        <f>IF(Table1[[#This Row],[Profit %]]&gt;20,"Excellent",IF(H1988&gt;10.1,"Good","Low"))</f>
        <v>Good</v>
      </c>
    </row>
    <row r="1989" spans="1:9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 s="2">
        <v>5055</v>
      </c>
      <c r="G1989">
        <v>1200.0899999999999</v>
      </c>
      <c r="H1989" s="2">
        <f>Table1[[#This Row],[Profit]]/Table1[[#This Row],[Sales]]*100</f>
        <v>23.740652818991094</v>
      </c>
      <c r="I1989" t="str">
        <f>IF(Table1[[#This Row],[Profit %]]&gt;20,"Excellent",IF(H1989&gt;10.1,"Good","Low"))</f>
        <v>Excellent</v>
      </c>
    </row>
    <row r="1990" spans="1:9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 s="2">
        <v>128</v>
      </c>
      <c r="G1990">
        <v>8.33</v>
      </c>
      <c r="H1990" s="2">
        <f>Table1[[#This Row],[Profit]]/Table1[[#This Row],[Sales]]*100</f>
        <v>6.5078125</v>
      </c>
      <c r="I1990" t="str">
        <f>IF(Table1[[#This Row],[Profit %]]&gt;20,"Excellent",IF(H1990&gt;10.1,"Good","Low"))</f>
        <v>Low</v>
      </c>
    </row>
    <row r="1991" spans="1:9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 s="2">
        <v>633</v>
      </c>
      <c r="G1991">
        <v>163.03</v>
      </c>
      <c r="H1991" s="2">
        <f>Table1[[#This Row],[Profit]]/Table1[[#This Row],[Sales]]*100</f>
        <v>25.755134281200633</v>
      </c>
      <c r="I1991" t="str">
        <f>IF(Table1[[#This Row],[Profit %]]&gt;20,"Excellent",IF(H1991&gt;10.1,"Good","Low"))</f>
        <v>Excellent</v>
      </c>
    </row>
    <row r="1992" spans="1:9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 s="2">
        <v>2523</v>
      </c>
      <c r="G1992">
        <v>506.7</v>
      </c>
      <c r="H1992" s="2">
        <f>Table1[[#This Row],[Profit]]/Table1[[#This Row],[Sales]]*100</f>
        <v>20.083234244946489</v>
      </c>
      <c r="I1992" t="str">
        <f>IF(Table1[[#This Row],[Profit %]]&gt;20,"Excellent",IF(H1992&gt;10.1,"Good","Low"))</f>
        <v>Excellent</v>
      </c>
    </row>
    <row r="1993" spans="1:9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 s="2">
        <v>196</v>
      </c>
      <c r="G1993">
        <v>39.6</v>
      </c>
      <c r="H1993" s="2">
        <f>Table1[[#This Row],[Profit]]/Table1[[#This Row],[Sales]]*100</f>
        <v>20.204081632653061</v>
      </c>
      <c r="I1993" t="str">
        <f>IF(Table1[[#This Row],[Profit %]]&gt;20,"Excellent",IF(H1993&gt;10.1,"Good","Low"))</f>
        <v>Excellent</v>
      </c>
    </row>
    <row r="1994" spans="1:9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 s="2">
        <v>4212</v>
      </c>
      <c r="G1994">
        <v>552.96</v>
      </c>
      <c r="H1994" s="2">
        <f>Table1[[#This Row],[Profit]]/Table1[[#This Row],[Sales]]*100</f>
        <v>13.128205128205128</v>
      </c>
      <c r="I1994" t="str">
        <f>IF(Table1[[#This Row],[Profit %]]&gt;20,"Excellent",IF(H1994&gt;10.1,"Good","Low"))</f>
        <v>Good</v>
      </c>
    </row>
    <row r="1995" spans="1:9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 s="2">
        <v>63</v>
      </c>
      <c r="G1995">
        <v>17.29</v>
      </c>
      <c r="H1995" s="2">
        <f>Table1[[#This Row],[Profit]]/Table1[[#This Row],[Sales]]*100</f>
        <v>27.444444444444443</v>
      </c>
      <c r="I1995" t="str">
        <f>IF(Table1[[#This Row],[Profit %]]&gt;20,"Excellent",IF(H1995&gt;10.1,"Good","Low"))</f>
        <v>Excellent</v>
      </c>
    </row>
    <row r="1996" spans="1:9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 s="2">
        <v>2752</v>
      </c>
      <c r="G1996">
        <v>394.66</v>
      </c>
      <c r="H1996" s="2">
        <f>Table1[[#This Row],[Profit]]/Table1[[#This Row],[Sales]]*100</f>
        <v>14.340843023255815</v>
      </c>
      <c r="I1996" t="str">
        <f>IF(Table1[[#This Row],[Profit %]]&gt;20,"Excellent",IF(H1996&gt;10.1,"Good","Low"))</f>
        <v>Good</v>
      </c>
    </row>
    <row r="1997" spans="1:9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 s="2">
        <v>1989</v>
      </c>
      <c r="G1997">
        <v>419.61</v>
      </c>
      <c r="H1997" s="2">
        <f>Table1[[#This Row],[Profit]]/Table1[[#This Row],[Sales]]*100</f>
        <v>21.096530920060331</v>
      </c>
      <c r="I1997" t="str">
        <f>IF(Table1[[#This Row],[Profit %]]&gt;20,"Excellent",IF(H1997&gt;10.1,"Good","Low"))</f>
        <v>Excellent</v>
      </c>
    </row>
    <row r="1998" spans="1:9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 s="2">
        <v>8032</v>
      </c>
      <c r="G1998">
        <v>466.19</v>
      </c>
      <c r="H1998" s="2">
        <f>Table1[[#This Row],[Profit]]/Table1[[#This Row],[Sales]]*100</f>
        <v>5.8041583665338647</v>
      </c>
      <c r="I1998" t="str">
        <f>IF(Table1[[#This Row],[Profit %]]&gt;20,"Excellent",IF(H1998&gt;10.1,"Good","Low"))</f>
        <v>Low</v>
      </c>
    </row>
    <row r="1999" spans="1:9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 s="2">
        <v>3702</v>
      </c>
      <c r="G1999">
        <v>407.34</v>
      </c>
      <c r="H1999" s="2">
        <f>Table1[[#This Row],[Profit]]/Table1[[#This Row],[Sales]]*100</f>
        <v>11.0032414910859</v>
      </c>
      <c r="I1999" t="str">
        <f>IF(Table1[[#This Row],[Profit %]]&gt;20,"Excellent",IF(H1999&gt;10.1,"Good","Low"))</f>
        <v>Good</v>
      </c>
    </row>
    <row r="2000" spans="1:9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 s="2">
        <v>456</v>
      </c>
      <c r="G2000">
        <v>90.24</v>
      </c>
      <c r="H2000" s="2">
        <f>Table1[[#This Row],[Profit]]/Table1[[#This Row],[Sales]]*100</f>
        <v>19.789473684210527</v>
      </c>
      <c r="I2000" t="str">
        <f>IF(Table1[[#This Row],[Profit %]]&gt;20,"Excellent",IF(H2000&gt;10.1,"Good","Low"))</f>
        <v>Good</v>
      </c>
    </row>
    <row r="2001" spans="1:9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 s="2">
        <v>5355</v>
      </c>
      <c r="G2001">
        <v>1143.1600000000001</v>
      </c>
      <c r="H2001" s="2">
        <f>Table1[[#This Row],[Profit]]/Table1[[#This Row],[Sales]]*100</f>
        <v>21.347525676937444</v>
      </c>
      <c r="I2001" t="str">
        <f>IF(Table1[[#This Row],[Profit %]]&gt;20,"Excellent",IF(H2001&gt;10.1,"Good","Low"))</f>
        <v>Excellent</v>
      </c>
    </row>
    <row r="2002" spans="1:9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 s="2">
        <v>972</v>
      </c>
      <c r="G2002">
        <v>261.91000000000003</v>
      </c>
      <c r="H2002" s="2">
        <f>Table1[[#This Row],[Profit]]/Table1[[#This Row],[Sales]]*100</f>
        <v>26.945473251028808</v>
      </c>
      <c r="I2002" t="str">
        <f>IF(Table1[[#This Row],[Profit %]]&gt;20,"Excellent",IF(H2002&gt;10.1,"Good","Low"))</f>
        <v>Excellent</v>
      </c>
    </row>
    <row r="2003" spans="1:9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 s="2">
        <v>3290</v>
      </c>
      <c r="G2003">
        <v>797.82</v>
      </c>
      <c r="H2003" s="2">
        <f>Table1[[#This Row],[Profit]]/Table1[[#This Row],[Sales]]*100</f>
        <v>24.249848024316112</v>
      </c>
      <c r="I2003" t="str">
        <f>IF(Table1[[#This Row],[Profit %]]&gt;20,"Excellent",IF(H2003&gt;10.1,"Good","Low"))</f>
        <v>Excellent</v>
      </c>
    </row>
    <row r="2004" spans="1:9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 s="2">
        <v>735</v>
      </c>
      <c r="G2004">
        <v>139.31</v>
      </c>
      <c r="H2004" s="2">
        <f>Table1[[#This Row],[Profit]]/Table1[[#This Row],[Sales]]*100</f>
        <v>18.953741496598639</v>
      </c>
      <c r="I2004" t="str">
        <f>IF(Table1[[#This Row],[Profit %]]&gt;20,"Excellent",IF(H2004&gt;10.1,"Good","Low"))</f>
        <v>Good</v>
      </c>
    </row>
    <row r="2005" spans="1:9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 s="2">
        <v>3336</v>
      </c>
      <c r="G2005">
        <v>798.26</v>
      </c>
      <c r="H2005" s="2">
        <f>Table1[[#This Row],[Profit]]/Table1[[#This Row],[Sales]]*100</f>
        <v>23.928657074340528</v>
      </c>
      <c r="I2005" t="str">
        <f>IF(Table1[[#This Row],[Profit %]]&gt;20,"Excellent",IF(H2005&gt;10.1,"Good","Low"))</f>
        <v>Excellent</v>
      </c>
    </row>
    <row r="2006" spans="1:9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 s="2">
        <v>2082</v>
      </c>
      <c r="G2006">
        <v>346.53</v>
      </c>
      <c r="H2006" s="2">
        <f>Table1[[#This Row],[Profit]]/Table1[[#This Row],[Sales]]*100</f>
        <v>16.64409221902017</v>
      </c>
      <c r="I2006" t="str">
        <f>IF(Table1[[#This Row],[Profit %]]&gt;20,"Excellent",IF(H2006&gt;10.1,"Good","Low"))</f>
        <v>Good</v>
      </c>
    </row>
    <row r="2007" spans="1:9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 s="2">
        <v>1340</v>
      </c>
      <c r="G2007">
        <v>129.88999999999999</v>
      </c>
      <c r="H2007" s="2">
        <f>Table1[[#This Row],[Profit]]/Table1[[#This Row],[Sales]]*100</f>
        <v>9.6932835820895509</v>
      </c>
      <c r="I2007" t="str">
        <f>IF(Table1[[#This Row],[Profit %]]&gt;20,"Excellent",IF(H2007&gt;10.1,"Good","Low"))</f>
        <v>Low</v>
      </c>
    </row>
    <row r="2008" spans="1:9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 s="2">
        <v>1160</v>
      </c>
      <c r="G2008">
        <v>227.13</v>
      </c>
      <c r="H2008" s="2">
        <f>Table1[[#This Row],[Profit]]/Table1[[#This Row],[Sales]]*100</f>
        <v>19.580172413793104</v>
      </c>
      <c r="I2008" t="str">
        <f>IF(Table1[[#This Row],[Profit %]]&gt;20,"Excellent",IF(H2008&gt;10.1,"Good","Low"))</f>
        <v>Good</v>
      </c>
    </row>
    <row r="2009" spans="1:9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 s="2">
        <v>1272</v>
      </c>
      <c r="G2009">
        <v>299.83999999999997</v>
      </c>
      <c r="H2009" s="2">
        <f>Table1[[#This Row],[Profit]]/Table1[[#This Row],[Sales]]*100</f>
        <v>23.572327044025155</v>
      </c>
      <c r="I2009" t="str">
        <f>IF(Table1[[#This Row],[Profit %]]&gt;20,"Excellent",IF(H2009&gt;10.1,"Good","Low"))</f>
        <v>Excellent</v>
      </c>
    </row>
    <row r="2010" spans="1:9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 s="2">
        <v>2817</v>
      </c>
      <c r="G2010">
        <v>588.47</v>
      </c>
      <c r="H2010" s="2">
        <f>Table1[[#This Row],[Profit]]/Table1[[#This Row],[Sales]]*100</f>
        <v>20.889953851615196</v>
      </c>
      <c r="I2010" t="str">
        <f>IF(Table1[[#This Row],[Profit %]]&gt;20,"Excellent",IF(H2010&gt;10.1,"Good","Low"))</f>
        <v>Excellent</v>
      </c>
    </row>
    <row r="2011" spans="1:9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 s="2">
        <v>1464</v>
      </c>
      <c r="G2011">
        <v>264.67</v>
      </c>
      <c r="H2011" s="2">
        <f>Table1[[#This Row],[Profit]]/Table1[[#This Row],[Sales]]*100</f>
        <v>18.078551912568308</v>
      </c>
      <c r="I2011" t="str">
        <f>IF(Table1[[#This Row],[Profit %]]&gt;20,"Excellent",IF(H2011&gt;10.1,"Good","Low"))</f>
        <v>Good</v>
      </c>
    </row>
    <row r="2012" spans="1:9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 s="2">
        <v>307</v>
      </c>
      <c r="G2012">
        <v>60.51</v>
      </c>
      <c r="H2012" s="2">
        <f>Table1[[#This Row],[Profit]]/Table1[[#This Row],[Sales]]*100</f>
        <v>19.710097719869708</v>
      </c>
      <c r="I2012" t="str">
        <f>IF(Table1[[#This Row],[Profit %]]&gt;20,"Excellent",IF(H2012&gt;10.1,"Good","Low"))</f>
        <v>Good</v>
      </c>
    </row>
    <row r="2013" spans="1:9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 s="2">
        <v>5706</v>
      </c>
      <c r="G2013">
        <v>1306.92</v>
      </c>
      <c r="H2013" s="2">
        <f>Table1[[#This Row],[Profit]]/Table1[[#This Row],[Sales]]*100</f>
        <v>22.904311251314407</v>
      </c>
      <c r="I2013" t="str">
        <f>IF(Table1[[#This Row],[Profit %]]&gt;20,"Excellent",IF(H2013&gt;10.1,"Good","Low"))</f>
        <v>Excellent</v>
      </c>
    </row>
    <row r="2014" spans="1:9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 s="2">
        <v>1112</v>
      </c>
      <c r="G2014">
        <v>100.47</v>
      </c>
      <c r="H2014" s="2">
        <f>Table1[[#This Row],[Profit]]/Table1[[#This Row],[Sales]]*100</f>
        <v>9.0350719424460433</v>
      </c>
      <c r="I2014" t="str">
        <f>IF(Table1[[#This Row],[Profit %]]&gt;20,"Excellent",IF(H2014&gt;10.1,"Good","Low"))</f>
        <v>Low</v>
      </c>
    </row>
    <row r="2015" spans="1:9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 s="2">
        <v>1147</v>
      </c>
      <c r="G2015">
        <v>133.47999999999999</v>
      </c>
      <c r="H2015" s="2">
        <f>Table1[[#This Row],[Profit]]/Table1[[#This Row],[Sales]]*100</f>
        <v>11.637314734088926</v>
      </c>
      <c r="I2015" t="str">
        <f>IF(Table1[[#This Row],[Profit %]]&gt;20,"Excellent",IF(H2015&gt;10.1,"Good","Low"))</f>
        <v>Good</v>
      </c>
    </row>
    <row r="2016" spans="1:9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 s="2">
        <v>330</v>
      </c>
      <c r="G2016">
        <v>66.569999999999993</v>
      </c>
      <c r="H2016" s="2">
        <f>Table1[[#This Row],[Profit]]/Table1[[#This Row],[Sales]]*100</f>
        <v>20.172727272727268</v>
      </c>
      <c r="I2016" t="str">
        <f>IF(Table1[[#This Row],[Profit %]]&gt;20,"Excellent",IF(H2016&gt;10.1,"Good","Low"))</f>
        <v>Excellent</v>
      </c>
    </row>
    <row r="2017" spans="1:9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 s="2">
        <v>2176</v>
      </c>
      <c r="G2017">
        <v>250.89</v>
      </c>
      <c r="H2017" s="2">
        <f>Table1[[#This Row],[Profit]]/Table1[[#This Row],[Sales]]*100</f>
        <v>11.529871323529411</v>
      </c>
      <c r="I2017" t="str">
        <f>IF(Table1[[#This Row],[Profit %]]&gt;20,"Excellent",IF(H2017&gt;10.1,"Good","Low"))</f>
        <v>Good</v>
      </c>
    </row>
    <row r="2018" spans="1:9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 s="2">
        <v>7616</v>
      </c>
      <c r="G2018">
        <v>1317.79</v>
      </c>
      <c r="H2018" s="2">
        <f>Table1[[#This Row],[Profit]]/Table1[[#This Row],[Sales]]*100</f>
        <v>17.302914915966387</v>
      </c>
      <c r="I2018" t="str">
        <f>IF(Table1[[#This Row],[Profit %]]&gt;20,"Excellent",IF(H2018&gt;10.1,"Good","Low"))</f>
        <v>Good</v>
      </c>
    </row>
    <row r="2019" spans="1:9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 s="2">
        <v>1091</v>
      </c>
      <c r="G2019">
        <v>258.3</v>
      </c>
      <c r="H2019" s="2">
        <f>Table1[[#This Row],[Profit]]/Table1[[#This Row],[Sales]]*100</f>
        <v>23.675527039413382</v>
      </c>
      <c r="I2019" t="str">
        <f>IF(Table1[[#This Row],[Profit %]]&gt;20,"Excellent",IF(H2019&gt;10.1,"Good","Low"))</f>
        <v>Excellent</v>
      </c>
    </row>
    <row r="2020" spans="1:9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 s="2">
        <v>1026</v>
      </c>
      <c r="G2020">
        <v>279.76</v>
      </c>
      <c r="H2020" s="2">
        <f>Table1[[#This Row],[Profit]]/Table1[[#This Row],[Sales]]*100</f>
        <v>27.267056530214422</v>
      </c>
      <c r="I2020" t="str">
        <f>IF(Table1[[#This Row],[Profit %]]&gt;20,"Excellent",IF(H2020&gt;10.1,"Good","Low"))</f>
        <v>Excellent</v>
      </c>
    </row>
    <row r="2021" spans="1:9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 s="2">
        <v>210</v>
      </c>
      <c r="G2021">
        <v>42.04</v>
      </c>
      <c r="H2021" s="2">
        <f>Table1[[#This Row],[Profit]]/Table1[[#This Row],[Sales]]*100</f>
        <v>20.019047619047619</v>
      </c>
      <c r="I2021" t="str">
        <f>IF(Table1[[#This Row],[Profit %]]&gt;20,"Excellent",IF(H2021&gt;10.1,"Good","Low"))</f>
        <v>Excellent</v>
      </c>
    </row>
    <row r="2022" spans="1:9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 s="2">
        <v>180</v>
      </c>
      <c r="G2022">
        <v>10.78</v>
      </c>
      <c r="H2022" s="2">
        <f>Table1[[#This Row],[Profit]]/Table1[[#This Row],[Sales]]*100</f>
        <v>5.9888888888888889</v>
      </c>
      <c r="I2022" t="str">
        <f>IF(Table1[[#This Row],[Profit %]]&gt;20,"Excellent",IF(H2022&gt;10.1,"Good","Low"))</f>
        <v>Low</v>
      </c>
    </row>
    <row r="2023" spans="1:9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 s="2">
        <v>380</v>
      </c>
      <c r="G2023">
        <v>72.88</v>
      </c>
      <c r="H2023" s="2">
        <f>Table1[[#This Row],[Profit]]/Table1[[#This Row],[Sales]]*100</f>
        <v>19.178947368421049</v>
      </c>
      <c r="I2023" t="str">
        <f>IF(Table1[[#This Row],[Profit %]]&gt;20,"Excellent",IF(H2023&gt;10.1,"Good","Low"))</f>
        <v>Good</v>
      </c>
    </row>
    <row r="2024" spans="1:9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 s="2">
        <v>7664</v>
      </c>
      <c r="G2024">
        <v>1580.55</v>
      </c>
      <c r="H2024" s="2">
        <f>Table1[[#This Row],[Profit]]/Table1[[#This Row],[Sales]]*100</f>
        <v>20.623042797494779</v>
      </c>
      <c r="I2024" t="str">
        <f>IF(Table1[[#This Row],[Profit %]]&gt;20,"Excellent",IF(H2024&gt;10.1,"Good","Low"))</f>
        <v>Excellent</v>
      </c>
    </row>
    <row r="2025" spans="1:9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 s="2">
        <v>6056</v>
      </c>
      <c r="G2025">
        <v>1029.9000000000001</v>
      </c>
      <c r="H2025" s="2">
        <f>Table1[[#This Row],[Profit]]/Table1[[#This Row],[Sales]]*100</f>
        <v>17.006274768824309</v>
      </c>
      <c r="I2025" t="str">
        <f>IF(Table1[[#This Row],[Profit %]]&gt;20,"Excellent",IF(H2025&gt;10.1,"Good","Low"))</f>
        <v>Good</v>
      </c>
    </row>
    <row r="2026" spans="1:9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 s="2">
        <v>606</v>
      </c>
      <c r="G2026">
        <v>104.52</v>
      </c>
      <c r="H2026" s="2">
        <f>Table1[[#This Row],[Profit]]/Table1[[#This Row],[Sales]]*100</f>
        <v>17.247524752475247</v>
      </c>
      <c r="I2026" t="str">
        <f>IF(Table1[[#This Row],[Profit %]]&gt;20,"Excellent",IF(H2026&gt;10.1,"Good","Low"))</f>
        <v>Good</v>
      </c>
    </row>
    <row r="2027" spans="1:9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 s="2">
        <v>750</v>
      </c>
      <c r="G2027">
        <v>193.86</v>
      </c>
      <c r="H2027" s="2">
        <f>Table1[[#This Row],[Profit]]/Table1[[#This Row],[Sales]]*100</f>
        <v>25.848000000000006</v>
      </c>
      <c r="I2027" t="str">
        <f>IF(Table1[[#This Row],[Profit %]]&gt;20,"Excellent",IF(H2027&gt;10.1,"Good","Low"))</f>
        <v>Excellent</v>
      </c>
    </row>
    <row r="2028" spans="1:9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 s="2">
        <v>1218</v>
      </c>
      <c r="G2028">
        <v>218.88</v>
      </c>
      <c r="H2028" s="2">
        <f>Table1[[#This Row],[Profit]]/Table1[[#This Row],[Sales]]*100</f>
        <v>17.970443349753694</v>
      </c>
      <c r="I2028" t="str">
        <f>IF(Table1[[#This Row],[Profit %]]&gt;20,"Excellent",IF(H2028&gt;10.1,"Good","Low"))</f>
        <v>Good</v>
      </c>
    </row>
    <row r="2029" spans="1:9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 s="2">
        <v>2162</v>
      </c>
      <c r="G2029">
        <v>355.45</v>
      </c>
      <c r="H2029" s="2">
        <f>Table1[[#This Row],[Profit]]/Table1[[#This Row],[Sales]]*100</f>
        <v>16.440795559666974</v>
      </c>
      <c r="I2029" t="str">
        <f>IF(Table1[[#This Row],[Profit %]]&gt;20,"Excellent",IF(H2029&gt;10.1,"Good","Low"))</f>
        <v>Good</v>
      </c>
    </row>
    <row r="2030" spans="1:9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 s="2">
        <v>2223</v>
      </c>
      <c r="G2030">
        <v>347.01</v>
      </c>
      <c r="H2030" s="2">
        <f>Table1[[#This Row],[Profit]]/Table1[[#This Row],[Sales]]*100</f>
        <v>15.609986504723347</v>
      </c>
      <c r="I2030" t="str">
        <f>IF(Table1[[#This Row],[Profit %]]&gt;20,"Excellent",IF(H2030&gt;10.1,"Good","Low"))</f>
        <v>Good</v>
      </c>
    </row>
    <row r="2031" spans="1:9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 s="2">
        <v>4452</v>
      </c>
      <c r="G2031">
        <v>920.05</v>
      </c>
      <c r="H2031" s="2">
        <f>Table1[[#This Row],[Profit]]/Table1[[#This Row],[Sales]]*100</f>
        <v>20.665992812219226</v>
      </c>
      <c r="I2031" t="str">
        <f>IF(Table1[[#This Row],[Profit %]]&gt;20,"Excellent",IF(H2031&gt;10.1,"Good","Low"))</f>
        <v>Excellent</v>
      </c>
    </row>
    <row r="2032" spans="1:9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 s="2">
        <v>184</v>
      </c>
      <c r="G2032">
        <v>50.19</v>
      </c>
      <c r="H2032" s="2">
        <f>Table1[[#This Row],[Profit]]/Table1[[#This Row],[Sales]]*100</f>
        <v>27.27717391304348</v>
      </c>
      <c r="I2032" t="str">
        <f>IF(Table1[[#This Row],[Profit %]]&gt;20,"Excellent",IF(H2032&gt;10.1,"Good","Low"))</f>
        <v>Excellent</v>
      </c>
    </row>
    <row r="2033" spans="1:9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 s="2">
        <v>288</v>
      </c>
      <c r="G2033">
        <v>77.38</v>
      </c>
      <c r="H2033" s="2">
        <f>Table1[[#This Row],[Profit]]/Table1[[#This Row],[Sales]]*100</f>
        <v>26.868055555555554</v>
      </c>
      <c r="I2033" t="str">
        <f>IF(Table1[[#This Row],[Profit %]]&gt;20,"Excellent",IF(H2033&gt;10.1,"Good","Low"))</f>
        <v>Excellent</v>
      </c>
    </row>
    <row r="2034" spans="1:9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 s="2">
        <v>834</v>
      </c>
      <c r="G2034">
        <v>150.12</v>
      </c>
      <c r="H2034" s="2">
        <f>Table1[[#This Row],[Profit]]/Table1[[#This Row],[Sales]]*100</f>
        <v>18</v>
      </c>
      <c r="I2034" t="str">
        <f>IF(Table1[[#This Row],[Profit %]]&gt;20,"Excellent",IF(H2034&gt;10.1,"Good","Low"))</f>
        <v>Good</v>
      </c>
    </row>
    <row r="2035" spans="1:9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 s="2">
        <v>4025</v>
      </c>
      <c r="G2035">
        <v>923.17</v>
      </c>
      <c r="H2035" s="2">
        <f>Table1[[#This Row],[Profit]]/Table1[[#This Row],[Sales]]*100</f>
        <v>22.935900621118009</v>
      </c>
      <c r="I2035" t="str">
        <f>IF(Table1[[#This Row],[Profit %]]&gt;20,"Excellent",IF(H2035&gt;10.1,"Good","Low"))</f>
        <v>Excellent</v>
      </c>
    </row>
    <row r="2036" spans="1:9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 s="2">
        <v>4732</v>
      </c>
      <c r="G2036">
        <v>1084.28</v>
      </c>
      <c r="H2036" s="2">
        <f>Table1[[#This Row],[Profit]]/Table1[[#This Row],[Sales]]*100</f>
        <v>22.913778529163146</v>
      </c>
      <c r="I2036" t="str">
        <f>IF(Table1[[#This Row],[Profit %]]&gt;20,"Excellent",IF(H2036&gt;10.1,"Good","Low"))</f>
        <v>Excellent</v>
      </c>
    </row>
    <row r="2037" spans="1:9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 s="2">
        <v>4025</v>
      </c>
      <c r="G2037">
        <v>407.72</v>
      </c>
      <c r="H2037" s="2">
        <f>Table1[[#This Row],[Profit]]/Table1[[#This Row],[Sales]]*100</f>
        <v>10.12968944099379</v>
      </c>
      <c r="I2037" t="str">
        <f>IF(Table1[[#This Row],[Profit %]]&gt;20,"Excellent",IF(H2037&gt;10.1,"Good","Low"))</f>
        <v>Good</v>
      </c>
    </row>
    <row r="2038" spans="1:9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 s="2">
        <v>2416</v>
      </c>
      <c r="G2038">
        <v>500.93</v>
      </c>
      <c r="H2038" s="2">
        <f>Table1[[#This Row],[Profit]]/Table1[[#This Row],[Sales]]*100</f>
        <v>20.733857615894042</v>
      </c>
      <c r="I2038" t="str">
        <f>IF(Table1[[#This Row],[Profit %]]&gt;20,"Excellent",IF(H2038&gt;10.1,"Good","Low"))</f>
        <v>Excellent</v>
      </c>
    </row>
    <row r="2039" spans="1:9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 s="2">
        <v>1897</v>
      </c>
      <c r="G2039">
        <v>524.69000000000005</v>
      </c>
      <c r="H2039" s="2">
        <f>Table1[[#This Row],[Profit]]/Table1[[#This Row],[Sales]]*100</f>
        <v>27.658935160780185</v>
      </c>
      <c r="I2039" t="str">
        <f>IF(Table1[[#This Row],[Profit %]]&gt;20,"Excellent",IF(H2039&gt;10.1,"Good","Low"))</f>
        <v>Excellent</v>
      </c>
    </row>
    <row r="2040" spans="1:9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 s="2">
        <v>840</v>
      </c>
      <c r="G2040">
        <v>190.13</v>
      </c>
      <c r="H2040" s="2">
        <f>Table1[[#This Row],[Profit]]/Table1[[#This Row],[Sales]]*100</f>
        <v>22.634523809523809</v>
      </c>
      <c r="I2040" t="str">
        <f>IF(Table1[[#This Row],[Profit %]]&gt;20,"Excellent",IF(H2040&gt;10.1,"Good","Low"))</f>
        <v>Excellent</v>
      </c>
    </row>
    <row r="2041" spans="1:9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 s="2">
        <v>6600</v>
      </c>
      <c r="G2041">
        <v>360.45</v>
      </c>
      <c r="H2041" s="2">
        <f>Table1[[#This Row],[Profit]]/Table1[[#This Row],[Sales]]*100</f>
        <v>5.461363636363636</v>
      </c>
      <c r="I2041" t="str">
        <f>IF(Table1[[#This Row],[Profit %]]&gt;20,"Excellent",IF(H2041&gt;10.1,"Good","Low"))</f>
        <v>Low</v>
      </c>
    </row>
    <row r="2042" spans="1:9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 s="2">
        <v>2362</v>
      </c>
      <c r="G2042">
        <v>342.27</v>
      </c>
      <c r="H2042" s="2">
        <f>Table1[[#This Row],[Profit]]/Table1[[#This Row],[Sales]]*100</f>
        <v>14.490685859441152</v>
      </c>
      <c r="I2042" t="str">
        <f>IF(Table1[[#This Row],[Profit %]]&gt;20,"Excellent",IF(H2042&gt;10.1,"Good","Low"))</f>
        <v>Good</v>
      </c>
    </row>
    <row r="2043" spans="1:9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 s="2">
        <v>2958</v>
      </c>
      <c r="G2043">
        <v>577.27</v>
      </c>
      <c r="H2043" s="2">
        <f>Table1[[#This Row],[Profit]]/Table1[[#This Row],[Sales]]*100</f>
        <v>19.51555104800541</v>
      </c>
      <c r="I2043" t="str">
        <f>IF(Table1[[#This Row],[Profit %]]&gt;20,"Excellent",IF(H2043&gt;10.1,"Good","Low"))</f>
        <v>Good</v>
      </c>
    </row>
    <row r="2044" spans="1:9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 s="2">
        <v>477</v>
      </c>
      <c r="G2044">
        <v>56.49</v>
      </c>
      <c r="H2044" s="2">
        <f>Table1[[#This Row],[Profit]]/Table1[[#This Row],[Sales]]*100</f>
        <v>11.842767295597485</v>
      </c>
      <c r="I2044" t="str">
        <f>IF(Table1[[#This Row],[Profit %]]&gt;20,"Excellent",IF(H2044&gt;10.1,"Good","Low"))</f>
        <v>Good</v>
      </c>
    </row>
    <row r="2045" spans="1:9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 s="2">
        <v>942</v>
      </c>
      <c r="G2045">
        <v>84.8</v>
      </c>
      <c r="H2045" s="2">
        <f>Table1[[#This Row],[Profit]]/Table1[[#This Row],[Sales]]*100</f>
        <v>9.0021231422505306</v>
      </c>
      <c r="I2045" t="str">
        <f>IF(Table1[[#This Row],[Profit %]]&gt;20,"Excellent",IF(H2045&gt;10.1,"Good","Low"))</f>
        <v>Low</v>
      </c>
    </row>
    <row r="2046" spans="1:9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 s="2">
        <v>2084</v>
      </c>
      <c r="G2046">
        <v>586.72</v>
      </c>
      <c r="H2046" s="2">
        <f>Table1[[#This Row],[Profit]]/Table1[[#This Row],[Sales]]*100</f>
        <v>28.153550863723609</v>
      </c>
      <c r="I2046" t="str">
        <f>IF(Table1[[#This Row],[Profit %]]&gt;20,"Excellent",IF(H2046&gt;10.1,"Good","Low"))</f>
        <v>Excellent</v>
      </c>
    </row>
    <row r="2047" spans="1:9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 s="2">
        <v>4584</v>
      </c>
      <c r="G2047">
        <v>473.37</v>
      </c>
      <c r="H2047" s="2">
        <f>Table1[[#This Row],[Profit]]/Table1[[#This Row],[Sales]]*100</f>
        <v>10.326570680628272</v>
      </c>
      <c r="I2047" t="str">
        <f>IF(Table1[[#This Row],[Profit %]]&gt;20,"Excellent",IF(H2047&gt;10.1,"Good","Low"))</f>
        <v>Good</v>
      </c>
    </row>
    <row r="2048" spans="1:9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 s="2">
        <v>1118</v>
      </c>
      <c r="G2048">
        <v>319.27999999999997</v>
      </c>
      <c r="H2048" s="2">
        <f>Table1[[#This Row],[Profit]]/Table1[[#This Row],[Sales]]*100</f>
        <v>28.558139534883718</v>
      </c>
      <c r="I2048" t="str">
        <f>IF(Table1[[#This Row],[Profit %]]&gt;20,"Excellent",IF(H2048&gt;10.1,"Good","Low"))</f>
        <v>Excellent</v>
      </c>
    </row>
    <row r="2049" spans="1:9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 s="2">
        <v>4005</v>
      </c>
      <c r="G2049">
        <v>652.15</v>
      </c>
      <c r="H2049" s="2">
        <f>Table1[[#This Row],[Profit]]/Table1[[#This Row],[Sales]]*100</f>
        <v>16.283395755305868</v>
      </c>
      <c r="I2049" t="str">
        <f>IF(Table1[[#This Row],[Profit %]]&gt;20,"Excellent",IF(H2049&gt;10.1,"Good","Low"))</f>
        <v>Good</v>
      </c>
    </row>
    <row r="2050" spans="1:9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 s="2">
        <v>4610</v>
      </c>
      <c r="G2050">
        <v>1293.3699999999999</v>
      </c>
      <c r="H2050" s="2">
        <f>Table1[[#This Row],[Profit]]/Table1[[#This Row],[Sales]]*100</f>
        <v>28.055748373101952</v>
      </c>
      <c r="I2050" t="str">
        <f>IF(Table1[[#This Row],[Profit %]]&gt;20,"Excellent",IF(H2050&gt;10.1,"Good","Low"))</f>
        <v>Excellent</v>
      </c>
    </row>
    <row r="2051" spans="1:9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 s="2">
        <v>551</v>
      </c>
      <c r="G2051">
        <v>86.84</v>
      </c>
      <c r="H2051" s="2">
        <f>Table1[[#This Row],[Profit]]/Table1[[#This Row],[Sales]]*100</f>
        <v>15.760435571687841</v>
      </c>
      <c r="I2051" t="str">
        <f>IF(Table1[[#This Row],[Profit %]]&gt;20,"Excellent",IF(H2051&gt;10.1,"Good","Low"))</f>
        <v>Good</v>
      </c>
    </row>
    <row r="2052" spans="1:9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 s="2">
        <v>75</v>
      </c>
      <c r="G2052">
        <v>19.29</v>
      </c>
      <c r="H2052" s="2">
        <f>Table1[[#This Row],[Profit]]/Table1[[#This Row],[Sales]]*100</f>
        <v>25.72</v>
      </c>
      <c r="I2052" t="str">
        <f>IF(Table1[[#This Row],[Profit %]]&gt;20,"Excellent",IF(H2052&gt;10.1,"Good","Low"))</f>
        <v>Excellent</v>
      </c>
    </row>
    <row r="2053" spans="1:9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 s="2">
        <v>6576</v>
      </c>
      <c r="G2053">
        <v>1899.67</v>
      </c>
      <c r="H2053" s="2">
        <f>Table1[[#This Row],[Profit]]/Table1[[#This Row],[Sales]]*100</f>
        <v>28.887925790754259</v>
      </c>
      <c r="I2053" t="str">
        <f>IF(Table1[[#This Row],[Profit %]]&gt;20,"Excellent",IF(H2053&gt;10.1,"Good","Low"))</f>
        <v>Excellent</v>
      </c>
    </row>
    <row r="2054" spans="1:9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 s="2">
        <v>6432</v>
      </c>
      <c r="G2054">
        <v>1410.52</v>
      </c>
      <c r="H2054" s="2">
        <f>Table1[[#This Row],[Profit]]/Table1[[#This Row],[Sales]]*100</f>
        <v>21.929726368159201</v>
      </c>
      <c r="I2054" t="str">
        <f>IF(Table1[[#This Row],[Profit %]]&gt;20,"Excellent",IF(H2054&gt;10.1,"Good","Low"))</f>
        <v>Excellent</v>
      </c>
    </row>
    <row r="2055" spans="1:9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 s="2">
        <v>7763</v>
      </c>
      <c r="G2055">
        <v>1444.27</v>
      </c>
      <c r="H2055" s="2">
        <f>Table1[[#This Row],[Profit]]/Table1[[#This Row],[Sales]]*100</f>
        <v>18.604534329511786</v>
      </c>
      <c r="I2055" t="str">
        <f>IF(Table1[[#This Row],[Profit %]]&gt;20,"Excellent",IF(H2055&gt;10.1,"Good","Low"))</f>
        <v>Good</v>
      </c>
    </row>
    <row r="2056" spans="1:9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 s="2">
        <v>2240</v>
      </c>
      <c r="G2056">
        <v>622.29</v>
      </c>
      <c r="H2056" s="2">
        <f>Table1[[#This Row],[Profit]]/Table1[[#This Row],[Sales]]*100</f>
        <v>27.780803571428571</v>
      </c>
      <c r="I2056" t="str">
        <f>IF(Table1[[#This Row],[Profit %]]&gt;20,"Excellent",IF(H2056&gt;10.1,"Good","Low"))</f>
        <v>Excellent</v>
      </c>
    </row>
    <row r="2057" spans="1:9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 s="2">
        <v>5298</v>
      </c>
      <c r="G2057">
        <v>1209.8800000000001</v>
      </c>
      <c r="H2057" s="2">
        <f>Table1[[#This Row],[Profit]]/Table1[[#This Row],[Sales]]*100</f>
        <v>22.836542091355231</v>
      </c>
      <c r="I2057" t="str">
        <f>IF(Table1[[#This Row],[Profit %]]&gt;20,"Excellent",IF(H2057&gt;10.1,"Good","Low"))</f>
        <v>Excellent</v>
      </c>
    </row>
    <row r="2058" spans="1:9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 s="2">
        <v>116</v>
      </c>
      <c r="G2058">
        <v>32.270000000000003</v>
      </c>
      <c r="H2058" s="2">
        <f>Table1[[#This Row],[Profit]]/Table1[[#This Row],[Sales]]*100</f>
        <v>27.818965517241384</v>
      </c>
      <c r="I2058" t="str">
        <f>IF(Table1[[#This Row],[Profit %]]&gt;20,"Excellent",IF(H2058&gt;10.1,"Good","Low"))</f>
        <v>Excellent</v>
      </c>
    </row>
    <row r="2059" spans="1:9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 s="2">
        <v>6728</v>
      </c>
      <c r="G2059">
        <v>1140.19</v>
      </c>
      <c r="H2059" s="2">
        <f>Table1[[#This Row],[Profit]]/Table1[[#This Row],[Sales]]*100</f>
        <v>16.946938168846611</v>
      </c>
      <c r="I2059" t="str">
        <f>IF(Table1[[#This Row],[Profit %]]&gt;20,"Excellent",IF(H2059&gt;10.1,"Good","Low"))</f>
        <v>Good</v>
      </c>
    </row>
    <row r="2060" spans="1:9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 s="2">
        <v>490</v>
      </c>
      <c r="G2060">
        <v>55.59</v>
      </c>
      <c r="H2060" s="2">
        <f>Table1[[#This Row],[Profit]]/Table1[[#This Row],[Sales]]*100</f>
        <v>11.344897959183674</v>
      </c>
      <c r="I2060" t="str">
        <f>IF(Table1[[#This Row],[Profit %]]&gt;20,"Excellent",IF(H2060&gt;10.1,"Good","Low"))</f>
        <v>Good</v>
      </c>
    </row>
    <row r="2061" spans="1:9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 s="2">
        <v>2765</v>
      </c>
      <c r="G2061">
        <v>699.86</v>
      </c>
      <c r="H2061" s="2">
        <f>Table1[[#This Row],[Profit]]/Table1[[#This Row],[Sales]]*100</f>
        <v>25.311392405063295</v>
      </c>
      <c r="I2061" t="str">
        <f>IF(Table1[[#This Row],[Profit %]]&gt;20,"Excellent",IF(H2061&gt;10.1,"Good","Low"))</f>
        <v>Excellent</v>
      </c>
    </row>
    <row r="2062" spans="1:9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 s="2">
        <v>2680</v>
      </c>
      <c r="G2062">
        <v>598.97</v>
      </c>
      <c r="H2062" s="2">
        <f>Table1[[#This Row],[Profit]]/Table1[[#This Row],[Sales]]*100</f>
        <v>22.349626865671642</v>
      </c>
      <c r="I2062" t="str">
        <f>IF(Table1[[#This Row],[Profit %]]&gt;20,"Excellent",IF(H2062&gt;10.1,"Good","Low"))</f>
        <v>Excellent</v>
      </c>
    </row>
    <row r="2063" spans="1:9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 s="2">
        <v>2174</v>
      </c>
      <c r="G2063">
        <v>335.37</v>
      </c>
      <c r="H2063" s="2">
        <f>Table1[[#This Row],[Profit]]/Table1[[#This Row],[Sales]]*100</f>
        <v>15.426402943882245</v>
      </c>
      <c r="I2063" t="str">
        <f>IF(Table1[[#This Row],[Profit %]]&gt;20,"Excellent",IF(H2063&gt;10.1,"Good","Low"))</f>
        <v>Good</v>
      </c>
    </row>
    <row r="2064" spans="1:9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 s="2">
        <v>5562</v>
      </c>
      <c r="G2064">
        <v>1258.1199999999999</v>
      </c>
      <c r="H2064" s="2">
        <f>Table1[[#This Row],[Profit]]/Table1[[#This Row],[Sales]]*100</f>
        <v>22.619920891765549</v>
      </c>
      <c r="I2064" t="str">
        <f>IF(Table1[[#This Row],[Profit %]]&gt;20,"Excellent",IF(H2064&gt;10.1,"Good","Low"))</f>
        <v>Excellent</v>
      </c>
    </row>
    <row r="2065" spans="1:9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 s="2">
        <v>9208</v>
      </c>
      <c r="G2065">
        <v>2595.33</v>
      </c>
      <c r="H2065" s="2">
        <f>Table1[[#This Row],[Profit]]/Table1[[#This Row],[Sales]]*100</f>
        <v>28.185599478714163</v>
      </c>
      <c r="I2065" t="str">
        <f>IF(Table1[[#This Row],[Profit %]]&gt;20,"Excellent",IF(H2065&gt;10.1,"Good","Low"))</f>
        <v>Excellent</v>
      </c>
    </row>
    <row r="2066" spans="1:9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 s="2">
        <v>4512</v>
      </c>
      <c r="G2066">
        <v>546.71</v>
      </c>
      <c r="H2066" s="2">
        <f>Table1[[#This Row],[Profit]]/Table1[[#This Row],[Sales]]*100</f>
        <v>12.116799645390072</v>
      </c>
      <c r="I2066" t="str">
        <f>IF(Table1[[#This Row],[Profit %]]&gt;20,"Excellent",IF(H2066&gt;10.1,"Good","Low"))</f>
        <v>Good</v>
      </c>
    </row>
    <row r="2067" spans="1:9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 s="2">
        <v>7974</v>
      </c>
      <c r="G2067">
        <v>1965.96</v>
      </c>
      <c r="H2067" s="2">
        <f>Table1[[#This Row],[Profit]]/Table1[[#This Row],[Sales]]*100</f>
        <v>24.654627539503387</v>
      </c>
      <c r="I2067" t="str">
        <f>IF(Table1[[#This Row],[Profit %]]&gt;20,"Excellent",IF(H2067&gt;10.1,"Good","Low"))</f>
        <v>Excellent</v>
      </c>
    </row>
    <row r="2068" spans="1:9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 s="2">
        <v>4944</v>
      </c>
      <c r="G2068">
        <v>1335.04</v>
      </c>
      <c r="H2068" s="2">
        <f>Table1[[#This Row],[Profit]]/Table1[[#This Row],[Sales]]*100</f>
        <v>27.003236245954692</v>
      </c>
      <c r="I2068" t="str">
        <f>IF(Table1[[#This Row],[Profit %]]&gt;20,"Excellent",IF(H2068&gt;10.1,"Good","Low"))</f>
        <v>Excellent</v>
      </c>
    </row>
    <row r="2069" spans="1:9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 s="2">
        <v>1611</v>
      </c>
      <c r="G2069">
        <v>234.84</v>
      </c>
      <c r="H2069" s="2">
        <f>Table1[[#This Row],[Profit]]/Table1[[#This Row],[Sales]]*100</f>
        <v>14.577281191806332</v>
      </c>
      <c r="I2069" t="str">
        <f>IF(Table1[[#This Row],[Profit %]]&gt;20,"Excellent",IF(H2069&gt;10.1,"Good","Low"))</f>
        <v>Good</v>
      </c>
    </row>
    <row r="2070" spans="1:9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 s="2">
        <v>4599</v>
      </c>
      <c r="G2070">
        <v>618.89</v>
      </c>
      <c r="H2070" s="2">
        <f>Table1[[#This Row],[Profit]]/Table1[[#This Row],[Sales]]*100</f>
        <v>13.457055881713414</v>
      </c>
      <c r="I2070" t="str">
        <f>IF(Table1[[#This Row],[Profit %]]&gt;20,"Excellent",IF(H2070&gt;10.1,"Good","Low"))</f>
        <v>Good</v>
      </c>
    </row>
    <row r="2071" spans="1:9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 s="2">
        <v>4380</v>
      </c>
      <c r="G2071">
        <v>419.3</v>
      </c>
      <c r="H2071" s="2">
        <f>Table1[[#This Row],[Profit]]/Table1[[#This Row],[Sales]]*100</f>
        <v>9.5730593607305945</v>
      </c>
      <c r="I2071" t="str">
        <f>IF(Table1[[#This Row],[Profit %]]&gt;20,"Excellent",IF(H2071&gt;10.1,"Good","Low"))</f>
        <v>Low</v>
      </c>
    </row>
    <row r="2072" spans="1:9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 s="2">
        <v>2376</v>
      </c>
      <c r="G2072">
        <v>580.26</v>
      </c>
      <c r="H2072" s="2">
        <f>Table1[[#This Row],[Profit]]/Table1[[#This Row],[Sales]]*100</f>
        <v>24.421717171717173</v>
      </c>
      <c r="I2072" t="str">
        <f>IF(Table1[[#This Row],[Profit %]]&gt;20,"Excellent",IF(H2072&gt;10.1,"Good","Low"))</f>
        <v>Excellent</v>
      </c>
    </row>
    <row r="2073" spans="1:9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 s="2">
        <v>6588</v>
      </c>
      <c r="G2073">
        <v>1800.9</v>
      </c>
      <c r="H2073" s="2">
        <f>Table1[[#This Row],[Profit]]/Table1[[#This Row],[Sales]]*100</f>
        <v>27.33606557377049</v>
      </c>
      <c r="I2073" t="str">
        <f>IF(Table1[[#This Row],[Profit %]]&gt;20,"Excellent",IF(H2073&gt;10.1,"Good","Low"))</f>
        <v>Excellent</v>
      </c>
    </row>
    <row r="2074" spans="1:9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 s="2">
        <v>3745</v>
      </c>
      <c r="G2074">
        <v>720.08</v>
      </c>
      <c r="H2074" s="2">
        <f>Table1[[#This Row],[Profit]]/Table1[[#This Row],[Sales]]*100</f>
        <v>19.22777036048064</v>
      </c>
      <c r="I2074" t="str">
        <f>IF(Table1[[#This Row],[Profit %]]&gt;20,"Excellent",IF(H2074&gt;10.1,"Good","Low"))</f>
        <v>Good</v>
      </c>
    </row>
    <row r="2075" spans="1:9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 s="2">
        <v>5305</v>
      </c>
      <c r="G2075">
        <v>1389.25</v>
      </c>
      <c r="H2075" s="2">
        <f>Table1[[#This Row],[Profit]]/Table1[[#This Row],[Sales]]*100</f>
        <v>26.187558906691798</v>
      </c>
      <c r="I2075" t="str">
        <f>IF(Table1[[#This Row],[Profit %]]&gt;20,"Excellent",IF(H2075&gt;10.1,"Good","Low"))</f>
        <v>Excellent</v>
      </c>
    </row>
    <row r="2076" spans="1:9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 s="2">
        <v>1608</v>
      </c>
      <c r="G2076">
        <v>332.12</v>
      </c>
      <c r="H2076" s="2">
        <f>Table1[[#This Row],[Profit]]/Table1[[#This Row],[Sales]]*100</f>
        <v>20.654228855721392</v>
      </c>
      <c r="I2076" t="str">
        <f>IF(Table1[[#This Row],[Profit %]]&gt;20,"Excellent",IF(H2076&gt;10.1,"Good","Low"))</f>
        <v>Excellent</v>
      </c>
    </row>
    <row r="2077" spans="1:9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 s="2">
        <v>4977</v>
      </c>
      <c r="G2077">
        <v>745.81</v>
      </c>
      <c r="H2077" s="2">
        <f>Table1[[#This Row],[Profit]]/Table1[[#This Row],[Sales]]*100</f>
        <v>14.985131605384769</v>
      </c>
      <c r="I2077" t="str">
        <f>IF(Table1[[#This Row],[Profit %]]&gt;20,"Excellent",IF(H2077&gt;10.1,"Good","Low"))</f>
        <v>Good</v>
      </c>
    </row>
    <row r="2078" spans="1:9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 s="2">
        <v>4529</v>
      </c>
      <c r="G2078">
        <v>273.97000000000003</v>
      </c>
      <c r="H2078" s="2">
        <f>Table1[[#This Row],[Profit]]/Table1[[#This Row],[Sales]]*100</f>
        <v>6.0492382424376245</v>
      </c>
      <c r="I2078" t="str">
        <f>IF(Table1[[#This Row],[Profit %]]&gt;20,"Excellent",IF(H2078&gt;10.1,"Good","Low"))</f>
        <v>Low</v>
      </c>
    </row>
    <row r="2079" spans="1:9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 s="2">
        <v>4690</v>
      </c>
      <c r="G2079">
        <v>319.42</v>
      </c>
      <c r="H2079" s="2">
        <f>Table1[[#This Row],[Profit]]/Table1[[#This Row],[Sales]]*100</f>
        <v>6.8106609808102352</v>
      </c>
      <c r="I2079" t="str">
        <f>IF(Table1[[#This Row],[Profit %]]&gt;20,"Excellent",IF(H2079&gt;10.1,"Good","Low"))</f>
        <v>Low</v>
      </c>
    </row>
    <row r="2080" spans="1:9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 s="2">
        <v>2424</v>
      </c>
      <c r="G2080">
        <v>544.07000000000005</v>
      </c>
      <c r="H2080" s="2">
        <f>Table1[[#This Row],[Profit]]/Table1[[#This Row],[Sales]]*100</f>
        <v>22.44513201320132</v>
      </c>
      <c r="I2080" t="str">
        <f>IF(Table1[[#This Row],[Profit %]]&gt;20,"Excellent",IF(H2080&gt;10.1,"Good","Low"))</f>
        <v>Excellent</v>
      </c>
    </row>
    <row r="2081" spans="1:9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 s="2">
        <v>3594</v>
      </c>
      <c r="G2081">
        <v>610.77</v>
      </c>
      <c r="H2081" s="2">
        <f>Table1[[#This Row],[Profit]]/Table1[[#This Row],[Sales]]*100</f>
        <v>16.994156928213688</v>
      </c>
      <c r="I2081" t="str">
        <f>IF(Table1[[#This Row],[Profit %]]&gt;20,"Excellent",IF(H2081&gt;10.1,"Good","Low"))</f>
        <v>Good</v>
      </c>
    </row>
    <row r="2082" spans="1:9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 s="2">
        <v>3962</v>
      </c>
      <c r="G2082">
        <v>491.9</v>
      </c>
      <c r="H2082" s="2">
        <f>Table1[[#This Row],[Profit]]/Table1[[#This Row],[Sales]]*100</f>
        <v>12.415446744068651</v>
      </c>
      <c r="I2082" t="str">
        <f>IF(Table1[[#This Row],[Profit %]]&gt;20,"Excellent",IF(H2082&gt;10.1,"Good","Low"))</f>
        <v>Good</v>
      </c>
    </row>
    <row r="2083" spans="1:9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 s="2">
        <v>944</v>
      </c>
      <c r="G2083">
        <v>149.38</v>
      </c>
      <c r="H2083" s="2">
        <f>Table1[[#This Row],[Profit]]/Table1[[#This Row],[Sales]]*100</f>
        <v>15.824152542372879</v>
      </c>
      <c r="I2083" t="str">
        <f>IF(Table1[[#This Row],[Profit %]]&gt;20,"Excellent",IF(H2083&gt;10.1,"Good","Low"))</f>
        <v>Good</v>
      </c>
    </row>
    <row r="2084" spans="1:9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 s="2">
        <v>6792</v>
      </c>
      <c r="G2084">
        <v>1787.97</v>
      </c>
      <c r="H2084" s="2">
        <f>Table1[[#This Row],[Profit]]/Table1[[#This Row],[Sales]]*100</f>
        <v>26.324646643109539</v>
      </c>
      <c r="I2084" t="str">
        <f>IF(Table1[[#This Row],[Profit %]]&gt;20,"Excellent",IF(H2084&gt;10.1,"Good","Low"))</f>
        <v>Excellent</v>
      </c>
    </row>
    <row r="2085" spans="1:9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 s="2">
        <v>6804</v>
      </c>
      <c r="G2085">
        <v>1383.81</v>
      </c>
      <c r="H2085" s="2">
        <f>Table1[[#This Row],[Profit]]/Table1[[#This Row],[Sales]]*100</f>
        <v>20.338183421516753</v>
      </c>
      <c r="I2085" t="str">
        <f>IF(Table1[[#This Row],[Profit %]]&gt;20,"Excellent",IF(H2085&gt;10.1,"Good","Low"))</f>
        <v>Excellent</v>
      </c>
    </row>
    <row r="2086" spans="1:9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 s="2">
        <v>816</v>
      </c>
      <c r="G2086">
        <v>98.75</v>
      </c>
      <c r="H2086" s="2">
        <f>Table1[[#This Row],[Profit]]/Table1[[#This Row],[Sales]]*100</f>
        <v>12.10171568627451</v>
      </c>
      <c r="I2086" t="str">
        <f>IF(Table1[[#This Row],[Profit %]]&gt;20,"Excellent",IF(H2086&gt;10.1,"Good","Low"))</f>
        <v>Good</v>
      </c>
    </row>
    <row r="2087" spans="1:9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 s="2">
        <v>5916</v>
      </c>
      <c r="G2087">
        <v>544.59</v>
      </c>
      <c r="H2087" s="2">
        <f>Table1[[#This Row],[Profit]]/Table1[[#This Row],[Sales]]*100</f>
        <v>9.2053752535496969</v>
      </c>
      <c r="I2087" t="str">
        <f>IF(Table1[[#This Row],[Profit %]]&gt;20,"Excellent",IF(H2087&gt;10.1,"Good","Low"))</f>
        <v>Low</v>
      </c>
    </row>
    <row r="2088" spans="1:9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 s="2">
        <v>5730</v>
      </c>
      <c r="G2088">
        <v>310.58</v>
      </c>
      <c r="H2088" s="2">
        <f>Table1[[#This Row],[Profit]]/Table1[[#This Row],[Sales]]*100</f>
        <v>5.4202443280977306</v>
      </c>
      <c r="I2088" t="str">
        <f>IF(Table1[[#This Row],[Profit %]]&gt;20,"Excellent",IF(H2088&gt;10.1,"Good","Low"))</f>
        <v>Low</v>
      </c>
    </row>
    <row r="2089" spans="1:9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 s="2">
        <v>8288</v>
      </c>
      <c r="G2089">
        <v>785.54</v>
      </c>
      <c r="H2089" s="2">
        <f>Table1[[#This Row],[Profit]]/Table1[[#This Row],[Sales]]*100</f>
        <v>9.4780405405405403</v>
      </c>
      <c r="I2089" t="str">
        <f>IF(Table1[[#This Row],[Profit %]]&gt;20,"Excellent",IF(H2089&gt;10.1,"Good","Low"))</f>
        <v>Low</v>
      </c>
    </row>
    <row r="2090" spans="1:9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 s="2">
        <v>2046</v>
      </c>
      <c r="G2090">
        <v>394.93</v>
      </c>
      <c r="H2090" s="2">
        <f>Table1[[#This Row],[Profit]]/Table1[[#This Row],[Sales]]*100</f>
        <v>19.302541544477027</v>
      </c>
      <c r="I2090" t="str">
        <f>IF(Table1[[#This Row],[Profit %]]&gt;20,"Excellent",IF(H2090&gt;10.1,"Good","Low"))</f>
        <v>Good</v>
      </c>
    </row>
    <row r="2091" spans="1:9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 s="2">
        <v>5031</v>
      </c>
      <c r="G2091">
        <v>1149.48</v>
      </c>
      <c r="H2091" s="2">
        <f>Table1[[#This Row],[Profit]]/Table1[[#This Row],[Sales]]*100</f>
        <v>22.847942754919501</v>
      </c>
      <c r="I2091" t="str">
        <f>IF(Table1[[#This Row],[Profit %]]&gt;20,"Excellent",IF(H2091&gt;10.1,"Good","Low"))</f>
        <v>Excellent</v>
      </c>
    </row>
    <row r="2092" spans="1:9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 s="2">
        <v>1764</v>
      </c>
      <c r="G2092">
        <v>417.95</v>
      </c>
      <c r="H2092" s="2">
        <f>Table1[[#This Row],[Profit]]/Table1[[#This Row],[Sales]]*100</f>
        <v>23.693310657596374</v>
      </c>
      <c r="I2092" t="str">
        <f>IF(Table1[[#This Row],[Profit %]]&gt;20,"Excellent",IF(H2092&gt;10.1,"Good","Low"))</f>
        <v>Excellent</v>
      </c>
    </row>
    <row r="2093" spans="1:9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 s="2">
        <v>1880</v>
      </c>
      <c r="G2093">
        <v>486.88</v>
      </c>
      <c r="H2093" s="2">
        <f>Table1[[#This Row],[Profit]]/Table1[[#This Row],[Sales]]*100</f>
        <v>25.897872340425533</v>
      </c>
      <c r="I2093" t="str">
        <f>IF(Table1[[#This Row],[Profit %]]&gt;20,"Excellent",IF(H2093&gt;10.1,"Good","Low"))</f>
        <v>Excellent</v>
      </c>
    </row>
    <row r="2094" spans="1:9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 s="2">
        <v>200</v>
      </c>
      <c r="G2094">
        <v>10.45</v>
      </c>
      <c r="H2094" s="2">
        <f>Table1[[#This Row],[Profit]]/Table1[[#This Row],[Sales]]*100</f>
        <v>5.2249999999999996</v>
      </c>
      <c r="I2094" t="str">
        <f>IF(Table1[[#This Row],[Profit %]]&gt;20,"Excellent",IF(H2094&gt;10.1,"Good","Low"))</f>
        <v>Low</v>
      </c>
    </row>
    <row r="2095" spans="1:9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 s="2">
        <v>2688</v>
      </c>
      <c r="G2095">
        <v>476.77</v>
      </c>
      <c r="H2095" s="2">
        <f>Table1[[#This Row],[Profit]]/Table1[[#This Row],[Sales]]*100</f>
        <v>17.736979166666668</v>
      </c>
      <c r="I2095" t="str">
        <f>IF(Table1[[#This Row],[Profit %]]&gt;20,"Excellent",IF(H2095&gt;10.1,"Good","Low"))</f>
        <v>Good</v>
      </c>
    </row>
    <row r="2096" spans="1:9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 s="2">
        <v>3216</v>
      </c>
      <c r="G2096">
        <v>213.81</v>
      </c>
      <c r="H2096" s="2">
        <f>Table1[[#This Row],[Profit]]/Table1[[#This Row],[Sales]]*100</f>
        <v>6.6483208955223887</v>
      </c>
      <c r="I2096" t="str">
        <f>IF(Table1[[#This Row],[Profit %]]&gt;20,"Excellent",IF(H2096&gt;10.1,"Good","Low"))</f>
        <v>Low</v>
      </c>
    </row>
    <row r="2097" spans="1:9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 s="2">
        <v>8440</v>
      </c>
      <c r="G2097">
        <v>1504.18</v>
      </c>
      <c r="H2097" s="2">
        <f>Table1[[#This Row],[Profit]]/Table1[[#This Row],[Sales]]*100</f>
        <v>17.822037914691943</v>
      </c>
      <c r="I2097" t="str">
        <f>IF(Table1[[#This Row],[Profit %]]&gt;20,"Excellent",IF(H2097&gt;10.1,"Good","Low"))</f>
        <v>Good</v>
      </c>
    </row>
    <row r="2098" spans="1:9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 s="2">
        <v>1582</v>
      </c>
      <c r="G2098">
        <v>208.42</v>
      </c>
      <c r="H2098" s="2">
        <f>Table1[[#This Row],[Profit]]/Table1[[#This Row],[Sales]]*100</f>
        <v>13.174462705436154</v>
      </c>
      <c r="I2098" t="str">
        <f>IF(Table1[[#This Row],[Profit %]]&gt;20,"Excellent",IF(H2098&gt;10.1,"Good","Low"))</f>
        <v>Good</v>
      </c>
    </row>
    <row r="2099" spans="1:9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 s="2">
        <v>58</v>
      </c>
      <c r="G2099">
        <v>10.79</v>
      </c>
      <c r="H2099" s="2">
        <f>Table1[[#This Row],[Profit]]/Table1[[#This Row],[Sales]]*100</f>
        <v>18.603448275862068</v>
      </c>
      <c r="I2099" t="str">
        <f>IF(Table1[[#This Row],[Profit %]]&gt;20,"Excellent",IF(H2099&gt;10.1,"Good","Low"))</f>
        <v>Good</v>
      </c>
    </row>
    <row r="2100" spans="1:9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 s="2">
        <v>608</v>
      </c>
      <c r="G2100">
        <v>163.18</v>
      </c>
      <c r="H2100" s="2">
        <f>Table1[[#This Row],[Profit]]/Table1[[#This Row],[Sales]]*100</f>
        <v>26.838815789473685</v>
      </c>
      <c r="I2100" t="str">
        <f>IF(Table1[[#This Row],[Profit %]]&gt;20,"Excellent",IF(H2100&gt;10.1,"Good","Low"))</f>
        <v>Excellent</v>
      </c>
    </row>
    <row r="2101" spans="1:9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 s="2">
        <v>183</v>
      </c>
      <c r="G2101">
        <v>41.82</v>
      </c>
      <c r="H2101" s="2">
        <f>Table1[[#This Row],[Profit]]/Table1[[#This Row],[Sales]]*100</f>
        <v>22.852459016393443</v>
      </c>
      <c r="I2101" t="str">
        <f>IF(Table1[[#This Row],[Profit %]]&gt;20,"Excellent",IF(H2101&gt;10.1,"Good","Low"))</f>
        <v>Excellent</v>
      </c>
    </row>
    <row r="2102" spans="1:9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 s="2">
        <v>3105</v>
      </c>
      <c r="G2102">
        <v>744.26</v>
      </c>
      <c r="H2102" s="2">
        <f>Table1[[#This Row],[Profit]]/Table1[[#This Row],[Sales]]*100</f>
        <v>23.969726247987115</v>
      </c>
      <c r="I2102" t="str">
        <f>IF(Table1[[#This Row],[Profit %]]&gt;20,"Excellent",IF(H2102&gt;10.1,"Good","Low"))</f>
        <v>Excellent</v>
      </c>
    </row>
    <row r="2103" spans="1:9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 s="2">
        <v>2450</v>
      </c>
      <c r="G2103">
        <v>485.18</v>
      </c>
      <c r="H2103" s="2">
        <f>Table1[[#This Row],[Profit]]/Table1[[#This Row],[Sales]]*100</f>
        <v>19.803265306122452</v>
      </c>
      <c r="I2103" t="str">
        <f>IF(Table1[[#This Row],[Profit %]]&gt;20,"Excellent",IF(H2103&gt;10.1,"Good","Low"))</f>
        <v>Good</v>
      </c>
    </row>
    <row r="2104" spans="1:9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 s="2">
        <v>3024</v>
      </c>
      <c r="G2104">
        <v>622.29</v>
      </c>
      <c r="H2104" s="2">
        <f>Table1[[#This Row],[Profit]]/Table1[[#This Row],[Sales]]*100</f>
        <v>20.578373015873012</v>
      </c>
      <c r="I2104" t="str">
        <f>IF(Table1[[#This Row],[Profit %]]&gt;20,"Excellent",IF(H2104&gt;10.1,"Good","Low"))</f>
        <v>Excellent</v>
      </c>
    </row>
    <row r="2105" spans="1:9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 s="2">
        <v>3856</v>
      </c>
      <c r="G2105">
        <v>747.79</v>
      </c>
      <c r="H2105" s="2">
        <f>Table1[[#This Row],[Profit]]/Table1[[#This Row],[Sales]]*100</f>
        <v>19.392894190871367</v>
      </c>
      <c r="I2105" t="str">
        <f>IF(Table1[[#This Row],[Profit %]]&gt;20,"Excellent",IF(H2105&gt;10.1,"Good","Low"))</f>
        <v>Good</v>
      </c>
    </row>
    <row r="2106" spans="1:9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 s="2">
        <v>532</v>
      </c>
      <c r="G2106">
        <v>121.03</v>
      </c>
      <c r="H2106" s="2">
        <f>Table1[[#This Row],[Profit]]/Table1[[#This Row],[Sales]]*100</f>
        <v>22.75</v>
      </c>
      <c r="I2106" t="str">
        <f>IF(Table1[[#This Row],[Profit %]]&gt;20,"Excellent",IF(H2106&gt;10.1,"Good","Low"))</f>
        <v>Excellent</v>
      </c>
    </row>
    <row r="2107" spans="1:9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 s="2">
        <v>3152</v>
      </c>
      <c r="G2107">
        <v>307.62</v>
      </c>
      <c r="H2107" s="2">
        <f>Table1[[#This Row],[Profit]]/Table1[[#This Row],[Sales]]*100</f>
        <v>9.7595177664974617</v>
      </c>
      <c r="I2107" t="str">
        <f>IF(Table1[[#This Row],[Profit %]]&gt;20,"Excellent",IF(H2107&gt;10.1,"Good","Low"))</f>
        <v>Low</v>
      </c>
    </row>
    <row r="2108" spans="1:9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 s="2">
        <v>8586</v>
      </c>
      <c r="G2108">
        <v>1555.82</v>
      </c>
      <c r="H2108" s="2">
        <f>Table1[[#This Row],[Profit]]/Table1[[#This Row],[Sales]]*100</f>
        <v>18.120428604705332</v>
      </c>
      <c r="I2108" t="str">
        <f>IF(Table1[[#This Row],[Profit %]]&gt;20,"Excellent",IF(H2108&gt;10.1,"Good","Low"))</f>
        <v>Good</v>
      </c>
    </row>
    <row r="2109" spans="1:9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 s="2">
        <v>1046</v>
      </c>
      <c r="G2109">
        <v>273.38</v>
      </c>
      <c r="H2109" s="2">
        <f>Table1[[#This Row],[Profit]]/Table1[[#This Row],[Sales]]*100</f>
        <v>26.135755258126192</v>
      </c>
      <c r="I2109" t="str">
        <f>IF(Table1[[#This Row],[Profit %]]&gt;20,"Excellent",IF(H2109&gt;10.1,"Good","Low"))</f>
        <v>Excellent</v>
      </c>
    </row>
    <row r="2110" spans="1:9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 s="2">
        <v>3452</v>
      </c>
      <c r="G2110">
        <v>560.30999999999995</v>
      </c>
      <c r="H2110" s="2">
        <f>Table1[[#This Row],[Profit]]/Table1[[#This Row],[Sales]]*100</f>
        <v>16.231460023174971</v>
      </c>
      <c r="I2110" t="str">
        <f>IF(Table1[[#This Row],[Profit %]]&gt;20,"Excellent",IF(H2110&gt;10.1,"Good","Low"))</f>
        <v>Good</v>
      </c>
    </row>
    <row r="2111" spans="1:9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 s="2">
        <v>2368</v>
      </c>
      <c r="G2111">
        <v>361.02</v>
      </c>
      <c r="H2111" s="2">
        <f>Table1[[#This Row],[Profit]]/Table1[[#This Row],[Sales]]*100</f>
        <v>15.245777027027026</v>
      </c>
      <c r="I2111" t="str">
        <f>IF(Table1[[#This Row],[Profit %]]&gt;20,"Excellent",IF(H2111&gt;10.1,"Good","Low"))</f>
        <v>Good</v>
      </c>
    </row>
    <row r="2112" spans="1:9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 s="2">
        <v>1924</v>
      </c>
      <c r="G2112">
        <v>422.25</v>
      </c>
      <c r="H2112" s="2">
        <f>Table1[[#This Row],[Profit]]/Table1[[#This Row],[Sales]]*100</f>
        <v>21.946465696465697</v>
      </c>
      <c r="I2112" t="str">
        <f>IF(Table1[[#This Row],[Profit %]]&gt;20,"Excellent",IF(H2112&gt;10.1,"Good","Low"))</f>
        <v>Excellent</v>
      </c>
    </row>
    <row r="2113" spans="1:9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 s="2">
        <v>4580</v>
      </c>
      <c r="G2113">
        <v>1148.06</v>
      </c>
      <c r="H2113" s="2">
        <f>Table1[[#This Row],[Profit]]/Table1[[#This Row],[Sales]]*100</f>
        <v>25.066812227074237</v>
      </c>
      <c r="I2113" t="str">
        <f>IF(Table1[[#This Row],[Profit %]]&gt;20,"Excellent",IF(H2113&gt;10.1,"Good","Low"))</f>
        <v>Excellent</v>
      </c>
    </row>
    <row r="2114" spans="1:9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 s="2">
        <v>3735</v>
      </c>
      <c r="G2114">
        <v>423.94</v>
      </c>
      <c r="H2114" s="2">
        <f>Table1[[#This Row],[Profit]]/Table1[[#This Row],[Sales]]*100</f>
        <v>11.350468540829986</v>
      </c>
      <c r="I2114" t="str">
        <f>IF(Table1[[#This Row],[Profit %]]&gt;20,"Excellent",IF(H2114&gt;10.1,"Good","Low"))</f>
        <v>Good</v>
      </c>
    </row>
    <row r="2115" spans="1:9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 s="2">
        <v>2476</v>
      </c>
      <c r="G2115">
        <v>417.16</v>
      </c>
      <c r="H2115" s="2">
        <f>Table1[[#This Row],[Profit]]/Table1[[#This Row],[Sales]]*100</f>
        <v>16.848142164781908</v>
      </c>
      <c r="I2115" t="str">
        <f>IF(Table1[[#This Row],[Profit %]]&gt;20,"Excellent",IF(H2115&gt;10.1,"Good","Low"))</f>
        <v>Good</v>
      </c>
    </row>
    <row r="2116" spans="1:9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 s="2">
        <v>162</v>
      </c>
      <c r="G2116">
        <v>16.510000000000002</v>
      </c>
      <c r="H2116" s="2">
        <f>Table1[[#This Row],[Profit]]/Table1[[#This Row],[Sales]]*100</f>
        <v>10.191358024691359</v>
      </c>
      <c r="I2116" t="str">
        <f>IF(Table1[[#This Row],[Profit %]]&gt;20,"Excellent",IF(H2116&gt;10.1,"Good","Low"))</f>
        <v>Good</v>
      </c>
    </row>
    <row r="2117" spans="1:9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 s="2">
        <v>258</v>
      </c>
      <c r="G2117">
        <v>38.03</v>
      </c>
      <c r="H2117" s="2">
        <f>Table1[[#This Row],[Profit]]/Table1[[#This Row],[Sales]]*100</f>
        <v>14.74031007751938</v>
      </c>
      <c r="I2117" t="str">
        <f>IF(Table1[[#This Row],[Profit %]]&gt;20,"Excellent",IF(H2117&gt;10.1,"Good","Low"))</f>
        <v>Good</v>
      </c>
    </row>
    <row r="2118" spans="1:9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 s="2">
        <v>3524</v>
      </c>
      <c r="G2118">
        <v>998.29</v>
      </c>
      <c r="H2118" s="2">
        <f>Table1[[#This Row],[Profit]]/Table1[[#This Row],[Sales]]*100</f>
        <v>28.328320090805903</v>
      </c>
      <c r="I2118" t="str">
        <f>IF(Table1[[#This Row],[Profit %]]&gt;20,"Excellent",IF(H2118&gt;10.1,"Good","Low"))</f>
        <v>Excellent</v>
      </c>
    </row>
    <row r="2119" spans="1:9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 s="2">
        <v>6184</v>
      </c>
      <c r="G2119">
        <v>1796.9</v>
      </c>
      <c r="H2119" s="2">
        <f>Table1[[#This Row],[Profit]]/Table1[[#This Row],[Sales]]*100</f>
        <v>29.057244501940495</v>
      </c>
      <c r="I2119" t="str">
        <f>IF(Table1[[#This Row],[Profit %]]&gt;20,"Excellent",IF(H2119&gt;10.1,"Good","Low"))</f>
        <v>Excellent</v>
      </c>
    </row>
    <row r="2120" spans="1:9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 s="2">
        <v>3750</v>
      </c>
      <c r="G2120">
        <v>645.69000000000005</v>
      </c>
      <c r="H2120" s="2">
        <f>Table1[[#This Row],[Profit]]/Table1[[#This Row],[Sales]]*100</f>
        <v>17.218399999999999</v>
      </c>
      <c r="I2120" t="str">
        <f>IF(Table1[[#This Row],[Profit %]]&gt;20,"Excellent",IF(H2120&gt;10.1,"Good","Low"))</f>
        <v>Good</v>
      </c>
    </row>
    <row r="2121" spans="1:9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 s="2">
        <v>1465</v>
      </c>
      <c r="G2121">
        <v>424.64</v>
      </c>
      <c r="H2121" s="2">
        <f>Table1[[#This Row],[Profit]]/Table1[[#This Row],[Sales]]*100</f>
        <v>28.985665529010241</v>
      </c>
      <c r="I2121" t="str">
        <f>IF(Table1[[#This Row],[Profit %]]&gt;20,"Excellent",IF(H2121&gt;10.1,"Good","Low"))</f>
        <v>Excellent</v>
      </c>
    </row>
    <row r="2122" spans="1:9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 s="2">
        <v>4480</v>
      </c>
      <c r="G2122">
        <v>412.05</v>
      </c>
      <c r="H2122" s="2">
        <f>Table1[[#This Row],[Profit]]/Table1[[#This Row],[Sales]]*100</f>
        <v>9.1975446428571423</v>
      </c>
      <c r="I2122" t="str">
        <f>IF(Table1[[#This Row],[Profit %]]&gt;20,"Excellent",IF(H2122&gt;10.1,"Good","Low"))</f>
        <v>Low</v>
      </c>
    </row>
    <row r="2123" spans="1:9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 s="2">
        <v>1544</v>
      </c>
      <c r="G2123">
        <v>281.22000000000003</v>
      </c>
      <c r="H2123" s="2">
        <f>Table1[[#This Row],[Profit]]/Table1[[#This Row],[Sales]]*100</f>
        <v>18.21373056994819</v>
      </c>
      <c r="I2123" t="str">
        <f>IF(Table1[[#This Row],[Profit %]]&gt;20,"Excellent",IF(H2123&gt;10.1,"Good","Low"))</f>
        <v>Good</v>
      </c>
    </row>
    <row r="2124" spans="1:9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 s="2">
        <v>7974</v>
      </c>
      <c r="G2124">
        <v>1181.04</v>
      </c>
      <c r="H2124" s="2">
        <f>Table1[[#This Row],[Profit]]/Table1[[#This Row],[Sales]]*100</f>
        <v>14.811136192626034</v>
      </c>
      <c r="I2124" t="str">
        <f>IF(Table1[[#This Row],[Profit %]]&gt;20,"Excellent",IF(H2124&gt;10.1,"Good","Low"))</f>
        <v>Good</v>
      </c>
    </row>
    <row r="2125" spans="1:9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 s="2">
        <v>5920</v>
      </c>
      <c r="G2125">
        <v>1679.15</v>
      </c>
      <c r="H2125" s="2">
        <f>Table1[[#This Row],[Profit]]/Table1[[#This Row],[Sales]]*100</f>
        <v>28.364020270270274</v>
      </c>
      <c r="I2125" t="str">
        <f>IF(Table1[[#This Row],[Profit %]]&gt;20,"Excellent",IF(H2125&gt;10.1,"Good","Low"))</f>
        <v>Excellent</v>
      </c>
    </row>
    <row r="2126" spans="1:9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 s="2">
        <v>8792</v>
      </c>
      <c r="G2126">
        <v>2045.54</v>
      </c>
      <c r="H2126" s="2">
        <f>Table1[[#This Row],[Profit]]/Table1[[#This Row],[Sales]]*100</f>
        <v>23.265923566878978</v>
      </c>
      <c r="I2126" t="str">
        <f>IF(Table1[[#This Row],[Profit %]]&gt;20,"Excellent",IF(H2126&gt;10.1,"Good","Low"))</f>
        <v>Excellent</v>
      </c>
    </row>
    <row r="2127" spans="1:9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 s="2">
        <v>294</v>
      </c>
      <c r="G2127">
        <v>52.37</v>
      </c>
      <c r="H2127" s="2">
        <f>Table1[[#This Row],[Profit]]/Table1[[#This Row],[Sales]]*100</f>
        <v>17.812925170068024</v>
      </c>
      <c r="I2127" t="str">
        <f>IF(Table1[[#This Row],[Profit %]]&gt;20,"Excellent",IF(H2127&gt;10.1,"Good","Low"))</f>
        <v>Good</v>
      </c>
    </row>
    <row r="2128" spans="1:9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 s="2">
        <v>1169</v>
      </c>
      <c r="G2128">
        <v>264.37</v>
      </c>
      <c r="H2128" s="2">
        <f>Table1[[#This Row],[Profit]]/Table1[[#This Row],[Sales]]*100</f>
        <v>22.615055603079558</v>
      </c>
      <c r="I2128" t="str">
        <f>IF(Table1[[#This Row],[Profit %]]&gt;20,"Excellent",IF(H2128&gt;10.1,"Good","Low"))</f>
        <v>Excellent</v>
      </c>
    </row>
    <row r="2129" spans="1:9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 s="2">
        <v>9232</v>
      </c>
      <c r="G2129">
        <v>880.52</v>
      </c>
      <c r="H2129" s="2">
        <f>Table1[[#This Row],[Profit]]/Table1[[#This Row],[Sales]]*100</f>
        <v>9.5376949740034664</v>
      </c>
      <c r="I2129" t="str">
        <f>IF(Table1[[#This Row],[Profit %]]&gt;20,"Excellent",IF(H2129&gt;10.1,"Good","Low"))</f>
        <v>Low</v>
      </c>
    </row>
    <row r="2130" spans="1:9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 s="2">
        <v>1396</v>
      </c>
      <c r="G2130">
        <v>135.47999999999999</v>
      </c>
      <c r="H2130" s="2">
        <f>Table1[[#This Row],[Profit]]/Table1[[#This Row],[Sales]]*100</f>
        <v>9.7048710601719179</v>
      </c>
      <c r="I2130" t="str">
        <f>IF(Table1[[#This Row],[Profit %]]&gt;20,"Excellent",IF(H2130&gt;10.1,"Good","Low"))</f>
        <v>Low</v>
      </c>
    </row>
    <row r="2131" spans="1:9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 s="2">
        <v>10188</v>
      </c>
      <c r="G2131">
        <v>1408.18</v>
      </c>
      <c r="H2131" s="2">
        <f>Table1[[#This Row],[Profit]]/Table1[[#This Row],[Sales]]*100</f>
        <v>13.821947389085199</v>
      </c>
      <c r="I2131" t="str">
        <f>IF(Table1[[#This Row],[Profit %]]&gt;20,"Excellent",IF(H2131&gt;10.1,"Good","Low"))</f>
        <v>Good</v>
      </c>
    </row>
    <row r="2132" spans="1:9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 s="2">
        <v>222</v>
      </c>
      <c r="G2132">
        <v>23.65</v>
      </c>
      <c r="H2132" s="2">
        <f>Table1[[#This Row],[Profit]]/Table1[[#This Row],[Sales]]*100</f>
        <v>10.653153153153152</v>
      </c>
      <c r="I2132" t="str">
        <f>IF(Table1[[#This Row],[Profit %]]&gt;20,"Excellent",IF(H2132&gt;10.1,"Good","Low"))</f>
        <v>Good</v>
      </c>
    </row>
    <row r="2133" spans="1:9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 s="2">
        <v>1328</v>
      </c>
      <c r="G2133">
        <v>358.07</v>
      </c>
      <c r="H2133" s="2">
        <f>Table1[[#This Row],[Profit]]/Table1[[#This Row],[Sales]]*100</f>
        <v>26.963102409638555</v>
      </c>
      <c r="I2133" t="str">
        <f>IF(Table1[[#This Row],[Profit %]]&gt;20,"Excellent",IF(H2133&gt;10.1,"Good","Low"))</f>
        <v>Excellent</v>
      </c>
    </row>
    <row r="2134" spans="1:9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 s="2">
        <v>5085</v>
      </c>
      <c r="G2134">
        <v>488.63</v>
      </c>
      <c r="H2134" s="2">
        <f>Table1[[#This Row],[Profit]]/Table1[[#This Row],[Sales]]*100</f>
        <v>9.6092428711897746</v>
      </c>
      <c r="I2134" t="str">
        <f>IF(Table1[[#This Row],[Profit %]]&gt;20,"Excellent",IF(H2134&gt;10.1,"Good","Low"))</f>
        <v>Low</v>
      </c>
    </row>
    <row r="2135" spans="1:9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 s="2">
        <v>1245</v>
      </c>
      <c r="G2135">
        <v>229.73</v>
      </c>
      <c r="H2135" s="2">
        <f>Table1[[#This Row],[Profit]]/Table1[[#This Row],[Sales]]*100</f>
        <v>18.452208835341366</v>
      </c>
      <c r="I2135" t="str">
        <f>IF(Table1[[#This Row],[Profit %]]&gt;20,"Excellent",IF(H2135&gt;10.1,"Good","Low"))</f>
        <v>Good</v>
      </c>
    </row>
    <row r="2136" spans="1:9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 s="2">
        <v>960</v>
      </c>
      <c r="G2136">
        <v>124.02</v>
      </c>
      <c r="H2136" s="2">
        <f>Table1[[#This Row],[Profit]]/Table1[[#This Row],[Sales]]*100</f>
        <v>12.918749999999998</v>
      </c>
      <c r="I2136" t="str">
        <f>IF(Table1[[#This Row],[Profit %]]&gt;20,"Excellent",IF(H2136&gt;10.1,"Good","Low"))</f>
        <v>Good</v>
      </c>
    </row>
    <row r="2137" spans="1:9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 s="2">
        <v>5553</v>
      </c>
      <c r="G2137">
        <v>329.79</v>
      </c>
      <c r="H2137" s="2">
        <f>Table1[[#This Row],[Profit]]/Table1[[#This Row],[Sales]]*100</f>
        <v>5.9389519178822265</v>
      </c>
      <c r="I2137" t="str">
        <f>IF(Table1[[#This Row],[Profit %]]&gt;20,"Excellent",IF(H2137&gt;10.1,"Good","Low"))</f>
        <v>Low</v>
      </c>
    </row>
    <row r="2138" spans="1:9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 s="2">
        <v>1790</v>
      </c>
      <c r="G2138">
        <v>236.76</v>
      </c>
      <c r="H2138" s="2">
        <f>Table1[[#This Row],[Profit]]/Table1[[#This Row],[Sales]]*100</f>
        <v>13.226815642458101</v>
      </c>
      <c r="I2138" t="str">
        <f>IF(Table1[[#This Row],[Profit %]]&gt;20,"Excellent",IF(H2138&gt;10.1,"Good","Low"))</f>
        <v>Good</v>
      </c>
    </row>
    <row r="2139" spans="1:9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 s="2">
        <v>2712</v>
      </c>
      <c r="G2139">
        <v>247.84</v>
      </c>
      <c r="H2139" s="2">
        <f>Table1[[#This Row],[Profit]]/Table1[[#This Row],[Sales]]*100</f>
        <v>9.1386430678466084</v>
      </c>
      <c r="I2139" t="str">
        <f>IF(Table1[[#This Row],[Profit %]]&gt;20,"Excellent",IF(H2139&gt;10.1,"Good","Low"))</f>
        <v>Low</v>
      </c>
    </row>
    <row r="2140" spans="1:9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 s="2">
        <v>632</v>
      </c>
      <c r="G2140">
        <v>89.14</v>
      </c>
      <c r="H2140" s="2">
        <f>Table1[[#This Row],[Profit]]/Table1[[#This Row],[Sales]]*100</f>
        <v>14.104430379746836</v>
      </c>
      <c r="I2140" t="str">
        <f>IF(Table1[[#This Row],[Profit %]]&gt;20,"Excellent",IF(H2140&gt;10.1,"Good","Low"))</f>
        <v>Good</v>
      </c>
    </row>
    <row r="2141" spans="1:9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 s="2">
        <v>4904</v>
      </c>
      <c r="G2141">
        <v>520.74</v>
      </c>
      <c r="H2141" s="2">
        <f>Table1[[#This Row],[Profit]]/Table1[[#This Row],[Sales]]*100</f>
        <v>10.61867862969005</v>
      </c>
      <c r="I2141" t="str">
        <f>IF(Table1[[#This Row],[Profit %]]&gt;20,"Excellent",IF(H2141&gt;10.1,"Good","Low"))</f>
        <v>Good</v>
      </c>
    </row>
    <row r="2142" spans="1:9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 s="2">
        <v>361</v>
      </c>
      <c r="G2142">
        <v>58.8</v>
      </c>
      <c r="H2142" s="2">
        <f>Table1[[#This Row],[Profit]]/Table1[[#This Row],[Sales]]*100</f>
        <v>16.288088642659279</v>
      </c>
      <c r="I2142" t="str">
        <f>IF(Table1[[#This Row],[Profit %]]&gt;20,"Excellent",IF(H2142&gt;10.1,"Good","Low"))</f>
        <v>Good</v>
      </c>
    </row>
    <row r="2143" spans="1:9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 s="2">
        <v>7290</v>
      </c>
      <c r="G2143">
        <v>841.07</v>
      </c>
      <c r="H2143" s="2">
        <f>Table1[[#This Row],[Profit]]/Table1[[#This Row],[Sales]]*100</f>
        <v>11.537311385459533</v>
      </c>
      <c r="I2143" t="str">
        <f>IF(Table1[[#This Row],[Profit %]]&gt;20,"Excellent",IF(H2143&gt;10.1,"Good","Low"))</f>
        <v>Good</v>
      </c>
    </row>
    <row r="2144" spans="1:9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 s="2">
        <v>2052</v>
      </c>
      <c r="G2144">
        <v>181.64</v>
      </c>
      <c r="H2144" s="2">
        <f>Table1[[#This Row],[Profit]]/Table1[[#This Row],[Sales]]*100</f>
        <v>8.8518518518518512</v>
      </c>
      <c r="I2144" t="str">
        <f>IF(Table1[[#This Row],[Profit %]]&gt;20,"Excellent",IF(H2144&gt;10.1,"Good","Low"))</f>
        <v>Low</v>
      </c>
    </row>
    <row r="2145" spans="1:9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 s="2">
        <v>1842</v>
      </c>
      <c r="G2145">
        <v>112.85</v>
      </c>
      <c r="H2145" s="2">
        <f>Table1[[#This Row],[Profit]]/Table1[[#This Row],[Sales]]*100</f>
        <v>6.1264929424538543</v>
      </c>
      <c r="I2145" t="str">
        <f>IF(Table1[[#This Row],[Profit %]]&gt;20,"Excellent",IF(H2145&gt;10.1,"Good","Low"))</f>
        <v>Low</v>
      </c>
    </row>
    <row r="2146" spans="1:9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 s="2">
        <v>10593</v>
      </c>
      <c r="G2146">
        <v>2488.69</v>
      </c>
      <c r="H2146" s="2">
        <f>Table1[[#This Row],[Profit]]/Table1[[#This Row],[Sales]]*100</f>
        <v>23.493722269423202</v>
      </c>
      <c r="I2146" t="str">
        <f>IF(Table1[[#This Row],[Profit %]]&gt;20,"Excellent",IF(H2146&gt;10.1,"Good","Low"))</f>
        <v>Excellent</v>
      </c>
    </row>
    <row r="2147" spans="1:9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 s="2">
        <v>1218</v>
      </c>
      <c r="G2147">
        <v>129.36000000000001</v>
      </c>
      <c r="H2147" s="2">
        <f>Table1[[#This Row],[Profit]]/Table1[[#This Row],[Sales]]*100</f>
        <v>10.620689655172415</v>
      </c>
      <c r="I2147" t="str">
        <f>IF(Table1[[#This Row],[Profit %]]&gt;20,"Excellent",IF(H2147&gt;10.1,"Good","Low"))</f>
        <v>Good</v>
      </c>
    </row>
    <row r="2148" spans="1:9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 s="2">
        <v>4240</v>
      </c>
      <c r="G2148">
        <v>426.41</v>
      </c>
      <c r="H2148" s="2">
        <f>Table1[[#This Row],[Profit]]/Table1[[#This Row],[Sales]]*100</f>
        <v>10.05683962264151</v>
      </c>
      <c r="I2148" t="str">
        <f>IF(Table1[[#This Row],[Profit %]]&gt;20,"Excellent",IF(H2148&gt;10.1,"Good","Low"))</f>
        <v>Low</v>
      </c>
    </row>
    <row r="2149" spans="1:9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 s="2">
        <v>226</v>
      </c>
      <c r="G2149">
        <v>38.520000000000003</v>
      </c>
      <c r="H2149" s="2">
        <f>Table1[[#This Row],[Profit]]/Table1[[#This Row],[Sales]]*100</f>
        <v>17.044247787610619</v>
      </c>
      <c r="I2149" t="str">
        <f>IF(Table1[[#This Row],[Profit %]]&gt;20,"Excellent",IF(H2149&gt;10.1,"Good","Low"))</f>
        <v>Good</v>
      </c>
    </row>
    <row r="2150" spans="1:9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 s="2">
        <v>5154</v>
      </c>
      <c r="G2150">
        <v>1072.8</v>
      </c>
      <c r="H2150" s="2">
        <f>Table1[[#This Row],[Profit]]/Table1[[#This Row],[Sales]]*100</f>
        <v>20.814901047729919</v>
      </c>
      <c r="I2150" t="str">
        <f>IF(Table1[[#This Row],[Profit %]]&gt;20,"Excellent",IF(H2150&gt;10.1,"Good","Low"))</f>
        <v>Excellent</v>
      </c>
    </row>
    <row r="2151" spans="1:9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 s="2">
        <v>1236</v>
      </c>
      <c r="G2151">
        <v>304.88</v>
      </c>
      <c r="H2151" s="2">
        <f>Table1[[#This Row],[Profit]]/Table1[[#This Row],[Sales]]*100</f>
        <v>24.666666666666668</v>
      </c>
      <c r="I2151" t="str">
        <f>IF(Table1[[#This Row],[Profit %]]&gt;20,"Excellent",IF(H2151&gt;10.1,"Good","Low"))</f>
        <v>Excellent</v>
      </c>
    </row>
    <row r="2152" spans="1:9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 s="2">
        <v>1179</v>
      </c>
      <c r="G2152">
        <v>159.41999999999999</v>
      </c>
      <c r="H2152" s="2">
        <f>Table1[[#This Row],[Profit]]/Table1[[#This Row],[Sales]]*100</f>
        <v>13.521628498727733</v>
      </c>
      <c r="I2152" t="str">
        <f>IF(Table1[[#This Row],[Profit %]]&gt;20,"Excellent",IF(H2152&gt;10.1,"Good","Low"))</f>
        <v>Good</v>
      </c>
    </row>
    <row r="2153" spans="1:9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 s="2">
        <v>2275</v>
      </c>
      <c r="G2153">
        <v>313.5</v>
      </c>
      <c r="H2153" s="2">
        <f>Table1[[#This Row],[Profit]]/Table1[[#This Row],[Sales]]*100</f>
        <v>13.780219780219779</v>
      </c>
      <c r="I2153" t="str">
        <f>IF(Table1[[#This Row],[Profit %]]&gt;20,"Excellent",IF(H2153&gt;10.1,"Good","Low"))</f>
        <v>Good</v>
      </c>
    </row>
    <row r="2154" spans="1:9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 s="2">
        <v>6188</v>
      </c>
      <c r="G2154">
        <v>1231.3</v>
      </c>
      <c r="H2154" s="2">
        <f>Table1[[#This Row],[Profit]]/Table1[[#This Row],[Sales]]*100</f>
        <v>19.898190045248867</v>
      </c>
      <c r="I2154" t="str">
        <f>IF(Table1[[#This Row],[Profit %]]&gt;20,"Excellent",IF(H2154&gt;10.1,"Good","Low"))</f>
        <v>Good</v>
      </c>
    </row>
    <row r="2155" spans="1:9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 s="2">
        <v>2946</v>
      </c>
      <c r="G2155">
        <v>666.99</v>
      </c>
      <c r="H2155" s="2">
        <f>Table1[[#This Row],[Profit]]/Table1[[#This Row],[Sales]]*100</f>
        <v>22.64052953156823</v>
      </c>
      <c r="I2155" t="str">
        <f>IF(Table1[[#This Row],[Profit %]]&gt;20,"Excellent",IF(H2155&gt;10.1,"Good","Low"))</f>
        <v>Excellent</v>
      </c>
    </row>
    <row r="2156" spans="1:9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 s="2">
        <v>5085</v>
      </c>
      <c r="G2156">
        <v>1172.1199999999999</v>
      </c>
      <c r="H2156" s="2">
        <f>Table1[[#This Row],[Profit]]/Table1[[#This Row],[Sales]]*100</f>
        <v>23.050540806293014</v>
      </c>
      <c r="I2156" t="str">
        <f>IF(Table1[[#This Row],[Profit %]]&gt;20,"Excellent",IF(H2156&gt;10.1,"Good","Low"))</f>
        <v>Excellent</v>
      </c>
    </row>
    <row r="2157" spans="1:9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 s="2">
        <v>712</v>
      </c>
      <c r="G2157">
        <v>205.53</v>
      </c>
      <c r="H2157" s="2">
        <f>Table1[[#This Row],[Profit]]/Table1[[#This Row],[Sales]]*100</f>
        <v>28.866573033707866</v>
      </c>
      <c r="I2157" t="str">
        <f>IF(Table1[[#This Row],[Profit %]]&gt;20,"Excellent",IF(H2157&gt;10.1,"Good","Low"))</f>
        <v>Excellent</v>
      </c>
    </row>
    <row r="2158" spans="1:9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 s="2">
        <v>648</v>
      </c>
      <c r="G2158">
        <v>62.25</v>
      </c>
      <c r="H2158" s="2">
        <f>Table1[[#This Row],[Profit]]/Table1[[#This Row],[Sales]]*100</f>
        <v>9.606481481481481</v>
      </c>
      <c r="I2158" t="str">
        <f>IF(Table1[[#This Row],[Profit %]]&gt;20,"Excellent",IF(H2158&gt;10.1,"Good","Low"))</f>
        <v>Low</v>
      </c>
    </row>
    <row r="2159" spans="1:9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 s="2">
        <v>2735</v>
      </c>
      <c r="G2159">
        <v>483.2</v>
      </c>
      <c r="H2159" s="2">
        <f>Table1[[#This Row],[Profit]]/Table1[[#This Row],[Sales]]*100</f>
        <v>17.667276051188299</v>
      </c>
      <c r="I2159" t="str">
        <f>IF(Table1[[#This Row],[Profit %]]&gt;20,"Excellent",IF(H2159&gt;10.1,"Good","Low"))</f>
        <v>Good</v>
      </c>
    </row>
    <row r="2160" spans="1:9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 s="2">
        <v>2910</v>
      </c>
      <c r="G2160">
        <v>173.45</v>
      </c>
      <c r="H2160" s="2">
        <f>Table1[[#This Row],[Profit]]/Table1[[#This Row],[Sales]]*100</f>
        <v>5.9604810996563566</v>
      </c>
      <c r="I2160" t="str">
        <f>IF(Table1[[#This Row],[Profit %]]&gt;20,"Excellent",IF(H2160&gt;10.1,"Good","Low"))</f>
        <v>Low</v>
      </c>
    </row>
    <row r="2161" spans="1:9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 s="2">
        <v>263</v>
      </c>
      <c r="G2161">
        <v>69.39</v>
      </c>
      <c r="H2161" s="2">
        <f>Table1[[#This Row],[Profit]]/Table1[[#This Row],[Sales]]*100</f>
        <v>26.384030418250955</v>
      </c>
      <c r="I2161" t="str">
        <f>IF(Table1[[#This Row],[Profit %]]&gt;20,"Excellent",IF(H2161&gt;10.1,"Good","Low"))</f>
        <v>Excellent</v>
      </c>
    </row>
    <row r="2162" spans="1:9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 s="2">
        <v>876</v>
      </c>
      <c r="G2162">
        <v>66.680000000000007</v>
      </c>
      <c r="H2162" s="2">
        <f>Table1[[#This Row],[Profit]]/Table1[[#This Row],[Sales]]*100</f>
        <v>7.6118721461187224</v>
      </c>
      <c r="I2162" t="str">
        <f>IF(Table1[[#This Row],[Profit %]]&gt;20,"Excellent",IF(H2162&gt;10.1,"Good","Low"))</f>
        <v>Low</v>
      </c>
    </row>
    <row r="2163" spans="1:9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 s="2">
        <v>913</v>
      </c>
      <c r="G2163">
        <v>162.24</v>
      </c>
      <c r="H2163" s="2">
        <f>Table1[[#This Row],[Profit]]/Table1[[#This Row],[Sales]]*100</f>
        <v>17.769989047097482</v>
      </c>
      <c r="I2163" t="str">
        <f>IF(Table1[[#This Row],[Profit %]]&gt;20,"Excellent",IF(H2163&gt;10.1,"Good","Low"))</f>
        <v>Good</v>
      </c>
    </row>
    <row r="2164" spans="1:9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 s="2">
        <v>594</v>
      </c>
      <c r="G2164">
        <v>93.92</v>
      </c>
      <c r="H2164" s="2">
        <f>Table1[[#This Row],[Profit]]/Table1[[#This Row],[Sales]]*100</f>
        <v>15.811447811447813</v>
      </c>
      <c r="I2164" t="str">
        <f>IF(Table1[[#This Row],[Profit %]]&gt;20,"Excellent",IF(H2164&gt;10.1,"Good","Low"))</f>
        <v>Good</v>
      </c>
    </row>
    <row r="2165" spans="1:9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 s="2">
        <v>956</v>
      </c>
      <c r="G2165">
        <v>202.14</v>
      </c>
      <c r="H2165" s="2">
        <f>Table1[[#This Row],[Profit]]/Table1[[#This Row],[Sales]]*100</f>
        <v>21.144351464435147</v>
      </c>
      <c r="I2165" t="str">
        <f>IF(Table1[[#This Row],[Profit %]]&gt;20,"Excellent",IF(H2165&gt;10.1,"Good","Low"))</f>
        <v>Excellent</v>
      </c>
    </row>
    <row r="2166" spans="1:9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 s="2">
        <v>7301</v>
      </c>
      <c r="G2166">
        <v>2026.43</v>
      </c>
      <c r="H2166" s="2">
        <f>Table1[[#This Row],[Profit]]/Table1[[#This Row],[Sales]]*100</f>
        <v>27.755512943432407</v>
      </c>
      <c r="I2166" t="str">
        <f>IF(Table1[[#This Row],[Profit %]]&gt;20,"Excellent",IF(H2166&gt;10.1,"Good","Low"))</f>
        <v>Excellent</v>
      </c>
    </row>
    <row r="2167" spans="1:9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 s="2">
        <v>5754</v>
      </c>
      <c r="G2167">
        <v>1628.61</v>
      </c>
      <c r="H2167" s="2">
        <f>Table1[[#This Row],[Profit]]/Table1[[#This Row],[Sales]]*100</f>
        <v>28.303962460896763</v>
      </c>
      <c r="I2167" t="str">
        <f>IF(Table1[[#This Row],[Profit %]]&gt;20,"Excellent",IF(H2167&gt;10.1,"Good","Low"))</f>
        <v>Excellent</v>
      </c>
    </row>
    <row r="2168" spans="1:9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 s="2">
        <v>1372</v>
      </c>
      <c r="G2168">
        <v>274.47000000000003</v>
      </c>
      <c r="H2168" s="2">
        <f>Table1[[#This Row],[Profit]]/Table1[[#This Row],[Sales]]*100</f>
        <v>20.005102040816329</v>
      </c>
      <c r="I2168" t="str">
        <f>IF(Table1[[#This Row],[Profit %]]&gt;20,"Excellent",IF(H2168&gt;10.1,"Good","Low"))</f>
        <v>Excellent</v>
      </c>
    </row>
    <row r="2169" spans="1:9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 s="2">
        <v>920</v>
      </c>
      <c r="G2169">
        <v>214.27</v>
      </c>
      <c r="H2169" s="2">
        <f>Table1[[#This Row],[Profit]]/Table1[[#This Row],[Sales]]*100</f>
        <v>23.290217391304349</v>
      </c>
      <c r="I2169" t="str">
        <f>IF(Table1[[#This Row],[Profit %]]&gt;20,"Excellent",IF(H2169&gt;10.1,"Good","Low"))</f>
        <v>Excellent</v>
      </c>
    </row>
    <row r="2170" spans="1:9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 s="2">
        <v>885</v>
      </c>
      <c r="G2170">
        <v>150.79</v>
      </c>
      <c r="H2170" s="2">
        <f>Table1[[#This Row],[Profit]]/Table1[[#This Row],[Sales]]*100</f>
        <v>17.038418079096044</v>
      </c>
      <c r="I2170" t="str">
        <f>IF(Table1[[#This Row],[Profit %]]&gt;20,"Excellent",IF(H2170&gt;10.1,"Good","Low"))</f>
        <v>Good</v>
      </c>
    </row>
    <row r="2171" spans="1:9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 s="2">
        <v>379</v>
      </c>
      <c r="G2171">
        <v>39.409999999999997</v>
      </c>
      <c r="H2171" s="2">
        <f>Table1[[#This Row],[Profit]]/Table1[[#This Row],[Sales]]*100</f>
        <v>10.398416886543535</v>
      </c>
      <c r="I2171" t="str">
        <f>IF(Table1[[#This Row],[Profit %]]&gt;20,"Excellent",IF(H2171&gt;10.1,"Good","Low"))</f>
        <v>Good</v>
      </c>
    </row>
    <row r="2172" spans="1:9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 s="2">
        <v>1024</v>
      </c>
      <c r="G2172">
        <v>201.92</v>
      </c>
      <c r="H2172" s="2">
        <f>Table1[[#This Row],[Profit]]/Table1[[#This Row],[Sales]]*100</f>
        <v>19.71875</v>
      </c>
      <c r="I2172" t="str">
        <f>IF(Table1[[#This Row],[Profit %]]&gt;20,"Excellent",IF(H2172&gt;10.1,"Good","Low"))</f>
        <v>Good</v>
      </c>
    </row>
    <row r="2173" spans="1:9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 s="2">
        <v>4312</v>
      </c>
      <c r="G2173">
        <v>388.48</v>
      </c>
      <c r="H2173" s="2">
        <f>Table1[[#This Row],[Profit]]/Table1[[#This Row],[Sales]]*100</f>
        <v>9.0092764378478662</v>
      </c>
      <c r="I2173" t="str">
        <f>IF(Table1[[#This Row],[Profit %]]&gt;20,"Excellent",IF(H2173&gt;10.1,"Good","Low"))</f>
        <v>Low</v>
      </c>
    </row>
    <row r="2174" spans="1:9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 s="2">
        <v>5030</v>
      </c>
      <c r="G2174">
        <v>540.73</v>
      </c>
      <c r="H2174" s="2">
        <f>Table1[[#This Row],[Profit]]/Table1[[#This Row],[Sales]]*100</f>
        <v>10.750099403578529</v>
      </c>
      <c r="I2174" t="str">
        <f>IF(Table1[[#This Row],[Profit %]]&gt;20,"Excellent",IF(H2174&gt;10.1,"Good","Low"))</f>
        <v>Good</v>
      </c>
    </row>
    <row r="2175" spans="1:9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 s="2">
        <v>1438</v>
      </c>
      <c r="G2175">
        <v>315.83</v>
      </c>
      <c r="H2175" s="2">
        <f>Table1[[#This Row],[Profit]]/Table1[[#This Row],[Sales]]*100</f>
        <v>21.963143254520165</v>
      </c>
      <c r="I2175" t="str">
        <f>IF(Table1[[#This Row],[Profit %]]&gt;20,"Excellent",IF(H2175&gt;10.1,"Good","Low"))</f>
        <v>Excellent</v>
      </c>
    </row>
    <row r="2176" spans="1:9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 s="2">
        <v>419</v>
      </c>
      <c r="G2176">
        <v>108.36</v>
      </c>
      <c r="H2176" s="2">
        <f>Table1[[#This Row],[Profit]]/Table1[[#This Row],[Sales]]*100</f>
        <v>25.861575178997615</v>
      </c>
      <c r="I2176" t="str">
        <f>IF(Table1[[#This Row],[Profit %]]&gt;20,"Excellent",IF(H2176&gt;10.1,"Good","Low"))</f>
        <v>Excellent</v>
      </c>
    </row>
    <row r="2177" spans="1:9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 s="2">
        <v>3519</v>
      </c>
      <c r="G2177">
        <v>935.72</v>
      </c>
      <c r="H2177" s="2">
        <f>Table1[[#This Row],[Profit]]/Table1[[#This Row],[Sales]]*100</f>
        <v>26.590508667235014</v>
      </c>
      <c r="I2177" t="str">
        <f>IF(Table1[[#This Row],[Profit %]]&gt;20,"Excellent",IF(H2177&gt;10.1,"Good","Low"))</f>
        <v>Excellent</v>
      </c>
    </row>
    <row r="2178" spans="1:9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 s="2">
        <v>2912</v>
      </c>
      <c r="G2178">
        <v>451.97</v>
      </c>
      <c r="H2178" s="2">
        <f>Table1[[#This Row],[Profit]]/Table1[[#This Row],[Sales]]*100</f>
        <v>15.520947802197805</v>
      </c>
      <c r="I2178" t="str">
        <f>IF(Table1[[#This Row],[Profit %]]&gt;20,"Excellent",IF(H2178&gt;10.1,"Good","Low"))</f>
        <v>Good</v>
      </c>
    </row>
    <row r="2179" spans="1:9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 s="2">
        <v>4005</v>
      </c>
      <c r="G2179">
        <v>226.09</v>
      </c>
      <c r="H2179" s="2">
        <f>Table1[[#This Row],[Profit]]/Table1[[#This Row],[Sales]]*100</f>
        <v>5.6451935081148559</v>
      </c>
      <c r="I2179" t="str">
        <f>IF(Table1[[#This Row],[Profit %]]&gt;20,"Excellent",IF(H2179&gt;10.1,"Good","Low"))</f>
        <v>Low</v>
      </c>
    </row>
    <row r="2180" spans="1:9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 s="2">
        <v>2075</v>
      </c>
      <c r="G2180">
        <v>271.70999999999998</v>
      </c>
      <c r="H2180" s="2">
        <f>Table1[[#This Row],[Profit]]/Table1[[#This Row],[Sales]]*100</f>
        <v>13.0944578313253</v>
      </c>
      <c r="I2180" t="str">
        <f>IF(Table1[[#This Row],[Profit %]]&gt;20,"Excellent",IF(H2180&gt;10.1,"Good","Low"))</f>
        <v>Good</v>
      </c>
    </row>
    <row r="2181" spans="1:9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 s="2">
        <v>120</v>
      </c>
      <c r="G2181">
        <v>7.74</v>
      </c>
      <c r="H2181" s="2">
        <f>Table1[[#This Row],[Profit]]/Table1[[#This Row],[Sales]]*100</f>
        <v>6.45</v>
      </c>
      <c r="I2181" t="str">
        <f>IF(Table1[[#This Row],[Profit %]]&gt;20,"Excellent",IF(H2181&gt;10.1,"Good","Low"))</f>
        <v>Low</v>
      </c>
    </row>
    <row r="2182" spans="1:9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 s="2">
        <v>564</v>
      </c>
      <c r="G2182">
        <v>32.799999999999997</v>
      </c>
      <c r="H2182" s="2">
        <f>Table1[[#This Row],[Profit]]/Table1[[#This Row],[Sales]]*100</f>
        <v>5.8156028368794317</v>
      </c>
      <c r="I2182" t="str">
        <f>IF(Table1[[#This Row],[Profit %]]&gt;20,"Excellent",IF(H2182&gt;10.1,"Good","Low"))</f>
        <v>Low</v>
      </c>
    </row>
    <row r="2183" spans="1:9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 s="2">
        <v>486</v>
      </c>
      <c r="G2183">
        <v>62.58</v>
      </c>
      <c r="H2183" s="2">
        <f>Table1[[#This Row],[Profit]]/Table1[[#This Row],[Sales]]*100</f>
        <v>12.876543209876543</v>
      </c>
      <c r="I2183" t="str">
        <f>IF(Table1[[#This Row],[Profit %]]&gt;20,"Excellent",IF(H2183&gt;10.1,"Good","Low"))</f>
        <v>Good</v>
      </c>
    </row>
    <row r="2184" spans="1:9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 s="2">
        <v>1488</v>
      </c>
      <c r="G2184">
        <v>342.87</v>
      </c>
      <c r="H2184" s="2">
        <f>Table1[[#This Row],[Profit]]/Table1[[#This Row],[Sales]]*100</f>
        <v>23.04233870967742</v>
      </c>
      <c r="I2184" t="str">
        <f>IF(Table1[[#This Row],[Profit %]]&gt;20,"Excellent",IF(H2184&gt;10.1,"Good","Low"))</f>
        <v>Excellent</v>
      </c>
    </row>
    <row r="2185" spans="1:9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 s="2">
        <v>3096</v>
      </c>
      <c r="G2185">
        <v>277.68</v>
      </c>
      <c r="H2185" s="2">
        <f>Table1[[#This Row],[Profit]]/Table1[[#This Row],[Sales]]*100</f>
        <v>8.9689922480620154</v>
      </c>
      <c r="I2185" t="str">
        <f>IF(Table1[[#This Row],[Profit %]]&gt;20,"Excellent",IF(H2185&gt;10.1,"Good","Low"))</f>
        <v>Low</v>
      </c>
    </row>
    <row r="2186" spans="1:9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 s="2">
        <v>6488</v>
      </c>
      <c r="G2186">
        <v>1845.07</v>
      </c>
      <c r="H2186" s="2">
        <f>Table1[[#This Row],[Profit]]/Table1[[#This Row],[Sales]]*100</f>
        <v>28.438193588162765</v>
      </c>
      <c r="I2186" t="str">
        <f>IF(Table1[[#This Row],[Profit %]]&gt;20,"Excellent",IF(H2186&gt;10.1,"Good","Low"))</f>
        <v>Excellent</v>
      </c>
    </row>
    <row r="2187" spans="1:9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 s="2">
        <v>4284</v>
      </c>
      <c r="G2187">
        <v>848.44</v>
      </c>
      <c r="H2187" s="2">
        <f>Table1[[#This Row],[Profit]]/Table1[[#This Row],[Sales]]*100</f>
        <v>19.804855275443511</v>
      </c>
      <c r="I2187" t="str">
        <f>IF(Table1[[#This Row],[Profit %]]&gt;20,"Excellent",IF(H2187&gt;10.1,"Good","Low"))</f>
        <v>Good</v>
      </c>
    </row>
    <row r="2188" spans="1:9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 s="2">
        <v>1864</v>
      </c>
      <c r="G2188">
        <v>110.81</v>
      </c>
      <c r="H2188" s="2">
        <f>Table1[[#This Row],[Profit]]/Table1[[#This Row],[Sales]]*100</f>
        <v>5.9447424892703857</v>
      </c>
      <c r="I2188" t="str">
        <f>IF(Table1[[#This Row],[Profit %]]&gt;20,"Excellent",IF(H2188&gt;10.1,"Good","Low"))</f>
        <v>Low</v>
      </c>
    </row>
    <row r="2189" spans="1:9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 s="2">
        <v>4435</v>
      </c>
      <c r="G2189">
        <v>954.12</v>
      </c>
      <c r="H2189" s="2">
        <f>Table1[[#This Row],[Profit]]/Table1[[#This Row],[Sales]]*100</f>
        <v>21.513416009019164</v>
      </c>
      <c r="I2189" t="str">
        <f>IF(Table1[[#This Row],[Profit %]]&gt;20,"Excellent",IF(H2189&gt;10.1,"Good","Low"))</f>
        <v>Excellent</v>
      </c>
    </row>
    <row r="2190" spans="1:9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 s="2">
        <v>3296</v>
      </c>
      <c r="G2190">
        <v>460.98</v>
      </c>
      <c r="H2190" s="2">
        <f>Table1[[#This Row],[Profit]]/Table1[[#This Row],[Sales]]*100</f>
        <v>13.986043689320388</v>
      </c>
      <c r="I2190" t="str">
        <f>IF(Table1[[#This Row],[Profit %]]&gt;20,"Excellent",IF(H2190&gt;10.1,"Good","Low"))</f>
        <v>Good</v>
      </c>
    </row>
    <row r="2191" spans="1:9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 s="2">
        <v>780</v>
      </c>
      <c r="G2191">
        <v>217.92</v>
      </c>
      <c r="H2191" s="2">
        <f>Table1[[#This Row],[Profit]]/Table1[[#This Row],[Sales]]*100</f>
        <v>27.938461538461535</v>
      </c>
      <c r="I2191" t="str">
        <f>IF(Table1[[#This Row],[Profit %]]&gt;20,"Excellent",IF(H2191&gt;10.1,"Good","Low"))</f>
        <v>Excellent</v>
      </c>
    </row>
    <row r="2192" spans="1:9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 s="2">
        <v>4396</v>
      </c>
      <c r="G2192">
        <v>962.61</v>
      </c>
      <c r="H2192" s="2">
        <f>Table1[[#This Row],[Profit]]/Table1[[#This Row],[Sales]]*100</f>
        <v>21.897406733393996</v>
      </c>
      <c r="I2192" t="str">
        <f>IF(Table1[[#This Row],[Profit %]]&gt;20,"Excellent",IF(H2192&gt;10.1,"Good","Low"))</f>
        <v>Excellent</v>
      </c>
    </row>
    <row r="2193" spans="1:9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 s="2">
        <v>1362</v>
      </c>
      <c r="G2193">
        <v>202.68</v>
      </c>
      <c r="H2193" s="2">
        <f>Table1[[#This Row],[Profit]]/Table1[[#This Row],[Sales]]*100</f>
        <v>14.881057268722467</v>
      </c>
      <c r="I2193" t="str">
        <f>IF(Table1[[#This Row],[Profit %]]&gt;20,"Excellent",IF(H2193&gt;10.1,"Good","Low"))</f>
        <v>Good</v>
      </c>
    </row>
    <row r="2194" spans="1:9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 s="2">
        <v>3843</v>
      </c>
      <c r="G2194">
        <v>378.03</v>
      </c>
      <c r="H2194" s="2">
        <f>Table1[[#This Row],[Profit]]/Table1[[#This Row],[Sales]]*100</f>
        <v>9.8368462138953934</v>
      </c>
      <c r="I2194" t="str">
        <f>IF(Table1[[#This Row],[Profit %]]&gt;20,"Excellent",IF(H2194&gt;10.1,"Good","Low"))</f>
        <v>Low</v>
      </c>
    </row>
    <row r="2195" spans="1:9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 s="2">
        <v>2080</v>
      </c>
      <c r="G2195">
        <v>450.24</v>
      </c>
      <c r="H2195" s="2">
        <f>Table1[[#This Row],[Profit]]/Table1[[#This Row],[Sales]]*100</f>
        <v>21.646153846153844</v>
      </c>
      <c r="I2195" t="str">
        <f>IF(Table1[[#This Row],[Profit %]]&gt;20,"Excellent",IF(H2195&gt;10.1,"Good","Low"))</f>
        <v>Excellent</v>
      </c>
    </row>
    <row r="2196" spans="1:9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 s="2">
        <v>1210</v>
      </c>
      <c r="G2196">
        <v>201.45</v>
      </c>
      <c r="H2196" s="2">
        <f>Table1[[#This Row],[Profit]]/Table1[[#This Row],[Sales]]*100</f>
        <v>16.648760330578511</v>
      </c>
      <c r="I2196" t="str">
        <f>IF(Table1[[#This Row],[Profit %]]&gt;20,"Excellent",IF(H2196&gt;10.1,"Good","Low"))</f>
        <v>Good</v>
      </c>
    </row>
    <row r="2197" spans="1:9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 s="2">
        <v>2316</v>
      </c>
      <c r="G2197">
        <v>356.5</v>
      </c>
      <c r="H2197" s="2">
        <f>Table1[[#This Row],[Profit]]/Table1[[#This Row],[Sales]]*100</f>
        <v>15.392918825561313</v>
      </c>
      <c r="I2197" t="str">
        <f>IF(Table1[[#This Row],[Profit %]]&gt;20,"Excellent",IF(H2197&gt;10.1,"Good","Low"))</f>
        <v>Good</v>
      </c>
    </row>
    <row r="2198" spans="1:9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 s="2">
        <v>3366</v>
      </c>
      <c r="G2198">
        <v>614.22</v>
      </c>
      <c r="H2198" s="2">
        <f>Table1[[#This Row],[Profit]]/Table1[[#This Row],[Sales]]*100</f>
        <v>18.247771836007132</v>
      </c>
      <c r="I2198" t="str">
        <f>IF(Table1[[#This Row],[Profit %]]&gt;20,"Excellent",IF(H2198&gt;10.1,"Good","Low"))</f>
        <v>Good</v>
      </c>
    </row>
    <row r="2199" spans="1:9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 s="2">
        <v>6507</v>
      </c>
      <c r="G2199">
        <v>1075.51</v>
      </c>
      <c r="H2199" s="2">
        <f>Table1[[#This Row],[Profit]]/Table1[[#This Row],[Sales]]*100</f>
        <v>16.528507760872905</v>
      </c>
      <c r="I2199" t="str">
        <f>IF(Table1[[#This Row],[Profit %]]&gt;20,"Excellent",IF(H2199&gt;10.1,"Good","Low"))</f>
        <v>Good</v>
      </c>
    </row>
    <row r="2200" spans="1:9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 s="2">
        <v>384</v>
      </c>
      <c r="G2200">
        <v>35.36</v>
      </c>
      <c r="H2200" s="2">
        <f>Table1[[#This Row],[Profit]]/Table1[[#This Row],[Sales]]*100</f>
        <v>9.2083333333333339</v>
      </c>
      <c r="I2200" t="str">
        <f>IF(Table1[[#This Row],[Profit %]]&gt;20,"Excellent",IF(H2200&gt;10.1,"Good","Low"))</f>
        <v>Low</v>
      </c>
    </row>
    <row r="2201" spans="1:9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 s="2">
        <v>3625</v>
      </c>
      <c r="G2201">
        <v>563.95000000000005</v>
      </c>
      <c r="H2201" s="2">
        <f>Table1[[#This Row],[Profit]]/Table1[[#This Row],[Sales]]*100</f>
        <v>15.557241379310346</v>
      </c>
      <c r="I2201" t="str">
        <f>IF(Table1[[#This Row],[Profit %]]&gt;20,"Excellent",IF(H2201&gt;10.1,"Good","Low"))</f>
        <v>Good</v>
      </c>
    </row>
    <row r="2202" spans="1:9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 s="2">
        <v>400</v>
      </c>
      <c r="G2202">
        <v>45.16</v>
      </c>
      <c r="H2202" s="2">
        <f>Table1[[#This Row],[Profit]]/Table1[[#This Row],[Sales]]*100</f>
        <v>11.29</v>
      </c>
      <c r="I2202" t="str">
        <f>IF(Table1[[#This Row],[Profit %]]&gt;20,"Excellent",IF(H2202&gt;10.1,"Good","Low"))</f>
        <v>Good</v>
      </c>
    </row>
    <row r="2203" spans="1:9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 s="2">
        <v>2880</v>
      </c>
      <c r="G2203">
        <v>209.58</v>
      </c>
      <c r="H2203" s="2">
        <f>Table1[[#This Row],[Profit]]/Table1[[#This Row],[Sales]]*100</f>
        <v>7.2770833333333336</v>
      </c>
      <c r="I2203" t="str">
        <f>IF(Table1[[#This Row],[Profit %]]&gt;20,"Excellent",IF(H2203&gt;10.1,"Good","Low"))</f>
        <v>Low</v>
      </c>
    </row>
    <row r="2204" spans="1:9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 s="2">
        <v>1608</v>
      </c>
      <c r="G2204">
        <v>302.32</v>
      </c>
      <c r="H2204" s="2">
        <f>Table1[[#This Row],[Profit]]/Table1[[#This Row],[Sales]]*100</f>
        <v>18.800995024875622</v>
      </c>
      <c r="I2204" t="str">
        <f>IF(Table1[[#This Row],[Profit %]]&gt;20,"Excellent",IF(H2204&gt;10.1,"Good","Low"))</f>
        <v>Good</v>
      </c>
    </row>
    <row r="2205" spans="1:9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 s="2">
        <v>1574</v>
      </c>
      <c r="G2205">
        <v>196.84</v>
      </c>
      <c r="H2205" s="2">
        <f>Table1[[#This Row],[Profit]]/Table1[[#This Row],[Sales]]*100</f>
        <v>12.505717916137229</v>
      </c>
      <c r="I2205" t="str">
        <f>IF(Table1[[#This Row],[Profit %]]&gt;20,"Excellent",IF(H2205&gt;10.1,"Good","Low"))</f>
        <v>Good</v>
      </c>
    </row>
    <row r="2206" spans="1:9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 s="2">
        <v>2478</v>
      </c>
      <c r="G2206">
        <v>584.37</v>
      </c>
      <c r="H2206" s="2">
        <f>Table1[[#This Row],[Profit]]/Table1[[#This Row],[Sales]]*100</f>
        <v>23.582324455205811</v>
      </c>
      <c r="I2206" t="str">
        <f>IF(Table1[[#This Row],[Profit %]]&gt;20,"Excellent",IF(H2206&gt;10.1,"Good","Low"))</f>
        <v>Excellent</v>
      </c>
    </row>
    <row r="2207" spans="1:9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 s="2">
        <v>8872</v>
      </c>
      <c r="G2207">
        <v>1486.58</v>
      </c>
      <c r="H2207" s="2">
        <f>Table1[[#This Row],[Profit]]/Table1[[#This Row],[Sales]]*100</f>
        <v>16.7558611361587</v>
      </c>
      <c r="I2207" t="str">
        <f>IF(Table1[[#This Row],[Profit %]]&gt;20,"Excellent",IF(H2207&gt;10.1,"Good","Low"))</f>
        <v>Good</v>
      </c>
    </row>
    <row r="2208" spans="1:9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 s="2">
        <v>2320</v>
      </c>
      <c r="G2208">
        <v>668.63</v>
      </c>
      <c r="H2208" s="2">
        <f>Table1[[#This Row],[Profit]]/Table1[[#This Row],[Sales]]*100</f>
        <v>28.820258620689653</v>
      </c>
      <c r="I2208" t="str">
        <f>IF(Table1[[#This Row],[Profit %]]&gt;20,"Excellent",IF(H2208&gt;10.1,"Good","Low"))</f>
        <v>Excellent</v>
      </c>
    </row>
    <row r="2209" spans="1:9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 s="2">
        <v>171</v>
      </c>
      <c r="G2209">
        <v>9.02</v>
      </c>
      <c r="H2209" s="2">
        <f>Table1[[#This Row],[Profit]]/Table1[[#This Row],[Sales]]*100</f>
        <v>5.2748538011695905</v>
      </c>
      <c r="I2209" t="str">
        <f>IF(Table1[[#This Row],[Profit %]]&gt;20,"Excellent",IF(H2209&gt;10.1,"Good","Low"))</f>
        <v>Low</v>
      </c>
    </row>
    <row r="2210" spans="1:9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 s="2">
        <v>4536</v>
      </c>
      <c r="G2210">
        <v>627.13</v>
      </c>
      <c r="H2210" s="2">
        <f>Table1[[#This Row],[Profit]]/Table1[[#This Row],[Sales]]*100</f>
        <v>13.825617283950617</v>
      </c>
      <c r="I2210" t="str">
        <f>IF(Table1[[#This Row],[Profit %]]&gt;20,"Excellent",IF(H2210&gt;10.1,"Good","Low"))</f>
        <v>Good</v>
      </c>
    </row>
    <row r="2211" spans="1:9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 s="2">
        <v>1308</v>
      </c>
      <c r="G2211">
        <v>73.28</v>
      </c>
      <c r="H2211" s="2">
        <f>Table1[[#This Row],[Profit]]/Table1[[#This Row],[Sales]]*100</f>
        <v>5.6024464831804277</v>
      </c>
      <c r="I2211" t="str">
        <f>IF(Table1[[#This Row],[Profit %]]&gt;20,"Excellent",IF(H2211&gt;10.1,"Good","Low"))</f>
        <v>Low</v>
      </c>
    </row>
    <row r="2212" spans="1:9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 s="2">
        <v>4048</v>
      </c>
      <c r="G2212">
        <v>641.23</v>
      </c>
      <c r="H2212" s="2">
        <f>Table1[[#This Row],[Profit]]/Table1[[#This Row],[Sales]]*100</f>
        <v>15.840662055335969</v>
      </c>
      <c r="I2212" t="str">
        <f>IF(Table1[[#This Row],[Profit %]]&gt;20,"Excellent",IF(H2212&gt;10.1,"Good","Low"))</f>
        <v>Good</v>
      </c>
    </row>
    <row r="2213" spans="1:9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 s="2">
        <v>4041</v>
      </c>
      <c r="G2213">
        <v>963.58</v>
      </c>
      <c r="H2213" s="2">
        <f>Table1[[#This Row],[Profit]]/Table1[[#This Row],[Sales]]*100</f>
        <v>23.845087849542193</v>
      </c>
      <c r="I2213" t="str">
        <f>IF(Table1[[#This Row],[Profit %]]&gt;20,"Excellent",IF(H2213&gt;10.1,"Good","Low"))</f>
        <v>Excellent</v>
      </c>
    </row>
    <row r="2214" spans="1:9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 s="2">
        <v>5665</v>
      </c>
      <c r="G2214">
        <v>332.46</v>
      </c>
      <c r="H2214" s="2">
        <f>Table1[[#This Row],[Profit]]/Table1[[#This Row],[Sales]]*100</f>
        <v>5.8686672550750218</v>
      </c>
      <c r="I2214" t="str">
        <f>IF(Table1[[#This Row],[Profit %]]&gt;20,"Excellent",IF(H2214&gt;10.1,"Good","Low"))</f>
        <v>Low</v>
      </c>
    </row>
    <row r="2215" spans="1:9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 s="2">
        <v>6876</v>
      </c>
      <c r="G2215">
        <v>1029.92</v>
      </c>
      <c r="H2215" s="2">
        <f>Table1[[#This Row],[Profit]]/Table1[[#This Row],[Sales]]*100</f>
        <v>14.978475858057012</v>
      </c>
      <c r="I2215" t="str">
        <f>IF(Table1[[#This Row],[Profit %]]&gt;20,"Excellent",IF(H2215&gt;10.1,"Good","Low"))</f>
        <v>Good</v>
      </c>
    </row>
    <row r="2216" spans="1:9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 s="2">
        <v>617</v>
      </c>
      <c r="G2216">
        <v>145.37</v>
      </c>
      <c r="H2216" s="2">
        <f>Table1[[#This Row],[Profit]]/Table1[[#This Row],[Sales]]*100</f>
        <v>23.560777957860616</v>
      </c>
      <c r="I2216" t="str">
        <f>IF(Table1[[#This Row],[Profit %]]&gt;20,"Excellent",IF(H2216&gt;10.1,"Good","Low"))</f>
        <v>Excellent</v>
      </c>
    </row>
    <row r="2217" spans="1:9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 s="2">
        <v>1440</v>
      </c>
      <c r="G2217">
        <v>130.4</v>
      </c>
      <c r="H2217" s="2">
        <f>Table1[[#This Row],[Profit]]/Table1[[#This Row],[Sales]]*100</f>
        <v>9.0555555555555554</v>
      </c>
      <c r="I2217" t="str">
        <f>IF(Table1[[#This Row],[Profit %]]&gt;20,"Excellent",IF(H2217&gt;10.1,"Good","Low"))</f>
        <v>Low</v>
      </c>
    </row>
    <row r="2218" spans="1:9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 s="2">
        <v>472</v>
      </c>
      <c r="G2218">
        <v>116.36</v>
      </c>
      <c r="H2218" s="2">
        <f>Table1[[#This Row],[Profit]]/Table1[[#This Row],[Sales]]*100</f>
        <v>24.652542372881356</v>
      </c>
      <c r="I2218" t="str">
        <f>IF(Table1[[#This Row],[Profit %]]&gt;20,"Excellent",IF(H2218&gt;10.1,"Good","Low"))</f>
        <v>Excellent</v>
      </c>
    </row>
    <row r="2219" spans="1:9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 s="2">
        <v>5640</v>
      </c>
      <c r="G2219">
        <v>1227.77</v>
      </c>
      <c r="H2219" s="2">
        <f>Table1[[#This Row],[Profit]]/Table1[[#This Row],[Sales]]*100</f>
        <v>21.768971631205673</v>
      </c>
      <c r="I2219" t="str">
        <f>IF(Table1[[#This Row],[Profit %]]&gt;20,"Excellent",IF(H2219&gt;10.1,"Good","Low"))</f>
        <v>Excellent</v>
      </c>
    </row>
    <row r="2220" spans="1:9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 s="2">
        <v>2640</v>
      </c>
      <c r="G2220">
        <v>668.12</v>
      </c>
      <c r="H2220" s="2">
        <f>Table1[[#This Row],[Profit]]/Table1[[#This Row],[Sales]]*100</f>
        <v>25.307575757575755</v>
      </c>
      <c r="I2220" t="str">
        <f>IF(Table1[[#This Row],[Profit %]]&gt;20,"Excellent",IF(H2220&gt;10.1,"Good","Low"))</f>
        <v>Excellent</v>
      </c>
    </row>
    <row r="2221" spans="1:9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 s="2">
        <v>768</v>
      </c>
      <c r="G2221">
        <v>72.67</v>
      </c>
      <c r="H2221" s="2">
        <f>Table1[[#This Row],[Profit]]/Table1[[#This Row],[Sales]]*100</f>
        <v>9.4622395833333339</v>
      </c>
      <c r="I2221" t="str">
        <f>IF(Table1[[#This Row],[Profit %]]&gt;20,"Excellent",IF(H2221&gt;10.1,"Good","Low"))</f>
        <v>Low</v>
      </c>
    </row>
    <row r="2222" spans="1:9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 s="2">
        <v>725</v>
      </c>
      <c r="G2222">
        <v>81.96</v>
      </c>
      <c r="H2222" s="2">
        <f>Table1[[#This Row],[Profit]]/Table1[[#This Row],[Sales]]*100</f>
        <v>11.304827586206896</v>
      </c>
      <c r="I2222" t="str">
        <f>IF(Table1[[#This Row],[Profit %]]&gt;20,"Excellent",IF(H2222&gt;10.1,"Good","Low"))</f>
        <v>Good</v>
      </c>
    </row>
    <row r="2223" spans="1:9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 s="2">
        <v>1080</v>
      </c>
      <c r="G2223">
        <v>210.69</v>
      </c>
      <c r="H2223" s="2">
        <f>Table1[[#This Row],[Profit]]/Table1[[#This Row],[Sales]]*100</f>
        <v>19.508333333333333</v>
      </c>
      <c r="I2223" t="str">
        <f>IF(Table1[[#This Row],[Profit %]]&gt;20,"Excellent",IF(H2223&gt;10.1,"Good","Low"))</f>
        <v>Good</v>
      </c>
    </row>
    <row r="2224" spans="1:9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 s="2">
        <v>393</v>
      </c>
      <c r="G2224">
        <v>40.340000000000003</v>
      </c>
      <c r="H2224" s="2">
        <f>Table1[[#This Row],[Profit]]/Table1[[#This Row],[Sales]]*100</f>
        <v>10.264631043256998</v>
      </c>
      <c r="I2224" t="str">
        <f>IF(Table1[[#This Row],[Profit %]]&gt;20,"Excellent",IF(H2224&gt;10.1,"Good","Low"))</f>
        <v>Good</v>
      </c>
    </row>
    <row r="2225" spans="1:9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 s="2">
        <v>1264</v>
      </c>
      <c r="G2225">
        <v>371.92</v>
      </c>
      <c r="H2225" s="2">
        <f>Table1[[#This Row],[Profit]]/Table1[[#This Row],[Sales]]*100</f>
        <v>29.424050632911392</v>
      </c>
      <c r="I2225" t="str">
        <f>IF(Table1[[#This Row],[Profit %]]&gt;20,"Excellent",IF(H2225&gt;10.1,"Good","Low"))</f>
        <v>Excellent</v>
      </c>
    </row>
    <row r="2226" spans="1:9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 s="2">
        <v>4797</v>
      </c>
      <c r="G2226">
        <v>1193.95</v>
      </c>
      <c r="H2226" s="2">
        <f>Table1[[#This Row],[Profit]]/Table1[[#This Row],[Sales]]*100</f>
        <v>24.889514279758181</v>
      </c>
      <c r="I2226" t="str">
        <f>IF(Table1[[#This Row],[Profit %]]&gt;20,"Excellent",IF(H2226&gt;10.1,"Good","Low"))</f>
        <v>Excellent</v>
      </c>
    </row>
    <row r="2227" spans="1:9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 s="2">
        <v>2080</v>
      </c>
      <c r="G2227">
        <v>151.13999999999999</v>
      </c>
      <c r="H2227" s="2">
        <f>Table1[[#This Row],[Profit]]/Table1[[#This Row],[Sales]]*100</f>
        <v>7.266346153846154</v>
      </c>
      <c r="I2227" t="str">
        <f>IF(Table1[[#This Row],[Profit %]]&gt;20,"Excellent",IF(H2227&gt;10.1,"Good","Low"))</f>
        <v>Low</v>
      </c>
    </row>
    <row r="2228" spans="1:9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 s="2">
        <v>3812</v>
      </c>
      <c r="G2228">
        <v>312.8</v>
      </c>
      <c r="H2228" s="2">
        <f>Table1[[#This Row],[Profit]]/Table1[[#This Row],[Sales]]*100</f>
        <v>8.2056663168940194</v>
      </c>
      <c r="I2228" t="str">
        <f>IF(Table1[[#This Row],[Profit %]]&gt;20,"Excellent",IF(H2228&gt;10.1,"Good","Low"))</f>
        <v>Low</v>
      </c>
    </row>
    <row r="2229" spans="1:9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 s="2">
        <v>3695</v>
      </c>
      <c r="G2229">
        <v>463.57</v>
      </c>
      <c r="H2229" s="2">
        <f>Table1[[#This Row],[Profit]]/Table1[[#This Row],[Sales]]*100</f>
        <v>12.545872801082544</v>
      </c>
      <c r="I2229" t="str">
        <f>IF(Table1[[#This Row],[Profit %]]&gt;20,"Excellent",IF(H2229&gt;10.1,"Good","Low"))</f>
        <v>Good</v>
      </c>
    </row>
    <row r="2230" spans="1:9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 s="2">
        <v>1159</v>
      </c>
      <c r="G2230">
        <v>344.22</v>
      </c>
      <c r="H2230" s="2">
        <f>Table1[[#This Row],[Profit]]/Table1[[#This Row],[Sales]]*100</f>
        <v>29.699741156169111</v>
      </c>
      <c r="I2230" t="str">
        <f>IF(Table1[[#This Row],[Profit %]]&gt;20,"Excellent",IF(H2230&gt;10.1,"Good","Low"))</f>
        <v>Excellent</v>
      </c>
    </row>
    <row r="2231" spans="1:9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 s="2">
        <v>4149</v>
      </c>
      <c r="G2231">
        <v>605.52</v>
      </c>
      <c r="H2231" s="2">
        <f>Table1[[#This Row],[Profit]]/Table1[[#This Row],[Sales]]*100</f>
        <v>14.594360086767896</v>
      </c>
      <c r="I2231" t="str">
        <f>IF(Table1[[#This Row],[Profit %]]&gt;20,"Excellent",IF(H2231&gt;10.1,"Good","Low"))</f>
        <v>Good</v>
      </c>
    </row>
    <row r="2232" spans="1:9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 s="2">
        <v>1446</v>
      </c>
      <c r="G2232">
        <v>171.73</v>
      </c>
      <c r="H2232" s="2">
        <f>Table1[[#This Row],[Profit]]/Table1[[#This Row],[Sales]]*100</f>
        <v>11.876210235131396</v>
      </c>
      <c r="I2232" t="str">
        <f>IF(Table1[[#This Row],[Profit %]]&gt;20,"Excellent",IF(H2232&gt;10.1,"Good","Low"))</f>
        <v>Good</v>
      </c>
    </row>
    <row r="2233" spans="1:9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 s="2">
        <v>225</v>
      </c>
      <c r="G2233">
        <v>48.82</v>
      </c>
      <c r="H2233" s="2">
        <f>Table1[[#This Row],[Profit]]/Table1[[#This Row],[Sales]]*100</f>
        <v>21.697777777777777</v>
      </c>
      <c r="I2233" t="str">
        <f>IF(Table1[[#This Row],[Profit %]]&gt;20,"Excellent",IF(H2233&gt;10.1,"Good","Low"))</f>
        <v>Excellent</v>
      </c>
    </row>
    <row r="2234" spans="1:9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 s="2">
        <v>355</v>
      </c>
      <c r="G2234">
        <v>26.8</v>
      </c>
      <c r="H2234" s="2">
        <f>Table1[[#This Row],[Profit]]/Table1[[#This Row],[Sales]]*100</f>
        <v>7.5492957746478879</v>
      </c>
      <c r="I2234" t="str">
        <f>IF(Table1[[#This Row],[Profit %]]&gt;20,"Excellent",IF(H2234&gt;10.1,"Good","Low"))</f>
        <v>Low</v>
      </c>
    </row>
    <row r="2235" spans="1:9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 s="2">
        <v>3164</v>
      </c>
      <c r="G2235">
        <v>166.4</v>
      </c>
      <c r="H2235" s="2">
        <f>Table1[[#This Row],[Profit]]/Table1[[#This Row],[Sales]]*100</f>
        <v>5.2591656131479141</v>
      </c>
      <c r="I2235" t="str">
        <f>IF(Table1[[#This Row],[Profit %]]&gt;20,"Excellent",IF(H2235&gt;10.1,"Good","Low"))</f>
        <v>Low</v>
      </c>
    </row>
    <row r="2236" spans="1:9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 s="2">
        <v>498</v>
      </c>
      <c r="G2236">
        <v>38.67</v>
      </c>
      <c r="H2236" s="2">
        <f>Table1[[#This Row],[Profit]]/Table1[[#This Row],[Sales]]*100</f>
        <v>7.7650602409638561</v>
      </c>
      <c r="I2236" t="str">
        <f>IF(Table1[[#This Row],[Profit %]]&gt;20,"Excellent",IF(H2236&gt;10.1,"Good","Low"))</f>
        <v>Low</v>
      </c>
    </row>
    <row r="2237" spans="1:9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 s="2">
        <v>1315</v>
      </c>
      <c r="G2237">
        <v>217.79</v>
      </c>
      <c r="H2237" s="2">
        <f>Table1[[#This Row],[Profit]]/Table1[[#This Row],[Sales]]*100</f>
        <v>16.561977186311786</v>
      </c>
      <c r="I2237" t="str">
        <f>IF(Table1[[#This Row],[Profit %]]&gt;20,"Excellent",IF(H2237&gt;10.1,"Good","Low"))</f>
        <v>Good</v>
      </c>
    </row>
    <row r="2238" spans="1:9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 s="2">
        <v>2805</v>
      </c>
      <c r="G2238">
        <v>438.89</v>
      </c>
      <c r="H2238" s="2">
        <f>Table1[[#This Row],[Profit]]/Table1[[#This Row],[Sales]]*100</f>
        <v>15.646702317290554</v>
      </c>
      <c r="I2238" t="str">
        <f>IF(Table1[[#This Row],[Profit %]]&gt;20,"Excellent",IF(H2238&gt;10.1,"Good","Low"))</f>
        <v>Good</v>
      </c>
    </row>
    <row r="2239" spans="1:9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 s="2">
        <v>5180</v>
      </c>
      <c r="G2239">
        <v>726.62</v>
      </c>
      <c r="H2239" s="2">
        <f>Table1[[#This Row],[Profit]]/Table1[[#This Row],[Sales]]*100</f>
        <v>14.027413127413126</v>
      </c>
      <c r="I2239" t="str">
        <f>IF(Table1[[#This Row],[Profit %]]&gt;20,"Excellent",IF(H2239&gt;10.1,"Good","Low"))</f>
        <v>Good</v>
      </c>
    </row>
    <row r="2240" spans="1:9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 s="2">
        <v>4045</v>
      </c>
      <c r="G2240">
        <v>203.35</v>
      </c>
      <c r="H2240" s="2">
        <f>Table1[[#This Row],[Profit]]/Table1[[#This Row],[Sales]]*100</f>
        <v>5.0271940667490727</v>
      </c>
      <c r="I2240" t="str">
        <f>IF(Table1[[#This Row],[Profit %]]&gt;20,"Excellent",IF(H2240&gt;10.1,"Good","Low"))</f>
        <v>Low</v>
      </c>
    </row>
    <row r="2241" spans="1:9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 s="2">
        <v>8793</v>
      </c>
      <c r="G2241">
        <v>2262.4299999999998</v>
      </c>
      <c r="H2241" s="2">
        <f>Table1[[#This Row],[Profit]]/Table1[[#This Row],[Sales]]*100</f>
        <v>25.729898783122934</v>
      </c>
      <c r="I2241" t="str">
        <f>IF(Table1[[#This Row],[Profit %]]&gt;20,"Excellent",IF(H2241&gt;10.1,"Good","Low"))</f>
        <v>Excellent</v>
      </c>
    </row>
    <row r="2242" spans="1:9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 s="2">
        <v>2592</v>
      </c>
      <c r="G2242">
        <v>526.38</v>
      </c>
      <c r="H2242" s="2">
        <f>Table1[[#This Row],[Profit]]/Table1[[#This Row],[Sales]]*100</f>
        <v>20.30787037037037</v>
      </c>
      <c r="I2242" t="str">
        <f>IF(Table1[[#This Row],[Profit %]]&gt;20,"Excellent",IF(H2242&gt;10.1,"Good","Low"))</f>
        <v>Excellent</v>
      </c>
    </row>
    <row r="2243" spans="1:9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 s="2">
        <v>7819</v>
      </c>
      <c r="G2243">
        <v>1708.84</v>
      </c>
      <c r="H2243" s="2">
        <f>Table1[[#This Row],[Profit]]/Table1[[#This Row],[Sales]]*100</f>
        <v>21.85496866606983</v>
      </c>
      <c r="I2243" t="str">
        <f>IF(Table1[[#This Row],[Profit %]]&gt;20,"Excellent",IF(H2243&gt;10.1,"Good","Low"))</f>
        <v>Excellent</v>
      </c>
    </row>
    <row r="2244" spans="1:9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 s="2">
        <v>2919</v>
      </c>
      <c r="G2244">
        <v>325.35000000000002</v>
      </c>
      <c r="H2244" s="2">
        <f>Table1[[#This Row],[Profit]]/Table1[[#This Row],[Sales]]*100</f>
        <v>11.145940390544707</v>
      </c>
      <c r="I2244" t="str">
        <f>IF(Table1[[#This Row],[Profit %]]&gt;20,"Excellent",IF(H2244&gt;10.1,"Good","Low"))</f>
        <v>Good</v>
      </c>
    </row>
    <row r="2245" spans="1:9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 s="2">
        <v>768</v>
      </c>
      <c r="G2245">
        <v>85.37</v>
      </c>
      <c r="H2245" s="2">
        <f>Table1[[#This Row],[Profit]]/Table1[[#This Row],[Sales]]*100</f>
        <v>11.115885416666666</v>
      </c>
      <c r="I2245" t="str">
        <f>IF(Table1[[#This Row],[Profit %]]&gt;20,"Excellent",IF(H2245&gt;10.1,"Good","Low"))</f>
        <v>Good</v>
      </c>
    </row>
    <row r="2246" spans="1:9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 s="2">
        <v>1736</v>
      </c>
      <c r="G2246">
        <v>388.09</v>
      </c>
      <c r="H2246" s="2">
        <f>Table1[[#This Row],[Profit]]/Table1[[#This Row],[Sales]]*100</f>
        <v>22.355414746543779</v>
      </c>
      <c r="I2246" t="str">
        <f>IF(Table1[[#This Row],[Profit %]]&gt;20,"Excellent",IF(H2246&gt;10.1,"Good","Low"))</f>
        <v>Excellent</v>
      </c>
    </row>
    <row r="2247" spans="1:9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 s="2">
        <v>6293</v>
      </c>
      <c r="G2247">
        <v>389.22</v>
      </c>
      <c r="H2247" s="2">
        <f>Table1[[#This Row],[Profit]]/Table1[[#This Row],[Sales]]*100</f>
        <v>6.1849674241220409</v>
      </c>
      <c r="I2247" t="str">
        <f>IF(Table1[[#This Row],[Profit %]]&gt;20,"Excellent",IF(H2247&gt;10.1,"Good","Low"))</f>
        <v>Low</v>
      </c>
    </row>
    <row r="2248" spans="1:9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 s="2">
        <v>3684</v>
      </c>
      <c r="G2248">
        <v>477.02</v>
      </c>
      <c r="H2248" s="2">
        <f>Table1[[#This Row],[Profit]]/Table1[[#This Row],[Sales]]*100</f>
        <v>12.948425624321388</v>
      </c>
      <c r="I2248" t="str">
        <f>IF(Table1[[#This Row],[Profit %]]&gt;20,"Excellent",IF(H2248&gt;10.1,"Good","Low"))</f>
        <v>Good</v>
      </c>
    </row>
    <row r="2249" spans="1:9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 s="2">
        <v>8370</v>
      </c>
      <c r="G2249">
        <v>1064.6500000000001</v>
      </c>
      <c r="H2249" s="2">
        <f>Table1[[#This Row],[Profit]]/Table1[[#This Row],[Sales]]*100</f>
        <v>12.71983273596177</v>
      </c>
      <c r="I2249" t="str">
        <f>IF(Table1[[#This Row],[Profit %]]&gt;20,"Excellent",IF(H2249&gt;10.1,"Good","Low"))</f>
        <v>Good</v>
      </c>
    </row>
    <row r="2250" spans="1:9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 s="2">
        <v>3788</v>
      </c>
      <c r="G2250">
        <v>875.54</v>
      </c>
      <c r="H2250" s="2">
        <f>Table1[[#This Row],[Profit]]/Table1[[#This Row],[Sales]]*100</f>
        <v>23.11351636747624</v>
      </c>
      <c r="I2250" t="str">
        <f>IF(Table1[[#This Row],[Profit %]]&gt;20,"Excellent",IF(H2250&gt;10.1,"Good","Low"))</f>
        <v>Excellent</v>
      </c>
    </row>
    <row r="2251" spans="1:9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 s="2">
        <v>8296</v>
      </c>
      <c r="G2251">
        <v>1884.18</v>
      </c>
      <c r="H2251" s="2">
        <f>Table1[[#This Row],[Profit]]/Table1[[#This Row],[Sales]]*100</f>
        <v>22.711909353905497</v>
      </c>
      <c r="I2251" t="str">
        <f>IF(Table1[[#This Row],[Profit %]]&gt;20,"Excellent",IF(H2251&gt;10.1,"Good","Low"))</f>
        <v>Excellent</v>
      </c>
    </row>
    <row r="2252" spans="1:9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 s="2">
        <v>325</v>
      </c>
      <c r="G2252">
        <v>21.01</v>
      </c>
      <c r="H2252" s="2">
        <f>Table1[[#This Row],[Profit]]/Table1[[#This Row],[Sales]]*100</f>
        <v>6.4646153846153851</v>
      </c>
      <c r="I2252" t="str">
        <f>IF(Table1[[#This Row],[Profit %]]&gt;20,"Excellent",IF(H2252&gt;10.1,"Good","Low"))</f>
        <v>Low</v>
      </c>
    </row>
    <row r="2253" spans="1:9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 s="2">
        <v>2216</v>
      </c>
      <c r="G2253">
        <v>444.36</v>
      </c>
      <c r="H2253" s="2">
        <f>Table1[[#This Row],[Profit]]/Table1[[#This Row],[Sales]]*100</f>
        <v>20.052346570397113</v>
      </c>
      <c r="I2253" t="str">
        <f>IF(Table1[[#This Row],[Profit %]]&gt;20,"Excellent",IF(H2253&gt;10.1,"Good","Low"))</f>
        <v>Excellent</v>
      </c>
    </row>
    <row r="2254" spans="1:9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 s="2">
        <v>7064</v>
      </c>
      <c r="G2254">
        <v>1873.02</v>
      </c>
      <c r="H2254" s="2">
        <f>Table1[[#This Row],[Profit]]/Table1[[#This Row],[Sales]]*100</f>
        <v>26.515005662514156</v>
      </c>
      <c r="I2254" t="str">
        <f>IF(Table1[[#This Row],[Profit %]]&gt;20,"Excellent",IF(H2254&gt;10.1,"Good","Low"))</f>
        <v>Excellent</v>
      </c>
    </row>
    <row r="2255" spans="1:9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 s="2">
        <v>2538</v>
      </c>
      <c r="G2255">
        <v>575.41</v>
      </c>
      <c r="H2255" s="2">
        <f>Table1[[#This Row],[Profit]]/Table1[[#This Row],[Sales]]*100</f>
        <v>22.671788810086682</v>
      </c>
      <c r="I2255" t="str">
        <f>IF(Table1[[#This Row],[Profit %]]&gt;20,"Excellent",IF(H2255&gt;10.1,"Good","Low"))</f>
        <v>Excellent</v>
      </c>
    </row>
    <row r="2256" spans="1:9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 s="2">
        <v>1151</v>
      </c>
      <c r="G2256">
        <v>77.22</v>
      </c>
      <c r="H2256" s="2">
        <f>Table1[[#This Row],[Profit]]/Table1[[#This Row],[Sales]]*100</f>
        <v>6.7089487402258907</v>
      </c>
      <c r="I2256" t="str">
        <f>IF(Table1[[#This Row],[Profit %]]&gt;20,"Excellent",IF(H2256&gt;10.1,"Good","Low"))</f>
        <v>Low</v>
      </c>
    </row>
    <row r="2257" spans="1:9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 s="2">
        <v>717</v>
      </c>
      <c r="G2257">
        <v>137.27000000000001</v>
      </c>
      <c r="H2257" s="2">
        <f>Table1[[#This Row],[Profit]]/Table1[[#This Row],[Sales]]*100</f>
        <v>19.145048814504882</v>
      </c>
      <c r="I2257" t="str">
        <f>IF(Table1[[#This Row],[Profit %]]&gt;20,"Excellent",IF(H2257&gt;10.1,"Good","Low"))</f>
        <v>Good</v>
      </c>
    </row>
    <row r="2258" spans="1:9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 s="2">
        <v>3048</v>
      </c>
      <c r="G2258">
        <v>444.3</v>
      </c>
      <c r="H2258" s="2">
        <f>Table1[[#This Row],[Profit]]/Table1[[#This Row],[Sales]]*100</f>
        <v>14.576771653543307</v>
      </c>
      <c r="I2258" t="str">
        <f>IF(Table1[[#This Row],[Profit %]]&gt;20,"Excellent",IF(H2258&gt;10.1,"Good","Low"))</f>
        <v>Good</v>
      </c>
    </row>
    <row r="2259" spans="1:9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 s="2">
        <v>2070</v>
      </c>
      <c r="G2259">
        <v>163.22999999999999</v>
      </c>
      <c r="H2259" s="2">
        <f>Table1[[#This Row],[Profit]]/Table1[[#This Row],[Sales]]*100</f>
        <v>7.885507246376811</v>
      </c>
      <c r="I2259" t="str">
        <f>IF(Table1[[#This Row],[Profit %]]&gt;20,"Excellent",IF(H2259&gt;10.1,"Good","Low"))</f>
        <v>Low</v>
      </c>
    </row>
    <row r="2260" spans="1:9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 s="2">
        <v>3630</v>
      </c>
      <c r="G2260">
        <v>537.92999999999995</v>
      </c>
      <c r="H2260" s="2">
        <f>Table1[[#This Row],[Profit]]/Table1[[#This Row],[Sales]]*100</f>
        <v>14.819008264462807</v>
      </c>
      <c r="I2260" t="str">
        <f>IF(Table1[[#This Row],[Profit %]]&gt;20,"Excellent",IF(H2260&gt;10.1,"Good","Low"))</f>
        <v>Good</v>
      </c>
    </row>
    <row r="2261" spans="1:9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 s="2">
        <v>896</v>
      </c>
      <c r="G2261">
        <v>219.98</v>
      </c>
      <c r="H2261" s="2">
        <f>Table1[[#This Row],[Profit]]/Table1[[#This Row],[Sales]]*100</f>
        <v>24.551339285714285</v>
      </c>
      <c r="I2261" t="str">
        <f>IF(Table1[[#This Row],[Profit %]]&gt;20,"Excellent",IF(H2261&gt;10.1,"Good","Low"))</f>
        <v>Excellent</v>
      </c>
    </row>
    <row r="2262" spans="1:9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 s="2">
        <v>1981</v>
      </c>
      <c r="G2262">
        <v>311.44</v>
      </c>
      <c r="H2262" s="2">
        <f>Table1[[#This Row],[Profit]]/Table1[[#This Row],[Sales]]*100</f>
        <v>15.721352852094903</v>
      </c>
      <c r="I2262" t="str">
        <f>IF(Table1[[#This Row],[Profit %]]&gt;20,"Excellent",IF(H2262&gt;10.1,"Good","Low"))</f>
        <v>Good</v>
      </c>
    </row>
    <row r="2263" spans="1:9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 s="2">
        <v>7140</v>
      </c>
      <c r="G2263">
        <v>605.22</v>
      </c>
      <c r="H2263" s="2">
        <f>Table1[[#This Row],[Profit]]/Table1[[#This Row],[Sales]]*100</f>
        <v>8.4764705882352942</v>
      </c>
      <c r="I2263" t="str">
        <f>IF(Table1[[#This Row],[Profit %]]&gt;20,"Excellent",IF(H2263&gt;10.1,"Good","Low"))</f>
        <v>Low</v>
      </c>
    </row>
    <row r="2264" spans="1:9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 s="2">
        <v>1015</v>
      </c>
      <c r="G2264">
        <v>85.06</v>
      </c>
      <c r="H2264" s="2">
        <f>Table1[[#This Row],[Profit]]/Table1[[#This Row],[Sales]]*100</f>
        <v>8.380295566502463</v>
      </c>
      <c r="I2264" t="str">
        <f>IF(Table1[[#This Row],[Profit %]]&gt;20,"Excellent",IF(H2264&gt;10.1,"Good","Low"))</f>
        <v>Low</v>
      </c>
    </row>
    <row r="2265" spans="1:9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 s="2">
        <v>524</v>
      </c>
      <c r="G2265">
        <v>52.31</v>
      </c>
      <c r="H2265" s="2">
        <f>Table1[[#This Row],[Profit]]/Table1[[#This Row],[Sales]]*100</f>
        <v>9.9828244274809155</v>
      </c>
      <c r="I2265" t="str">
        <f>IF(Table1[[#This Row],[Profit %]]&gt;20,"Excellent",IF(H2265&gt;10.1,"Good","Low"))</f>
        <v>Low</v>
      </c>
    </row>
    <row r="2266" spans="1:9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 s="2">
        <v>1678</v>
      </c>
      <c r="G2266">
        <v>372.78</v>
      </c>
      <c r="H2266" s="2">
        <f>Table1[[#This Row],[Profit]]/Table1[[#This Row],[Sales]]*100</f>
        <v>22.215733015494635</v>
      </c>
      <c r="I2266" t="str">
        <f>IF(Table1[[#This Row],[Profit %]]&gt;20,"Excellent",IF(H2266&gt;10.1,"Good","Low"))</f>
        <v>Excellent</v>
      </c>
    </row>
    <row r="2267" spans="1:9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 s="2">
        <v>3260</v>
      </c>
      <c r="G2267">
        <v>969.76</v>
      </c>
      <c r="H2267" s="2">
        <f>Table1[[#This Row],[Profit]]/Table1[[#This Row],[Sales]]*100</f>
        <v>29.747239263803682</v>
      </c>
      <c r="I2267" t="str">
        <f>IF(Table1[[#This Row],[Profit %]]&gt;20,"Excellent",IF(H2267&gt;10.1,"Good","Low"))</f>
        <v>Excellent</v>
      </c>
    </row>
    <row r="2268" spans="1:9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 s="2">
        <v>720</v>
      </c>
      <c r="G2268">
        <v>214.31</v>
      </c>
      <c r="H2268" s="2">
        <f>Table1[[#This Row],[Profit]]/Table1[[#This Row],[Sales]]*100</f>
        <v>29.765277777777776</v>
      </c>
      <c r="I2268" t="str">
        <f>IF(Table1[[#This Row],[Profit %]]&gt;20,"Excellent",IF(H2268&gt;10.1,"Good","Low"))</f>
        <v>Excellent</v>
      </c>
    </row>
    <row r="2269" spans="1:9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 s="2">
        <v>1792</v>
      </c>
      <c r="G2269">
        <v>417.99</v>
      </c>
      <c r="H2269" s="2">
        <f>Table1[[#This Row],[Profit]]/Table1[[#This Row],[Sales]]*100</f>
        <v>23.325334821428573</v>
      </c>
      <c r="I2269" t="str">
        <f>IF(Table1[[#This Row],[Profit %]]&gt;20,"Excellent",IF(H2269&gt;10.1,"Good","Low"))</f>
        <v>Excellent</v>
      </c>
    </row>
    <row r="2270" spans="1:9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 s="2">
        <v>3096</v>
      </c>
      <c r="G2270">
        <v>505.08</v>
      </c>
      <c r="H2270" s="2">
        <f>Table1[[#This Row],[Profit]]/Table1[[#This Row],[Sales]]*100</f>
        <v>16.313953488372093</v>
      </c>
      <c r="I2270" t="str">
        <f>IF(Table1[[#This Row],[Profit %]]&gt;20,"Excellent",IF(H2270&gt;10.1,"Good","Low"))</f>
        <v>Good</v>
      </c>
    </row>
    <row r="2271" spans="1:9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 s="2">
        <v>1400</v>
      </c>
      <c r="G2271">
        <v>273.39</v>
      </c>
      <c r="H2271" s="2">
        <f>Table1[[#This Row],[Profit]]/Table1[[#This Row],[Sales]]*100</f>
        <v>19.52785714285714</v>
      </c>
      <c r="I2271" t="str">
        <f>IF(Table1[[#This Row],[Profit %]]&gt;20,"Excellent",IF(H2271&gt;10.1,"Good","Low"))</f>
        <v>Good</v>
      </c>
    </row>
    <row r="2272" spans="1:9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 s="2">
        <v>508</v>
      </c>
      <c r="G2272">
        <v>37.94</v>
      </c>
      <c r="H2272" s="2">
        <f>Table1[[#This Row],[Profit]]/Table1[[#This Row],[Sales]]*100</f>
        <v>7.4685039370078741</v>
      </c>
      <c r="I2272" t="str">
        <f>IF(Table1[[#This Row],[Profit %]]&gt;20,"Excellent",IF(H2272&gt;10.1,"Good","Low"))</f>
        <v>Low</v>
      </c>
    </row>
    <row r="2273" spans="1:9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 s="2">
        <v>2646</v>
      </c>
      <c r="G2273">
        <v>380.83</v>
      </c>
      <c r="H2273" s="2">
        <f>Table1[[#This Row],[Profit]]/Table1[[#This Row],[Sales]]*100</f>
        <v>14.392668178382465</v>
      </c>
      <c r="I2273" t="str">
        <f>IF(Table1[[#This Row],[Profit %]]&gt;20,"Excellent",IF(H2273&gt;10.1,"Good","Low"))</f>
        <v>Good</v>
      </c>
    </row>
    <row r="2274" spans="1:9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 s="2">
        <v>357</v>
      </c>
      <c r="G2274">
        <v>79.86</v>
      </c>
      <c r="H2274" s="2">
        <f>Table1[[#This Row],[Profit]]/Table1[[#This Row],[Sales]]*100</f>
        <v>22.369747899159663</v>
      </c>
      <c r="I2274" t="str">
        <f>IF(Table1[[#This Row],[Profit %]]&gt;20,"Excellent",IF(H2274&gt;10.1,"Good","Low"))</f>
        <v>Excellent</v>
      </c>
    </row>
    <row r="2275" spans="1:9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 s="2">
        <v>373</v>
      </c>
      <c r="G2275">
        <v>53.15</v>
      </c>
      <c r="H2275" s="2">
        <f>Table1[[#This Row],[Profit]]/Table1[[#This Row],[Sales]]*100</f>
        <v>14.249329758713136</v>
      </c>
      <c r="I2275" t="str">
        <f>IF(Table1[[#This Row],[Profit %]]&gt;20,"Excellent",IF(H2275&gt;10.1,"Good","Low"))</f>
        <v>Good</v>
      </c>
    </row>
    <row r="2276" spans="1:9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 s="2">
        <v>266</v>
      </c>
      <c r="G2276">
        <v>55.52</v>
      </c>
      <c r="H2276" s="2">
        <f>Table1[[#This Row],[Profit]]/Table1[[#This Row],[Sales]]*100</f>
        <v>20.872180451127818</v>
      </c>
      <c r="I2276" t="str">
        <f>IF(Table1[[#This Row],[Profit %]]&gt;20,"Excellent",IF(H2276&gt;10.1,"Good","Low"))</f>
        <v>Excellent</v>
      </c>
    </row>
    <row r="2277" spans="1:9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 s="2">
        <v>344</v>
      </c>
      <c r="G2277">
        <v>25.7</v>
      </c>
      <c r="H2277" s="2">
        <f>Table1[[#This Row],[Profit]]/Table1[[#This Row],[Sales]]*100</f>
        <v>7.470930232558139</v>
      </c>
      <c r="I2277" t="str">
        <f>IF(Table1[[#This Row],[Profit %]]&gt;20,"Excellent",IF(H2277&gt;10.1,"Good","Low"))</f>
        <v>Low</v>
      </c>
    </row>
    <row r="2278" spans="1:9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 s="2">
        <v>1806</v>
      </c>
      <c r="G2278">
        <v>308.92</v>
      </c>
      <c r="H2278" s="2">
        <f>Table1[[#This Row],[Profit]]/Table1[[#This Row],[Sales]]*100</f>
        <v>17.105204872646734</v>
      </c>
      <c r="I2278" t="str">
        <f>IF(Table1[[#This Row],[Profit %]]&gt;20,"Excellent",IF(H2278&gt;10.1,"Good","Low"))</f>
        <v>Good</v>
      </c>
    </row>
    <row r="2279" spans="1:9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 s="2">
        <v>7281</v>
      </c>
      <c r="G2279">
        <v>396.28</v>
      </c>
      <c r="H2279" s="2">
        <f>Table1[[#This Row],[Profit]]/Table1[[#This Row],[Sales]]*100</f>
        <v>5.4426589754154646</v>
      </c>
      <c r="I2279" t="str">
        <f>IF(Table1[[#This Row],[Profit %]]&gt;20,"Excellent",IF(H2279&gt;10.1,"Good","Low"))</f>
        <v>Low</v>
      </c>
    </row>
    <row r="2280" spans="1:9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 s="2">
        <v>3094</v>
      </c>
      <c r="G2280">
        <v>463.72</v>
      </c>
      <c r="H2280" s="2">
        <f>Table1[[#This Row],[Profit]]/Table1[[#This Row],[Sales]]*100</f>
        <v>14.987718164188754</v>
      </c>
      <c r="I2280" t="str">
        <f>IF(Table1[[#This Row],[Profit %]]&gt;20,"Excellent",IF(H2280&gt;10.1,"Good","Low"))</f>
        <v>Good</v>
      </c>
    </row>
    <row r="2281" spans="1:9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 s="2">
        <v>252</v>
      </c>
      <c r="G2281">
        <v>67.37</v>
      </c>
      <c r="H2281" s="2">
        <f>Table1[[#This Row],[Profit]]/Table1[[#This Row],[Sales]]*100</f>
        <v>26.734126984126988</v>
      </c>
      <c r="I2281" t="str">
        <f>IF(Table1[[#This Row],[Profit %]]&gt;20,"Excellent",IF(H2281&gt;10.1,"Good","Low"))</f>
        <v>Excellent</v>
      </c>
    </row>
    <row r="2282" spans="1:9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 s="2">
        <v>2691</v>
      </c>
      <c r="G2282">
        <v>761.16</v>
      </c>
      <c r="H2282" s="2">
        <f>Table1[[#This Row],[Profit]]/Table1[[#This Row],[Sales]]*100</f>
        <v>28.285395763656634</v>
      </c>
      <c r="I2282" t="str">
        <f>IF(Table1[[#This Row],[Profit %]]&gt;20,"Excellent",IF(H2282&gt;10.1,"Good","Low"))</f>
        <v>Excellent</v>
      </c>
    </row>
    <row r="2283" spans="1:9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 s="2">
        <v>990</v>
      </c>
      <c r="G2283">
        <v>102.83</v>
      </c>
      <c r="H2283" s="2">
        <f>Table1[[#This Row],[Profit]]/Table1[[#This Row],[Sales]]*100</f>
        <v>10.386868686868686</v>
      </c>
      <c r="I2283" t="str">
        <f>IF(Table1[[#This Row],[Profit %]]&gt;20,"Excellent",IF(H2283&gt;10.1,"Good","Low"))</f>
        <v>Good</v>
      </c>
    </row>
    <row r="2284" spans="1:9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 s="2">
        <v>3236</v>
      </c>
      <c r="G2284">
        <v>655.17999999999995</v>
      </c>
      <c r="H2284" s="2">
        <f>Table1[[#This Row],[Profit]]/Table1[[#This Row],[Sales]]*100</f>
        <v>20.246600741656366</v>
      </c>
      <c r="I2284" t="str">
        <f>IF(Table1[[#This Row],[Profit %]]&gt;20,"Excellent",IF(H2284&gt;10.1,"Good","Low"))</f>
        <v>Excellent</v>
      </c>
    </row>
    <row r="2285" spans="1:9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 s="2">
        <v>1076</v>
      </c>
      <c r="G2285">
        <v>124.56</v>
      </c>
      <c r="H2285" s="2">
        <f>Table1[[#This Row],[Profit]]/Table1[[#This Row],[Sales]]*100</f>
        <v>11.576208178438661</v>
      </c>
      <c r="I2285" t="str">
        <f>IF(Table1[[#This Row],[Profit %]]&gt;20,"Excellent",IF(H2285&gt;10.1,"Good","Low"))</f>
        <v>Good</v>
      </c>
    </row>
    <row r="2286" spans="1:9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 s="2">
        <v>1428</v>
      </c>
      <c r="G2286">
        <v>160.54</v>
      </c>
      <c r="H2286" s="2">
        <f>Table1[[#This Row],[Profit]]/Table1[[#This Row],[Sales]]*100</f>
        <v>11.242296918767506</v>
      </c>
      <c r="I2286" t="str">
        <f>IF(Table1[[#This Row],[Profit %]]&gt;20,"Excellent",IF(H2286&gt;10.1,"Good","Low"))</f>
        <v>Good</v>
      </c>
    </row>
    <row r="2287" spans="1:9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 s="2">
        <v>1000</v>
      </c>
      <c r="G2287">
        <v>292.04000000000002</v>
      </c>
      <c r="H2287" s="2">
        <f>Table1[[#This Row],[Profit]]/Table1[[#This Row],[Sales]]*100</f>
        <v>29.204000000000001</v>
      </c>
      <c r="I2287" t="str">
        <f>IF(Table1[[#This Row],[Profit %]]&gt;20,"Excellent",IF(H2287&gt;10.1,"Good","Low"))</f>
        <v>Excellent</v>
      </c>
    </row>
    <row r="2288" spans="1:9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 s="2">
        <v>3429</v>
      </c>
      <c r="G2288">
        <v>998.82</v>
      </c>
      <c r="H2288" s="2">
        <f>Table1[[#This Row],[Profit]]/Table1[[#This Row],[Sales]]*100</f>
        <v>29.128608923884514</v>
      </c>
      <c r="I2288" t="str">
        <f>IF(Table1[[#This Row],[Profit %]]&gt;20,"Excellent",IF(H2288&gt;10.1,"Good","Low"))</f>
        <v>Excellent</v>
      </c>
    </row>
    <row r="2289" spans="1:9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 s="2">
        <v>4730</v>
      </c>
      <c r="G2289">
        <v>1416.1</v>
      </c>
      <c r="H2289" s="2">
        <f>Table1[[#This Row],[Profit]]/Table1[[#This Row],[Sales]]*100</f>
        <v>29.938689217758984</v>
      </c>
      <c r="I2289" t="str">
        <f>IF(Table1[[#This Row],[Profit %]]&gt;20,"Excellent",IF(H2289&gt;10.1,"Good","Low"))</f>
        <v>Excellent</v>
      </c>
    </row>
    <row r="2290" spans="1:9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 s="2">
        <v>6630</v>
      </c>
      <c r="G2290">
        <v>512.6</v>
      </c>
      <c r="H2290" s="2">
        <f>Table1[[#This Row],[Profit]]/Table1[[#This Row],[Sales]]*100</f>
        <v>7.7315233785822031</v>
      </c>
      <c r="I2290" t="str">
        <f>IF(Table1[[#This Row],[Profit %]]&gt;20,"Excellent",IF(H2290&gt;10.1,"Good","Low"))</f>
        <v>Low</v>
      </c>
    </row>
    <row r="2291" spans="1:9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 s="2">
        <v>2296</v>
      </c>
      <c r="G2291">
        <v>138.93</v>
      </c>
      <c r="H2291" s="2">
        <f>Table1[[#This Row],[Profit]]/Table1[[#This Row],[Sales]]*100</f>
        <v>6.0509581881533103</v>
      </c>
      <c r="I2291" t="str">
        <f>IF(Table1[[#This Row],[Profit %]]&gt;20,"Excellent",IF(H2291&gt;10.1,"Good","Low"))</f>
        <v>Low</v>
      </c>
    </row>
    <row r="2292" spans="1:9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 s="2">
        <v>7420</v>
      </c>
      <c r="G2292">
        <v>1107.31</v>
      </c>
      <c r="H2292" s="2">
        <f>Table1[[#This Row],[Profit]]/Table1[[#This Row],[Sales]]*100</f>
        <v>14.9233153638814</v>
      </c>
      <c r="I2292" t="str">
        <f>IF(Table1[[#This Row],[Profit %]]&gt;20,"Excellent",IF(H2292&gt;10.1,"Good","Low"))</f>
        <v>Good</v>
      </c>
    </row>
    <row r="2293" spans="1:9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 s="2">
        <v>2338</v>
      </c>
      <c r="G2293">
        <v>531.5</v>
      </c>
      <c r="H2293" s="2">
        <f>Table1[[#This Row],[Profit]]/Table1[[#This Row],[Sales]]*100</f>
        <v>22.733105218135158</v>
      </c>
      <c r="I2293" t="str">
        <f>IF(Table1[[#This Row],[Profit %]]&gt;20,"Excellent",IF(H2293&gt;10.1,"Good","Low"))</f>
        <v>Excellent</v>
      </c>
    </row>
    <row r="2294" spans="1:9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 s="2">
        <v>4039</v>
      </c>
      <c r="G2294">
        <v>420.29</v>
      </c>
      <c r="H2294" s="2">
        <f>Table1[[#This Row],[Profit]]/Table1[[#This Row],[Sales]]*100</f>
        <v>10.405793513245854</v>
      </c>
      <c r="I2294" t="str">
        <f>IF(Table1[[#This Row],[Profit %]]&gt;20,"Excellent",IF(H2294&gt;10.1,"Good","Low"))</f>
        <v>Good</v>
      </c>
    </row>
    <row r="2295" spans="1:9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 s="2">
        <v>990</v>
      </c>
      <c r="G2295">
        <v>76.87</v>
      </c>
      <c r="H2295" s="2">
        <f>Table1[[#This Row],[Profit]]/Table1[[#This Row],[Sales]]*100</f>
        <v>7.7646464646464661</v>
      </c>
      <c r="I2295" t="str">
        <f>IF(Table1[[#This Row],[Profit %]]&gt;20,"Excellent",IF(H2295&gt;10.1,"Good","Low"))</f>
        <v>Low</v>
      </c>
    </row>
    <row r="2296" spans="1:9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 s="2">
        <v>733</v>
      </c>
      <c r="G2296">
        <v>54.11</v>
      </c>
      <c r="H2296" s="2">
        <f>Table1[[#This Row],[Profit]]/Table1[[#This Row],[Sales]]*100</f>
        <v>7.3819918144611183</v>
      </c>
      <c r="I2296" t="str">
        <f>IF(Table1[[#This Row],[Profit %]]&gt;20,"Excellent",IF(H2296&gt;10.1,"Good","Low"))</f>
        <v>Low</v>
      </c>
    </row>
    <row r="2297" spans="1:9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 s="2">
        <v>2421</v>
      </c>
      <c r="G2297">
        <v>334.61</v>
      </c>
      <c r="H2297" s="2">
        <f>Table1[[#This Row],[Profit]]/Table1[[#This Row],[Sales]]*100</f>
        <v>13.821148285832303</v>
      </c>
      <c r="I2297" t="str">
        <f>IF(Table1[[#This Row],[Profit %]]&gt;20,"Excellent",IF(H2297&gt;10.1,"Good","Low"))</f>
        <v>Good</v>
      </c>
    </row>
    <row r="2298" spans="1:9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 s="2">
        <v>832</v>
      </c>
      <c r="G2298">
        <v>214.81</v>
      </c>
      <c r="H2298" s="2">
        <f>Table1[[#This Row],[Profit]]/Table1[[#This Row],[Sales]]*100</f>
        <v>25.818509615384617</v>
      </c>
      <c r="I2298" t="str">
        <f>IF(Table1[[#This Row],[Profit %]]&gt;20,"Excellent",IF(H2298&gt;10.1,"Good","Low"))</f>
        <v>Excellent</v>
      </c>
    </row>
    <row r="2299" spans="1:9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 s="2">
        <v>483</v>
      </c>
      <c r="G2299">
        <v>98.15</v>
      </c>
      <c r="H2299" s="2">
        <f>Table1[[#This Row],[Profit]]/Table1[[#This Row],[Sales]]*100</f>
        <v>20.320910973084889</v>
      </c>
      <c r="I2299" t="str">
        <f>IF(Table1[[#This Row],[Profit %]]&gt;20,"Excellent",IF(H2299&gt;10.1,"Good","Low"))</f>
        <v>Excellent</v>
      </c>
    </row>
    <row r="2300" spans="1:9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 s="2">
        <v>2508</v>
      </c>
      <c r="G2300">
        <v>480.48</v>
      </c>
      <c r="H2300" s="2">
        <f>Table1[[#This Row],[Profit]]/Table1[[#This Row],[Sales]]*100</f>
        <v>19.157894736842106</v>
      </c>
      <c r="I2300" t="str">
        <f>IF(Table1[[#This Row],[Profit %]]&gt;20,"Excellent",IF(H2300&gt;10.1,"Good","Low"))</f>
        <v>Good</v>
      </c>
    </row>
    <row r="2301" spans="1:9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 s="2">
        <v>4032</v>
      </c>
      <c r="G2301">
        <v>426.13</v>
      </c>
      <c r="H2301" s="2">
        <f>Table1[[#This Row],[Profit]]/Table1[[#This Row],[Sales]]*100</f>
        <v>10.568700396825397</v>
      </c>
      <c r="I2301" t="str">
        <f>IF(Table1[[#This Row],[Profit %]]&gt;20,"Excellent",IF(H2301&gt;10.1,"Good","Low"))</f>
        <v>Good</v>
      </c>
    </row>
    <row r="2302" spans="1:9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 s="2">
        <v>3208</v>
      </c>
      <c r="G2302">
        <v>840.97</v>
      </c>
      <c r="H2302" s="2">
        <f>Table1[[#This Row],[Profit]]/Table1[[#This Row],[Sales]]*100</f>
        <v>26.214775561097259</v>
      </c>
      <c r="I2302" t="str">
        <f>IF(Table1[[#This Row],[Profit %]]&gt;20,"Excellent",IF(H2302&gt;10.1,"Good","Low"))</f>
        <v>Excellent</v>
      </c>
    </row>
    <row r="2303" spans="1:9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 s="2">
        <v>3402</v>
      </c>
      <c r="G2303">
        <v>857.61</v>
      </c>
      <c r="H2303" s="2">
        <f>Table1[[#This Row],[Profit]]/Table1[[#This Row],[Sales]]*100</f>
        <v>25.208994708994709</v>
      </c>
      <c r="I2303" t="str">
        <f>IF(Table1[[#This Row],[Profit %]]&gt;20,"Excellent",IF(H2303&gt;10.1,"Good","Low"))</f>
        <v>Excellent</v>
      </c>
    </row>
    <row r="2304" spans="1:9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 s="2">
        <v>541</v>
      </c>
      <c r="G2304">
        <v>52.5</v>
      </c>
      <c r="H2304" s="2">
        <f>Table1[[#This Row],[Profit]]/Table1[[#This Row],[Sales]]*100</f>
        <v>9.7042513863216264</v>
      </c>
      <c r="I2304" t="str">
        <f>IF(Table1[[#This Row],[Profit %]]&gt;20,"Excellent",IF(H2304&gt;10.1,"Good","Low"))</f>
        <v>Low</v>
      </c>
    </row>
    <row r="2305" spans="1:9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 s="2">
        <v>1806</v>
      </c>
      <c r="G2305">
        <v>129.6</v>
      </c>
      <c r="H2305" s="2">
        <f>Table1[[#This Row],[Profit]]/Table1[[#This Row],[Sales]]*100</f>
        <v>7.176079734219269</v>
      </c>
      <c r="I2305" t="str">
        <f>IF(Table1[[#This Row],[Profit %]]&gt;20,"Excellent",IF(H2305&gt;10.1,"Good","Low"))</f>
        <v>Low</v>
      </c>
    </row>
    <row r="2306" spans="1:9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 s="2">
        <v>2433</v>
      </c>
      <c r="G2306">
        <v>515.28</v>
      </c>
      <c r="H2306" s="2">
        <f>Table1[[#This Row],[Profit]]/Table1[[#This Row],[Sales]]*100</f>
        <v>21.178791615289764</v>
      </c>
      <c r="I2306" t="str">
        <f>IF(Table1[[#This Row],[Profit %]]&gt;20,"Excellent",IF(H2306&gt;10.1,"Good","Low"))</f>
        <v>Excellent</v>
      </c>
    </row>
    <row r="2307" spans="1:9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 s="2">
        <v>5880</v>
      </c>
      <c r="G2307">
        <v>454.19</v>
      </c>
      <c r="H2307" s="2">
        <f>Table1[[#This Row],[Profit]]/Table1[[#This Row],[Sales]]*100</f>
        <v>7.7243197278911557</v>
      </c>
      <c r="I2307" t="str">
        <f>IF(Table1[[#This Row],[Profit %]]&gt;20,"Excellent",IF(H2307&gt;10.1,"Good","Low"))</f>
        <v>Low</v>
      </c>
    </row>
    <row r="2308" spans="1:9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 s="2">
        <v>3375</v>
      </c>
      <c r="G2308">
        <v>451.5</v>
      </c>
      <c r="H2308" s="2">
        <f>Table1[[#This Row],[Profit]]/Table1[[#This Row],[Sales]]*100</f>
        <v>13.377777777777776</v>
      </c>
      <c r="I2308" t="str">
        <f>IF(Table1[[#This Row],[Profit %]]&gt;20,"Excellent",IF(H2308&gt;10.1,"Good","Low"))</f>
        <v>Good</v>
      </c>
    </row>
    <row r="2309" spans="1:9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 s="2">
        <v>6960</v>
      </c>
      <c r="G2309">
        <v>1913.58</v>
      </c>
      <c r="H2309" s="2">
        <f>Table1[[#This Row],[Profit]]/Table1[[#This Row],[Sales]]*100</f>
        <v>27.493965517241374</v>
      </c>
      <c r="I2309" t="str">
        <f>IF(Table1[[#This Row],[Profit %]]&gt;20,"Excellent",IF(H2309&gt;10.1,"Good","Low"))</f>
        <v>Excellent</v>
      </c>
    </row>
    <row r="2310" spans="1:9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 s="2">
        <v>316</v>
      </c>
      <c r="G2310">
        <v>32.79</v>
      </c>
      <c r="H2310" s="2">
        <f>Table1[[#This Row],[Profit]]/Table1[[#This Row],[Sales]]*100</f>
        <v>10.376582278481013</v>
      </c>
      <c r="I2310" t="str">
        <f>IF(Table1[[#This Row],[Profit %]]&gt;20,"Excellent",IF(H2310&gt;10.1,"Good","Low"))</f>
        <v>Good</v>
      </c>
    </row>
    <row r="2311" spans="1:9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 s="2">
        <v>1404</v>
      </c>
      <c r="G2311">
        <v>89.43</v>
      </c>
      <c r="H2311" s="2">
        <f>Table1[[#This Row],[Profit]]/Table1[[#This Row],[Sales]]*100</f>
        <v>6.3696581196581201</v>
      </c>
      <c r="I2311" t="str">
        <f>IF(Table1[[#This Row],[Profit %]]&gt;20,"Excellent",IF(H2311&gt;10.1,"Good","Low"))</f>
        <v>Low</v>
      </c>
    </row>
    <row r="2312" spans="1:9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 s="2">
        <v>5823</v>
      </c>
      <c r="G2312">
        <v>478.22</v>
      </c>
      <c r="H2312" s="2">
        <f>Table1[[#This Row],[Profit]]/Table1[[#This Row],[Sales]]*100</f>
        <v>8.2126051863300713</v>
      </c>
      <c r="I2312" t="str">
        <f>IF(Table1[[#This Row],[Profit %]]&gt;20,"Excellent",IF(H2312&gt;10.1,"Good","Low"))</f>
        <v>Low</v>
      </c>
    </row>
    <row r="2313" spans="1:9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 s="2">
        <v>2790</v>
      </c>
      <c r="G2313">
        <v>719.15</v>
      </c>
      <c r="H2313" s="2">
        <f>Table1[[#This Row],[Profit]]/Table1[[#This Row],[Sales]]*100</f>
        <v>25.775985663082434</v>
      </c>
      <c r="I2313" t="str">
        <f>IF(Table1[[#This Row],[Profit %]]&gt;20,"Excellent",IF(H2313&gt;10.1,"Good","Low"))</f>
        <v>Excellent</v>
      </c>
    </row>
    <row r="2314" spans="1:9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 s="2">
        <v>1169</v>
      </c>
      <c r="G2314">
        <v>69.41</v>
      </c>
      <c r="H2314" s="2">
        <f>Table1[[#This Row],[Profit]]/Table1[[#This Row],[Sales]]*100</f>
        <v>5.9375534644995716</v>
      </c>
      <c r="I2314" t="str">
        <f>IF(Table1[[#This Row],[Profit %]]&gt;20,"Excellent",IF(H2314&gt;10.1,"Good","Low"))</f>
        <v>Low</v>
      </c>
    </row>
    <row r="2315" spans="1:9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 s="2">
        <v>6016</v>
      </c>
      <c r="G2315">
        <v>406.13</v>
      </c>
      <c r="H2315" s="2">
        <f>Table1[[#This Row],[Profit]]/Table1[[#This Row],[Sales]]*100</f>
        <v>6.750831117021276</v>
      </c>
      <c r="I2315" t="str">
        <f>IF(Table1[[#This Row],[Profit %]]&gt;20,"Excellent",IF(H2315&gt;10.1,"Good","Low"))</f>
        <v>Low</v>
      </c>
    </row>
    <row r="2316" spans="1:9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 s="2">
        <v>7154</v>
      </c>
      <c r="G2316">
        <v>1177.51</v>
      </c>
      <c r="H2316" s="2">
        <f>Table1[[#This Row],[Profit]]/Table1[[#This Row],[Sales]]*100</f>
        <v>16.459463237349734</v>
      </c>
      <c r="I2316" t="str">
        <f>IF(Table1[[#This Row],[Profit %]]&gt;20,"Excellent",IF(H2316&gt;10.1,"Good","Low"))</f>
        <v>Good</v>
      </c>
    </row>
    <row r="2317" spans="1:9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 s="2">
        <v>370</v>
      </c>
      <c r="G2317">
        <v>102.74</v>
      </c>
      <c r="H2317" s="2">
        <f>Table1[[#This Row],[Profit]]/Table1[[#This Row],[Sales]]*100</f>
        <v>27.767567567567564</v>
      </c>
      <c r="I2317" t="str">
        <f>IF(Table1[[#This Row],[Profit %]]&gt;20,"Excellent",IF(H2317&gt;10.1,"Good","Low"))</f>
        <v>Excellent</v>
      </c>
    </row>
    <row r="2318" spans="1:9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 s="2">
        <v>430</v>
      </c>
      <c r="G2318">
        <v>113.57</v>
      </c>
      <c r="H2318" s="2">
        <f>Table1[[#This Row],[Profit]]/Table1[[#This Row],[Sales]]*100</f>
        <v>26.411627906976744</v>
      </c>
      <c r="I2318" t="str">
        <f>IF(Table1[[#This Row],[Profit %]]&gt;20,"Excellent",IF(H2318&gt;10.1,"Good","Low"))</f>
        <v>Excellent</v>
      </c>
    </row>
    <row r="2319" spans="1:9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 s="2">
        <v>946</v>
      </c>
      <c r="G2319">
        <v>280.52999999999997</v>
      </c>
      <c r="H2319" s="2">
        <f>Table1[[#This Row],[Profit]]/Table1[[#This Row],[Sales]]*100</f>
        <v>29.654334038054962</v>
      </c>
      <c r="I2319" t="str">
        <f>IF(Table1[[#This Row],[Profit %]]&gt;20,"Excellent",IF(H2319&gt;10.1,"Good","Low"))</f>
        <v>Excellent</v>
      </c>
    </row>
    <row r="2320" spans="1:9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 s="2">
        <v>984</v>
      </c>
      <c r="G2320">
        <v>73.84</v>
      </c>
      <c r="H2320" s="2">
        <f>Table1[[#This Row],[Profit]]/Table1[[#This Row],[Sales]]*100</f>
        <v>7.5040650406504064</v>
      </c>
      <c r="I2320" t="str">
        <f>IF(Table1[[#This Row],[Profit %]]&gt;20,"Excellent",IF(H2320&gt;10.1,"Good","Low"))</f>
        <v>Low</v>
      </c>
    </row>
    <row r="2321" spans="1:9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 s="2">
        <v>1467</v>
      </c>
      <c r="G2321">
        <v>372.17</v>
      </c>
      <c r="H2321" s="2">
        <f>Table1[[#This Row],[Profit]]/Table1[[#This Row],[Sales]]*100</f>
        <v>25.369461486025902</v>
      </c>
      <c r="I2321" t="str">
        <f>IF(Table1[[#This Row],[Profit %]]&gt;20,"Excellent",IF(H2321&gt;10.1,"Good","Low"))</f>
        <v>Excellent</v>
      </c>
    </row>
    <row r="2322" spans="1:9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 s="2">
        <v>2444</v>
      </c>
      <c r="G2322">
        <v>155.41999999999999</v>
      </c>
      <c r="H2322" s="2">
        <f>Table1[[#This Row],[Profit]]/Table1[[#This Row],[Sales]]*100</f>
        <v>6.3592471358428799</v>
      </c>
      <c r="I2322" t="str">
        <f>IF(Table1[[#This Row],[Profit %]]&gt;20,"Excellent",IF(H2322&gt;10.1,"Good","Low"))</f>
        <v>Low</v>
      </c>
    </row>
    <row r="2323" spans="1:9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 s="2">
        <v>8640</v>
      </c>
      <c r="G2323">
        <v>1254.3</v>
      </c>
      <c r="H2323" s="2">
        <f>Table1[[#This Row],[Profit]]/Table1[[#This Row],[Sales]]*100</f>
        <v>14.517361111111111</v>
      </c>
      <c r="I2323" t="str">
        <f>IF(Table1[[#This Row],[Profit %]]&gt;20,"Excellent",IF(H2323&gt;10.1,"Good","Low"))</f>
        <v>Good</v>
      </c>
    </row>
    <row r="2324" spans="1:9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 s="2">
        <v>3861</v>
      </c>
      <c r="G2324">
        <v>536.04</v>
      </c>
      <c r="H2324" s="2">
        <f>Table1[[#This Row],[Profit]]/Table1[[#This Row],[Sales]]*100</f>
        <v>13.883449883449883</v>
      </c>
      <c r="I2324" t="str">
        <f>IF(Table1[[#This Row],[Profit %]]&gt;20,"Excellent",IF(H2324&gt;10.1,"Good","Low"))</f>
        <v>Good</v>
      </c>
    </row>
    <row r="2325" spans="1:9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 s="2">
        <v>868</v>
      </c>
      <c r="G2325">
        <v>60.12</v>
      </c>
      <c r="H2325" s="2">
        <f>Table1[[#This Row],[Profit]]/Table1[[#This Row],[Sales]]*100</f>
        <v>6.9262672811059911</v>
      </c>
      <c r="I2325" t="str">
        <f>IF(Table1[[#This Row],[Profit %]]&gt;20,"Excellent",IF(H2325&gt;10.1,"Good","Low"))</f>
        <v>Low</v>
      </c>
    </row>
    <row r="2326" spans="1:9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 s="2">
        <v>1746</v>
      </c>
      <c r="G2326">
        <v>260.5</v>
      </c>
      <c r="H2326" s="2">
        <f>Table1[[#This Row],[Profit]]/Table1[[#This Row],[Sales]]*100</f>
        <v>14.919816723940436</v>
      </c>
      <c r="I2326" t="str">
        <f>IF(Table1[[#This Row],[Profit %]]&gt;20,"Excellent",IF(H2326&gt;10.1,"Good","Low"))</f>
        <v>Good</v>
      </c>
    </row>
    <row r="2327" spans="1:9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 s="2">
        <v>915</v>
      </c>
      <c r="G2327">
        <v>129.08000000000001</v>
      </c>
      <c r="H2327" s="2">
        <f>Table1[[#This Row],[Profit]]/Table1[[#This Row],[Sales]]*100</f>
        <v>14.107103825136614</v>
      </c>
      <c r="I2327" t="str">
        <f>IF(Table1[[#This Row],[Profit %]]&gt;20,"Excellent",IF(H2327&gt;10.1,"Good","Low"))</f>
        <v>Good</v>
      </c>
    </row>
    <row r="2328" spans="1:9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 s="2">
        <v>3591</v>
      </c>
      <c r="G2328">
        <v>423</v>
      </c>
      <c r="H2328" s="2">
        <f>Table1[[#This Row],[Profit]]/Table1[[#This Row],[Sales]]*100</f>
        <v>11.779448621553884</v>
      </c>
      <c r="I2328" t="str">
        <f>IF(Table1[[#This Row],[Profit %]]&gt;20,"Excellent",IF(H2328&gt;10.1,"Good","Low"))</f>
        <v>Good</v>
      </c>
    </row>
    <row r="2329" spans="1:9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 s="2">
        <v>2562</v>
      </c>
      <c r="G2329">
        <v>612.36</v>
      </c>
      <c r="H2329" s="2">
        <f>Table1[[#This Row],[Profit]]/Table1[[#This Row],[Sales]]*100</f>
        <v>23.901639344262296</v>
      </c>
      <c r="I2329" t="str">
        <f>IF(Table1[[#This Row],[Profit %]]&gt;20,"Excellent",IF(H2329&gt;10.1,"Good","Low"))</f>
        <v>Excellent</v>
      </c>
    </row>
    <row r="2330" spans="1:9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 s="2">
        <v>5382</v>
      </c>
      <c r="G2330">
        <v>1037.04</v>
      </c>
      <c r="H2330" s="2">
        <f>Table1[[#This Row],[Profit]]/Table1[[#This Row],[Sales]]*100</f>
        <v>19.268673355629875</v>
      </c>
      <c r="I2330" t="str">
        <f>IF(Table1[[#This Row],[Profit %]]&gt;20,"Excellent",IF(H2330&gt;10.1,"Good","Low"))</f>
        <v>Good</v>
      </c>
    </row>
    <row r="2331" spans="1:9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 s="2">
        <v>2792</v>
      </c>
      <c r="G2331">
        <v>170.96</v>
      </c>
      <c r="H2331" s="2">
        <f>Table1[[#This Row],[Profit]]/Table1[[#This Row],[Sales]]*100</f>
        <v>6.1232091690544417</v>
      </c>
      <c r="I2331" t="str">
        <f>IF(Table1[[#This Row],[Profit %]]&gt;20,"Excellent",IF(H2331&gt;10.1,"Good","Low"))</f>
        <v>Low</v>
      </c>
    </row>
    <row r="2332" spans="1:9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 s="2">
        <v>2160</v>
      </c>
      <c r="G2332">
        <v>631.9</v>
      </c>
      <c r="H2332" s="2">
        <f>Table1[[#This Row],[Profit]]/Table1[[#This Row],[Sales]]*100</f>
        <v>29.25462962962963</v>
      </c>
      <c r="I2332" t="str">
        <f>IF(Table1[[#This Row],[Profit %]]&gt;20,"Excellent",IF(H2332&gt;10.1,"Good","Low"))</f>
        <v>Excellent</v>
      </c>
    </row>
    <row r="2333" spans="1:9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 s="2">
        <v>6377</v>
      </c>
      <c r="G2333">
        <v>1332.86</v>
      </c>
      <c r="H2333" s="2">
        <f>Table1[[#This Row],[Profit]]/Table1[[#This Row],[Sales]]*100</f>
        <v>20.901050650776227</v>
      </c>
      <c r="I2333" t="str">
        <f>IF(Table1[[#This Row],[Profit %]]&gt;20,"Excellent",IF(H2333&gt;10.1,"Good","Low"))</f>
        <v>Excellent</v>
      </c>
    </row>
    <row r="2334" spans="1:9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 s="2">
        <v>5264</v>
      </c>
      <c r="G2334">
        <v>1051.5</v>
      </c>
      <c r="H2334" s="2">
        <f>Table1[[#This Row],[Profit]]/Table1[[#This Row],[Sales]]*100</f>
        <v>19.975303951367781</v>
      </c>
      <c r="I2334" t="str">
        <f>IF(Table1[[#This Row],[Profit %]]&gt;20,"Excellent",IF(H2334&gt;10.1,"Good","Low"))</f>
        <v>Good</v>
      </c>
    </row>
    <row r="2335" spans="1:9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 s="2">
        <v>1346</v>
      </c>
      <c r="G2335">
        <v>196.5</v>
      </c>
      <c r="H2335" s="2">
        <f>Table1[[#This Row],[Profit]]/Table1[[#This Row],[Sales]]*100</f>
        <v>14.598811292719169</v>
      </c>
      <c r="I2335" t="str">
        <f>IF(Table1[[#This Row],[Profit %]]&gt;20,"Excellent",IF(H2335&gt;10.1,"Good","Low"))</f>
        <v>Good</v>
      </c>
    </row>
    <row r="2336" spans="1:9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 s="2">
        <v>7301</v>
      </c>
      <c r="G2336">
        <v>1311.65</v>
      </c>
      <c r="H2336" s="2">
        <f>Table1[[#This Row],[Profit]]/Table1[[#This Row],[Sales]]*100</f>
        <v>17.96534721271059</v>
      </c>
      <c r="I2336" t="str">
        <f>IF(Table1[[#This Row],[Profit %]]&gt;20,"Excellent",IF(H2336&gt;10.1,"Good","Low"))</f>
        <v>Good</v>
      </c>
    </row>
    <row r="2337" spans="1:9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 s="2">
        <v>2016</v>
      </c>
      <c r="G2337">
        <v>198.26</v>
      </c>
      <c r="H2337" s="2">
        <f>Table1[[#This Row],[Profit]]/Table1[[#This Row],[Sales]]*100</f>
        <v>9.8343253968253972</v>
      </c>
      <c r="I2337" t="str">
        <f>IF(Table1[[#This Row],[Profit %]]&gt;20,"Excellent",IF(H2337&gt;10.1,"Good","Low"))</f>
        <v>Low</v>
      </c>
    </row>
    <row r="2338" spans="1:9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 s="2">
        <v>1266</v>
      </c>
      <c r="G2338">
        <v>220.5</v>
      </c>
      <c r="H2338" s="2">
        <f>Table1[[#This Row],[Profit]]/Table1[[#This Row],[Sales]]*100</f>
        <v>17.417061611374407</v>
      </c>
      <c r="I2338" t="str">
        <f>IF(Table1[[#This Row],[Profit %]]&gt;20,"Excellent",IF(H2338&gt;10.1,"Good","Low"))</f>
        <v>Good</v>
      </c>
    </row>
    <row r="2339" spans="1:9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 s="2">
        <v>140</v>
      </c>
      <c r="G2339">
        <v>35.18</v>
      </c>
      <c r="H2339" s="2">
        <f>Table1[[#This Row],[Profit]]/Table1[[#This Row],[Sales]]*100</f>
        <v>25.128571428571426</v>
      </c>
      <c r="I2339" t="str">
        <f>IF(Table1[[#This Row],[Profit %]]&gt;20,"Excellent",IF(H2339&gt;10.1,"Good","Low"))</f>
        <v>Excellent</v>
      </c>
    </row>
    <row r="2340" spans="1:9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 s="2">
        <v>6520</v>
      </c>
      <c r="G2340">
        <v>1073.6199999999999</v>
      </c>
      <c r="H2340" s="2">
        <f>Table1[[#This Row],[Profit]]/Table1[[#This Row],[Sales]]*100</f>
        <v>16.466564417177914</v>
      </c>
      <c r="I2340" t="str">
        <f>IF(Table1[[#This Row],[Profit %]]&gt;20,"Excellent",IF(H2340&gt;10.1,"Good","Low"))</f>
        <v>Good</v>
      </c>
    </row>
    <row r="2341" spans="1:9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 s="2">
        <v>582</v>
      </c>
      <c r="G2341">
        <v>29.91</v>
      </c>
      <c r="H2341" s="2">
        <f>Table1[[#This Row],[Profit]]/Table1[[#This Row],[Sales]]*100</f>
        <v>5.1391752577319583</v>
      </c>
      <c r="I2341" t="str">
        <f>IF(Table1[[#This Row],[Profit %]]&gt;20,"Excellent",IF(H2341&gt;10.1,"Good","Low"))</f>
        <v>Low</v>
      </c>
    </row>
    <row r="2342" spans="1:9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 s="2">
        <v>245</v>
      </c>
      <c r="G2342">
        <v>14.5</v>
      </c>
      <c r="H2342" s="2">
        <f>Table1[[#This Row],[Profit]]/Table1[[#This Row],[Sales]]*100</f>
        <v>5.9183673469387754</v>
      </c>
      <c r="I2342" t="str">
        <f>IF(Table1[[#This Row],[Profit %]]&gt;20,"Excellent",IF(H2342&gt;10.1,"Good","Low"))</f>
        <v>Low</v>
      </c>
    </row>
    <row r="2343" spans="1:9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 s="2">
        <v>504</v>
      </c>
      <c r="G2343">
        <v>143.12</v>
      </c>
      <c r="H2343" s="2">
        <f>Table1[[#This Row],[Profit]]/Table1[[#This Row],[Sales]]*100</f>
        <v>28.396825396825399</v>
      </c>
      <c r="I2343" t="str">
        <f>IF(Table1[[#This Row],[Profit %]]&gt;20,"Excellent",IF(H2343&gt;10.1,"Good","Low"))</f>
        <v>Excellent</v>
      </c>
    </row>
    <row r="2344" spans="1:9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 s="2">
        <v>6834</v>
      </c>
      <c r="G2344">
        <v>1211.75</v>
      </c>
      <c r="H2344" s="2">
        <f>Table1[[#This Row],[Profit]]/Table1[[#This Row],[Sales]]*100</f>
        <v>17.731196956394498</v>
      </c>
      <c r="I2344" t="str">
        <f>IF(Table1[[#This Row],[Profit %]]&gt;20,"Excellent",IF(H2344&gt;10.1,"Good","Low"))</f>
        <v>Good</v>
      </c>
    </row>
    <row r="2345" spans="1:9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 s="2">
        <v>5712</v>
      </c>
      <c r="G2345">
        <v>1191.02</v>
      </c>
      <c r="H2345" s="2">
        <f>Table1[[#This Row],[Profit]]/Table1[[#This Row],[Sales]]*100</f>
        <v>20.851190476190474</v>
      </c>
      <c r="I2345" t="str">
        <f>IF(Table1[[#This Row],[Profit %]]&gt;20,"Excellent",IF(H2345&gt;10.1,"Good","Low"))</f>
        <v>Excellent</v>
      </c>
    </row>
    <row r="2346" spans="1:9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 s="2">
        <v>4485</v>
      </c>
      <c r="G2346">
        <v>347.99</v>
      </c>
      <c r="H2346" s="2">
        <f>Table1[[#This Row],[Profit]]/Table1[[#This Row],[Sales]]*100</f>
        <v>7.7589743589743589</v>
      </c>
      <c r="I2346" t="str">
        <f>IF(Table1[[#This Row],[Profit %]]&gt;20,"Excellent",IF(H2346&gt;10.1,"Good","Low"))</f>
        <v>Low</v>
      </c>
    </row>
    <row r="2347" spans="1:9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 s="2">
        <v>2304</v>
      </c>
      <c r="G2347">
        <v>291.45999999999998</v>
      </c>
      <c r="H2347" s="2">
        <f>Table1[[#This Row],[Profit]]/Table1[[#This Row],[Sales]]*100</f>
        <v>12.650173611111109</v>
      </c>
      <c r="I2347" t="str">
        <f>IF(Table1[[#This Row],[Profit %]]&gt;20,"Excellent",IF(H2347&gt;10.1,"Good","Low"))</f>
        <v>Good</v>
      </c>
    </row>
    <row r="2348" spans="1:9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 s="2">
        <v>6576</v>
      </c>
      <c r="G2348">
        <v>815.56</v>
      </c>
      <c r="H2348" s="2">
        <f>Table1[[#This Row],[Profit]]/Table1[[#This Row],[Sales]]*100</f>
        <v>12.40206812652068</v>
      </c>
      <c r="I2348" t="str">
        <f>IF(Table1[[#This Row],[Profit %]]&gt;20,"Excellent",IF(H2348&gt;10.1,"Good","Low"))</f>
        <v>Good</v>
      </c>
    </row>
    <row r="2349" spans="1:9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 s="2">
        <v>10629</v>
      </c>
      <c r="G2349">
        <v>2843.54</v>
      </c>
      <c r="H2349" s="2">
        <f>Table1[[#This Row],[Profit]]/Table1[[#This Row],[Sales]]*100</f>
        <v>26.752657822937248</v>
      </c>
      <c r="I2349" t="str">
        <f>IF(Table1[[#This Row],[Profit %]]&gt;20,"Excellent",IF(H2349&gt;10.1,"Good","Low"))</f>
        <v>Excellent</v>
      </c>
    </row>
    <row r="2350" spans="1:9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 s="2">
        <v>706</v>
      </c>
      <c r="G2350">
        <v>153.59</v>
      </c>
      <c r="H2350" s="2">
        <f>Table1[[#This Row],[Profit]]/Table1[[#This Row],[Sales]]*100</f>
        <v>21.754957507082153</v>
      </c>
      <c r="I2350" t="str">
        <f>IF(Table1[[#This Row],[Profit %]]&gt;20,"Excellent",IF(H2350&gt;10.1,"Good","Low"))</f>
        <v>Excellent</v>
      </c>
    </row>
    <row r="2351" spans="1:9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 s="2">
        <v>977</v>
      </c>
      <c r="G2351">
        <v>103.82</v>
      </c>
      <c r="H2351" s="2">
        <f>Table1[[#This Row],[Profit]]/Table1[[#This Row],[Sales]]*100</f>
        <v>10.626407369498464</v>
      </c>
      <c r="I2351" t="str">
        <f>IF(Table1[[#This Row],[Profit %]]&gt;20,"Excellent",IF(H2351&gt;10.1,"Good","Low"))</f>
        <v>Good</v>
      </c>
    </row>
    <row r="2352" spans="1:9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 s="2">
        <v>776</v>
      </c>
      <c r="G2352">
        <v>73.16</v>
      </c>
      <c r="H2352" s="2">
        <f>Table1[[#This Row],[Profit]]/Table1[[#This Row],[Sales]]*100</f>
        <v>9.427835051546392</v>
      </c>
      <c r="I2352" t="str">
        <f>IF(Table1[[#This Row],[Profit %]]&gt;20,"Excellent",IF(H2352&gt;10.1,"Good","Low"))</f>
        <v>Low</v>
      </c>
    </row>
    <row r="2353" spans="1:9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 s="2">
        <v>3932</v>
      </c>
      <c r="G2353">
        <v>309.43</v>
      </c>
      <c r="H2353" s="2">
        <f>Table1[[#This Row],[Profit]]/Table1[[#This Row],[Sales]]*100</f>
        <v>7.8695320447609367</v>
      </c>
      <c r="I2353" t="str">
        <f>IF(Table1[[#This Row],[Profit %]]&gt;20,"Excellent",IF(H2353&gt;10.1,"Good","Low"))</f>
        <v>Low</v>
      </c>
    </row>
    <row r="2354" spans="1:9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 s="2">
        <v>1263</v>
      </c>
      <c r="G2354">
        <v>368.46</v>
      </c>
      <c r="H2354" s="2">
        <f>Table1[[#This Row],[Profit]]/Table1[[#This Row],[Sales]]*100</f>
        <v>29.173396674584325</v>
      </c>
      <c r="I2354" t="str">
        <f>IF(Table1[[#This Row],[Profit %]]&gt;20,"Excellent",IF(H2354&gt;10.1,"Good","Low"))</f>
        <v>Excellent</v>
      </c>
    </row>
    <row r="2355" spans="1:9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 s="2">
        <v>7064</v>
      </c>
      <c r="G2355">
        <v>745.24</v>
      </c>
      <c r="H2355" s="2">
        <f>Table1[[#This Row],[Profit]]/Table1[[#This Row],[Sales]]*100</f>
        <v>10.549830124575312</v>
      </c>
      <c r="I2355" t="str">
        <f>IF(Table1[[#This Row],[Profit %]]&gt;20,"Excellent",IF(H2355&gt;10.1,"Good","Low"))</f>
        <v>Good</v>
      </c>
    </row>
    <row r="2356" spans="1:9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 s="2">
        <v>4740</v>
      </c>
      <c r="G2356">
        <v>746.77</v>
      </c>
      <c r="H2356" s="2">
        <f>Table1[[#This Row],[Profit]]/Table1[[#This Row],[Sales]]*100</f>
        <v>15.754641350210971</v>
      </c>
      <c r="I2356" t="str">
        <f>IF(Table1[[#This Row],[Profit %]]&gt;20,"Excellent",IF(H2356&gt;10.1,"Good","Low"))</f>
        <v>Good</v>
      </c>
    </row>
    <row r="2357" spans="1:9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 s="2">
        <v>4522</v>
      </c>
      <c r="G2357">
        <v>1137.23</v>
      </c>
      <c r="H2357" s="2">
        <f>Table1[[#This Row],[Profit]]/Table1[[#This Row],[Sales]]*100</f>
        <v>25.148827952233528</v>
      </c>
      <c r="I2357" t="str">
        <f>IF(Table1[[#This Row],[Profit %]]&gt;20,"Excellent",IF(H2357&gt;10.1,"Good","Low"))</f>
        <v>Excellent</v>
      </c>
    </row>
    <row r="2358" spans="1:9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 s="2">
        <v>2009</v>
      </c>
      <c r="G2358">
        <v>183.19</v>
      </c>
      <c r="H2358" s="2">
        <f>Table1[[#This Row],[Profit]]/Table1[[#This Row],[Sales]]*100</f>
        <v>9.1184668989547042</v>
      </c>
      <c r="I2358" t="str">
        <f>IF(Table1[[#This Row],[Profit %]]&gt;20,"Excellent",IF(H2358&gt;10.1,"Good","Low"))</f>
        <v>Low</v>
      </c>
    </row>
    <row r="2359" spans="1:9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 s="2">
        <v>2110</v>
      </c>
      <c r="G2359">
        <v>548.12</v>
      </c>
      <c r="H2359" s="2">
        <f>Table1[[#This Row],[Profit]]/Table1[[#This Row],[Sales]]*100</f>
        <v>25.97725118483412</v>
      </c>
      <c r="I2359" t="str">
        <f>IF(Table1[[#This Row],[Profit %]]&gt;20,"Excellent",IF(H2359&gt;10.1,"Good","Low"))</f>
        <v>Excellent</v>
      </c>
    </row>
    <row r="2360" spans="1:9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 s="2">
        <v>95</v>
      </c>
      <c r="G2360">
        <v>6.97</v>
      </c>
      <c r="H2360" s="2">
        <f>Table1[[#This Row],[Profit]]/Table1[[#This Row],[Sales]]*100</f>
        <v>7.3368421052631581</v>
      </c>
      <c r="I2360" t="str">
        <f>IF(Table1[[#This Row],[Profit %]]&gt;20,"Excellent",IF(H2360&gt;10.1,"Good","Low"))</f>
        <v>Low</v>
      </c>
    </row>
    <row r="2361" spans="1:9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 s="2">
        <v>384</v>
      </c>
      <c r="G2361">
        <v>83.58</v>
      </c>
      <c r="H2361" s="2">
        <f>Table1[[#This Row],[Profit]]/Table1[[#This Row],[Sales]]*100</f>
        <v>21.765625</v>
      </c>
      <c r="I2361" t="str">
        <f>IF(Table1[[#This Row],[Profit %]]&gt;20,"Excellent",IF(H2361&gt;10.1,"Good","Low"))</f>
        <v>Excellent</v>
      </c>
    </row>
    <row r="2362" spans="1:9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 s="2">
        <v>3471</v>
      </c>
      <c r="G2362">
        <v>200.08</v>
      </c>
      <c r="H2362" s="2">
        <f>Table1[[#This Row],[Profit]]/Table1[[#This Row],[Sales]]*100</f>
        <v>5.7643330452319219</v>
      </c>
      <c r="I2362" t="str">
        <f>IF(Table1[[#This Row],[Profit %]]&gt;20,"Excellent",IF(H2362&gt;10.1,"Good","Low"))</f>
        <v>Low</v>
      </c>
    </row>
    <row r="2363" spans="1:9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 s="2">
        <v>2048</v>
      </c>
      <c r="G2363">
        <v>507.01</v>
      </c>
      <c r="H2363" s="2">
        <f>Table1[[#This Row],[Profit]]/Table1[[#This Row],[Sales]]*100</f>
        <v>24.75634765625</v>
      </c>
      <c r="I2363" t="str">
        <f>IF(Table1[[#This Row],[Profit %]]&gt;20,"Excellent",IF(H2363&gt;10.1,"Good","Low"))</f>
        <v>Excellent</v>
      </c>
    </row>
    <row r="2364" spans="1:9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 s="2">
        <v>9296</v>
      </c>
      <c r="G2364">
        <v>2581.06</v>
      </c>
      <c r="H2364" s="2">
        <f>Table1[[#This Row],[Profit]]/Table1[[#This Row],[Sales]]*100</f>
        <v>27.765275387263337</v>
      </c>
      <c r="I2364" t="str">
        <f>IF(Table1[[#This Row],[Profit %]]&gt;20,"Excellent",IF(H2364&gt;10.1,"Good","Low"))</f>
        <v>Excellent</v>
      </c>
    </row>
    <row r="2365" spans="1:9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 s="2">
        <v>5272</v>
      </c>
      <c r="G2365">
        <v>1188.1600000000001</v>
      </c>
      <c r="H2365" s="2">
        <f>Table1[[#This Row],[Profit]]/Table1[[#This Row],[Sales]]*100</f>
        <v>22.537177541729893</v>
      </c>
      <c r="I2365" t="str">
        <f>IF(Table1[[#This Row],[Profit %]]&gt;20,"Excellent",IF(H2365&gt;10.1,"Good","Low"))</f>
        <v>Excellent</v>
      </c>
    </row>
    <row r="2366" spans="1:9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 s="2">
        <v>619</v>
      </c>
      <c r="G2366">
        <v>127.58</v>
      </c>
      <c r="H2366" s="2">
        <f>Table1[[#This Row],[Profit]]/Table1[[#This Row],[Sales]]*100</f>
        <v>20.610662358642973</v>
      </c>
      <c r="I2366" t="str">
        <f>IF(Table1[[#This Row],[Profit %]]&gt;20,"Excellent",IF(H2366&gt;10.1,"Good","Low"))</f>
        <v>Excellent</v>
      </c>
    </row>
    <row r="2367" spans="1:9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 s="2">
        <v>448</v>
      </c>
      <c r="G2367">
        <v>53.2</v>
      </c>
      <c r="H2367" s="2">
        <f>Table1[[#This Row],[Profit]]/Table1[[#This Row],[Sales]]*100</f>
        <v>11.875</v>
      </c>
      <c r="I2367" t="str">
        <f>IF(Table1[[#This Row],[Profit %]]&gt;20,"Excellent",IF(H2367&gt;10.1,"Good","Low"))</f>
        <v>Good</v>
      </c>
    </row>
    <row r="2368" spans="1:9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 s="2">
        <v>5004</v>
      </c>
      <c r="G2368">
        <v>1313.13</v>
      </c>
      <c r="H2368" s="2">
        <f>Table1[[#This Row],[Profit]]/Table1[[#This Row],[Sales]]*100</f>
        <v>26.241606714628301</v>
      </c>
      <c r="I2368" t="str">
        <f>IF(Table1[[#This Row],[Profit %]]&gt;20,"Excellent",IF(H2368&gt;10.1,"Good","Low"))</f>
        <v>Excellent</v>
      </c>
    </row>
    <row r="2369" spans="1:9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 s="2">
        <v>4716</v>
      </c>
      <c r="G2369">
        <v>704.99</v>
      </c>
      <c r="H2369" s="2">
        <f>Table1[[#This Row],[Profit]]/Table1[[#This Row],[Sales]]*100</f>
        <v>14.948897370653096</v>
      </c>
      <c r="I2369" t="str">
        <f>IF(Table1[[#This Row],[Profit %]]&gt;20,"Excellent",IF(H2369&gt;10.1,"Good","Low"))</f>
        <v>Good</v>
      </c>
    </row>
    <row r="2370" spans="1:9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 s="2">
        <v>7506</v>
      </c>
      <c r="G2370">
        <v>827.17</v>
      </c>
      <c r="H2370" s="2">
        <f>Table1[[#This Row],[Profit]]/Table1[[#This Row],[Sales]]*100</f>
        <v>11.020117239541699</v>
      </c>
      <c r="I2370" t="str">
        <f>IF(Table1[[#This Row],[Profit %]]&gt;20,"Excellent",IF(H2370&gt;10.1,"Good","Low"))</f>
        <v>Good</v>
      </c>
    </row>
    <row r="2371" spans="1:9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 s="2">
        <v>4095</v>
      </c>
      <c r="G2371">
        <v>883.56</v>
      </c>
      <c r="H2371" s="2">
        <f>Table1[[#This Row],[Profit]]/Table1[[#This Row],[Sales]]*100</f>
        <v>21.576556776556775</v>
      </c>
      <c r="I2371" t="str">
        <f>IF(Table1[[#This Row],[Profit %]]&gt;20,"Excellent",IF(H2371&gt;10.1,"Good","Low"))</f>
        <v>Excellent</v>
      </c>
    </row>
    <row r="2372" spans="1:9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 s="2">
        <v>4459</v>
      </c>
      <c r="G2372">
        <v>1037.27</v>
      </c>
      <c r="H2372" s="2">
        <f>Table1[[#This Row],[Profit]]/Table1[[#This Row],[Sales]]*100</f>
        <v>23.262390670553938</v>
      </c>
      <c r="I2372" t="str">
        <f>IF(Table1[[#This Row],[Profit %]]&gt;20,"Excellent",IF(H2372&gt;10.1,"Good","Low"))</f>
        <v>Excellent</v>
      </c>
    </row>
    <row r="2373" spans="1:9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 s="2">
        <v>620</v>
      </c>
      <c r="G2373">
        <v>62.49</v>
      </c>
      <c r="H2373" s="2">
        <f>Table1[[#This Row],[Profit]]/Table1[[#This Row],[Sales]]*100</f>
        <v>10.079032258064515</v>
      </c>
      <c r="I2373" t="str">
        <f>IF(Table1[[#This Row],[Profit %]]&gt;20,"Excellent",IF(H2373&gt;10.1,"Good","Low"))</f>
        <v>Low</v>
      </c>
    </row>
    <row r="2374" spans="1:9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 s="2">
        <v>2362</v>
      </c>
      <c r="G2374">
        <v>185.89</v>
      </c>
      <c r="H2374" s="2">
        <f>Table1[[#This Row],[Profit]]/Table1[[#This Row],[Sales]]*100</f>
        <v>7.8700254022015237</v>
      </c>
      <c r="I2374" t="str">
        <f>IF(Table1[[#This Row],[Profit %]]&gt;20,"Excellent",IF(H2374&gt;10.1,"Good","Low"))</f>
        <v>Low</v>
      </c>
    </row>
    <row r="2375" spans="1:9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 s="2">
        <v>606</v>
      </c>
      <c r="G2375">
        <v>154.99</v>
      </c>
      <c r="H2375" s="2">
        <f>Table1[[#This Row],[Profit]]/Table1[[#This Row],[Sales]]*100</f>
        <v>25.57590759075908</v>
      </c>
      <c r="I2375" t="str">
        <f>IF(Table1[[#This Row],[Profit %]]&gt;20,"Excellent",IF(H2375&gt;10.1,"Good","Low"))</f>
        <v>Excellent</v>
      </c>
    </row>
    <row r="2376" spans="1:9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 s="2">
        <v>1084</v>
      </c>
      <c r="G2376">
        <v>134.41999999999999</v>
      </c>
      <c r="H2376" s="2">
        <f>Table1[[#This Row],[Profit]]/Table1[[#This Row],[Sales]]*100</f>
        <v>12.400369003690036</v>
      </c>
      <c r="I2376" t="str">
        <f>IF(Table1[[#This Row],[Profit %]]&gt;20,"Excellent",IF(H2376&gt;10.1,"Good","Low"))</f>
        <v>Good</v>
      </c>
    </row>
    <row r="2377" spans="1:9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 s="2">
        <v>2880</v>
      </c>
      <c r="G2377">
        <v>315.87</v>
      </c>
      <c r="H2377" s="2">
        <f>Table1[[#This Row],[Profit]]/Table1[[#This Row],[Sales]]*100</f>
        <v>10.967708333333334</v>
      </c>
      <c r="I2377" t="str">
        <f>IF(Table1[[#This Row],[Profit %]]&gt;20,"Excellent",IF(H2377&gt;10.1,"Good","Low"))</f>
        <v>Good</v>
      </c>
    </row>
    <row r="2378" spans="1:9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 s="2">
        <v>4544</v>
      </c>
      <c r="G2378">
        <v>727.05</v>
      </c>
      <c r="H2378" s="2">
        <f>Table1[[#This Row],[Profit]]/Table1[[#This Row],[Sales]]*100</f>
        <v>16.000220070422536</v>
      </c>
      <c r="I2378" t="str">
        <f>IF(Table1[[#This Row],[Profit %]]&gt;20,"Excellent",IF(H2378&gt;10.1,"Good","Low"))</f>
        <v>Good</v>
      </c>
    </row>
    <row r="2379" spans="1:9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 s="2">
        <v>556</v>
      </c>
      <c r="G2379">
        <v>85.63</v>
      </c>
      <c r="H2379" s="2">
        <f>Table1[[#This Row],[Profit]]/Table1[[#This Row],[Sales]]*100</f>
        <v>15.401079136690646</v>
      </c>
      <c r="I2379" t="str">
        <f>IF(Table1[[#This Row],[Profit %]]&gt;20,"Excellent",IF(H2379&gt;10.1,"Good","Low"))</f>
        <v>Good</v>
      </c>
    </row>
    <row r="2380" spans="1:9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 s="2">
        <v>505</v>
      </c>
      <c r="G2380">
        <v>71.97</v>
      </c>
      <c r="H2380" s="2">
        <f>Table1[[#This Row],[Profit]]/Table1[[#This Row],[Sales]]*100</f>
        <v>14.251485148514851</v>
      </c>
      <c r="I2380" t="str">
        <f>IF(Table1[[#This Row],[Profit %]]&gt;20,"Excellent",IF(H2380&gt;10.1,"Good","Low"))</f>
        <v>Good</v>
      </c>
    </row>
    <row r="2381" spans="1:9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 s="2">
        <v>2595</v>
      </c>
      <c r="G2381">
        <v>774.2</v>
      </c>
      <c r="H2381" s="2">
        <f>Table1[[#This Row],[Profit]]/Table1[[#This Row],[Sales]]*100</f>
        <v>29.834296724470139</v>
      </c>
      <c r="I2381" t="str">
        <f>IF(Table1[[#This Row],[Profit %]]&gt;20,"Excellent",IF(H2381&gt;10.1,"Good","Low"))</f>
        <v>Excellent</v>
      </c>
    </row>
    <row r="2382" spans="1:9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 s="2">
        <v>2820</v>
      </c>
      <c r="G2382">
        <v>737.68</v>
      </c>
      <c r="H2382" s="2">
        <f>Table1[[#This Row],[Profit]]/Table1[[#This Row],[Sales]]*100</f>
        <v>26.158865248226949</v>
      </c>
      <c r="I2382" t="str">
        <f>IF(Table1[[#This Row],[Profit %]]&gt;20,"Excellent",IF(H2382&gt;10.1,"Good","Low"))</f>
        <v>Excellent</v>
      </c>
    </row>
    <row r="2383" spans="1:9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 s="2">
        <v>1018</v>
      </c>
      <c r="G2383">
        <v>297.20999999999998</v>
      </c>
      <c r="H2383" s="2">
        <f>Table1[[#This Row],[Profit]]/Table1[[#This Row],[Sales]]*100</f>
        <v>29.195481335952845</v>
      </c>
      <c r="I2383" t="str">
        <f>IF(Table1[[#This Row],[Profit %]]&gt;20,"Excellent",IF(H2383&gt;10.1,"Good","Low"))</f>
        <v>Excellent</v>
      </c>
    </row>
    <row r="2384" spans="1:9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 s="2">
        <v>944</v>
      </c>
      <c r="G2384">
        <v>176.56</v>
      </c>
      <c r="H2384" s="2">
        <f>Table1[[#This Row],[Profit]]/Table1[[#This Row],[Sales]]*100</f>
        <v>18.703389830508474</v>
      </c>
      <c r="I2384" t="str">
        <f>IF(Table1[[#This Row],[Profit %]]&gt;20,"Excellent",IF(H2384&gt;10.1,"Good","Low"))</f>
        <v>Good</v>
      </c>
    </row>
    <row r="2385" spans="1:9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 s="2">
        <v>610</v>
      </c>
      <c r="G2385">
        <v>44.99</v>
      </c>
      <c r="H2385" s="2">
        <f>Table1[[#This Row],[Profit]]/Table1[[#This Row],[Sales]]*100</f>
        <v>7.3754098360655744</v>
      </c>
      <c r="I2385" t="str">
        <f>IF(Table1[[#This Row],[Profit %]]&gt;20,"Excellent",IF(H2385&gt;10.1,"Good","Low"))</f>
        <v>Low</v>
      </c>
    </row>
    <row r="2386" spans="1:9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 s="2">
        <v>912</v>
      </c>
      <c r="G2386">
        <v>81.650000000000006</v>
      </c>
      <c r="H2386" s="2">
        <f>Table1[[#This Row],[Profit]]/Table1[[#This Row],[Sales]]*100</f>
        <v>8.9528508771929829</v>
      </c>
      <c r="I2386" t="str">
        <f>IF(Table1[[#This Row],[Profit %]]&gt;20,"Excellent",IF(H2386&gt;10.1,"Good","Low"))</f>
        <v>Low</v>
      </c>
    </row>
    <row r="2387" spans="1:9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 s="2">
        <v>10413</v>
      </c>
      <c r="G2387">
        <v>1738.63</v>
      </c>
      <c r="H2387" s="2">
        <f>Table1[[#This Row],[Profit]]/Table1[[#This Row],[Sales]]*100</f>
        <v>16.696725247287045</v>
      </c>
      <c r="I2387" t="str">
        <f>IF(Table1[[#This Row],[Profit %]]&gt;20,"Excellent",IF(H2387&gt;10.1,"Good","Low"))</f>
        <v>Good</v>
      </c>
    </row>
    <row r="2388" spans="1:9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 s="2">
        <v>2176</v>
      </c>
      <c r="G2388">
        <v>398.29</v>
      </c>
      <c r="H2388" s="2">
        <f>Table1[[#This Row],[Profit]]/Table1[[#This Row],[Sales]]*100</f>
        <v>18.303768382352942</v>
      </c>
      <c r="I2388" t="str">
        <f>IF(Table1[[#This Row],[Profit %]]&gt;20,"Excellent",IF(H2388&gt;10.1,"Good","Low"))</f>
        <v>Good</v>
      </c>
    </row>
    <row r="2389" spans="1:9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 s="2">
        <v>6108</v>
      </c>
      <c r="G2389">
        <v>1488.4</v>
      </c>
      <c r="H2389" s="2">
        <f>Table1[[#This Row],[Profit]]/Table1[[#This Row],[Sales]]*100</f>
        <v>24.368041912246234</v>
      </c>
      <c r="I2389" t="str">
        <f>IF(Table1[[#This Row],[Profit %]]&gt;20,"Excellent",IF(H2389&gt;10.1,"Good","Low"))</f>
        <v>Excellent</v>
      </c>
    </row>
    <row r="2390" spans="1:9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 s="2">
        <v>1148</v>
      </c>
      <c r="G2390">
        <v>173.89</v>
      </c>
      <c r="H2390" s="2">
        <f>Table1[[#This Row],[Profit]]/Table1[[#This Row],[Sales]]*100</f>
        <v>15.147212543554007</v>
      </c>
      <c r="I2390" t="str">
        <f>IF(Table1[[#This Row],[Profit %]]&gt;20,"Excellent",IF(H2390&gt;10.1,"Good","Low"))</f>
        <v>Good</v>
      </c>
    </row>
    <row r="2391" spans="1:9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 s="2">
        <v>8824</v>
      </c>
      <c r="G2391">
        <v>597.1</v>
      </c>
      <c r="H2391" s="2">
        <f>Table1[[#This Row],[Profit]]/Table1[[#This Row],[Sales]]*100</f>
        <v>6.7667724388032644</v>
      </c>
      <c r="I2391" t="str">
        <f>IF(Table1[[#This Row],[Profit %]]&gt;20,"Excellent",IF(H2391&gt;10.1,"Good","Low"))</f>
        <v>Low</v>
      </c>
    </row>
    <row r="2392" spans="1:9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 s="2">
        <v>2240</v>
      </c>
      <c r="G2392">
        <v>159.58000000000001</v>
      </c>
      <c r="H2392" s="2">
        <f>Table1[[#This Row],[Profit]]/Table1[[#This Row],[Sales]]*100</f>
        <v>7.1241071428571434</v>
      </c>
      <c r="I2392" t="str">
        <f>IF(Table1[[#This Row],[Profit %]]&gt;20,"Excellent",IF(H2392&gt;10.1,"Good","Low"))</f>
        <v>Low</v>
      </c>
    </row>
    <row r="2393" spans="1:9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 s="2">
        <v>1312</v>
      </c>
      <c r="G2393">
        <v>386.79</v>
      </c>
      <c r="H2393" s="2">
        <f>Table1[[#This Row],[Profit]]/Table1[[#This Row],[Sales]]*100</f>
        <v>29.480945121951219</v>
      </c>
      <c r="I2393" t="str">
        <f>IF(Table1[[#This Row],[Profit %]]&gt;20,"Excellent",IF(H2393&gt;10.1,"Good","Low"))</f>
        <v>Excellent</v>
      </c>
    </row>
    <row r="2394" spans="1:9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 s="2">
        <v>10620</v>
      </c>
      <c r="G2394">
        <v>2946.93</v>
      </c>
      <c r="H2394" s="2">
        <f>Table1[[#This Row],[Profit]]/Table1[[#This Row],[Sales]]*100</f>
        <v>27.748870056497172</v>
      </c>
      <c r="I2394" t="str">
        <f>IF(Table1[[#This Row],[Profit %]]&gt;20,"Excellent",IF(H2394&gt;10.1,"Good","Low"))</f>
        <v>Excellent</v>
      </c>
    </row>
    <row r="2395" spans="1:9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 s="2">
        <v>2178</v>
      </c>
      <c r="G2395">
        <v>574.4</v>
      </c>
      <c r="H2395" s="2">
        <f>Table1[[#This Row],[Profit]]/Table1[[#This Row],[Sales]]*100</f>
        <v>26.372819100091828</v>
      </c>
      <c r="I2395" t="str">
        <f>IF(Table1[[#This Row],[Profit %]]&gt;20,"Excellent",IF(H2395&gt;10.1,"Good","Low"))</f>
        <v>Excellent</v>
      </c>
    </row>
    <row r="2396" spans="1:9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 s="2">
        <v>1671</v>
      </c>
      <c r="G2396">
        <v>94.52</v>
      </c>
      <c r="H2396" s="2">
        <f>Table1[[#This Row],[Profit]]/Table1[[#This Row],[Sales]]*100</f>
        <v>5.6564931178934765</v>
      </c>
      <c r="I2396" t="str">
        <f>IF(Table1[[#This Row],[Profit %]]&gt;20,"Excellent",IF(H2396&gt;10.1,"Good","Low"))</f>
        <v>Low</v>
      </c>
    </row>
    <row r="2397" spans="1:9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 s="2">
        <v>2025</v>
      </c>
      <c r="G2397">
        <v>355.59</v>
      </c>
      <c r="H2397" s="2">
        <f>Table1[[#This Row],[Profit]]/Table1[[#This Row],[Sales]]*100</f>
        <v>17.559999999999999</v>
      </c>
      <c r="I2397" t="str">
        <f>IF(Table1[[#This Row],[Profit %]]&gt;20,"Excellent",IF(H2397&gt;10.1,"Good","Low"))</f>
        <v>Good</v>
      </c>
    </row>
    <row r="2398" spans="1:9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 s="2">
        <v>2886</v>
      </c>
      <c r="G2398">
        <v>355.32</v>
      </c>
      <c r="H2398" s="2">
        <f>Table1[[#This Row],[Profit]]/Table1[[#This Row],[Sales]]*100</f>
        <v>12.311850311850311</v>
      </c>
      <c r="I2398" t="str">
        <f>IF(Table1[[#This Row],[Profit %]]&gt;20,"Excellent",IF(H2398&gt;10.1,"Good","Low"))</f>
        <v>Good</v>
      </c>
    </row>
    <row r="2399" spans="1:9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 s="2">
        <v>1868</v>
      </c>
      <c r="G2399">
        <v>307.32</v>
      </c>
      <c r="H2399" s="2">
        <f>Table1[[#This Row],[Profit]]/Table1[[#This Row],[Sales]]*100</f>
        <v>16.451820128479657</v>
      </c>
      <c r="I2399" t="str">
        <f>IF(Table1[[#This Row],[Profit %]]&gt;20,"Excellent",IF(H2399&gt;10.1,"Good","Low"))</f>
        <v>Good</v>
      </c>
    </row>
    <row r="2400" spans="1:9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 s="2">
        <v>3280</v>
      </c>
      <c r="G2400">
        <v>826.94</v>
      </c>
      <c r="H2400" s="2">
        <f>Table1[[#This Row],[Profit]]/Table1[[#This Row],[Sales]]*100</f>
        <v>25.211585365853662</v>
      </c>
      <c r="I2400" t="str">
        <f>IF(Table1[[#This Row],[Profit %]]&gt;20,"Excellent",IF(H2400&gt;10.1,"Good","Low"))</f>
        <v>Excellent</v>
      </c>
    </row>
    <row r="2401" spans="1:9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 s="2">
        <v>1768</v>
      </c>
      <c r="G2401">
        <v>375.86</v>
      </c>
      <c r="H2401" s="2">
        <f>Table1[[#This Row],[Profit]]/Table1[[#This Row],[Sales]]*100</f>
        <v>21.259049773755656</v>
      </c>
      <c r="I2401" t="str">
        <f>IF(Table1[[#This Row],[Profit %]]&gt;20,"Excellent",IF(H2401&gt;10.1,"Good","Low"))</f>
        <v>Excellent</v>
      </c>
    </row>
    <row r="2402" spans="1:9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 s="2">
        <v>6937</v>
      </c>
      <c r="G2402">
        <v>1753.02</v>
      </c>
      <c r="H2402" s="2">
        <f>Table1[[#This Row],[Profit]]/Table1[[#This Row],[Sales]]*100</f>
        <v>25.270578059679977</v>
      </c>
      <c r="I2402" t="str">
        <f>IF(Table1[[#This Row],[Profit %]]&gt;20,"Excellent",IF(H2402&gt;10.1,"Good","Low"))</f>
        <v>Excellent</v>
      </c>
    </row>
    <row r="2403" spans="1:9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 s="2">
        <v>3012</v>
      </c>
      <c r="G2403">
        <v>307.47000000000003</v>
      </c>
      <c r="H2403" s="2">
        <f>Table1[[#This Row],[Profit]]/Table1[[#This Row],[Sales]]*100</f>
        <v>10.208167330677293</v>
      </c>
      <c r="I2403" t="str">
        <f>IF(Table1[[#This Row],[Profit %]]&gt;20,"Excellent",IF(H2403&gt;10.1,"Good","Low"))</f>
        <v>Good</v>
      </c>
    </row>
    <row r="2404" spans="1:9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 s="2">
        <v>777</v>
      </c>
      <c r="G2404">
        <v>147.93</v>
      </c>
      <c r="H2404" s="2">
        <f>Table1[[#This Row],[Profit]]/Table1[[#This Row],[Sales]]*100</f>
        <v>19.038610038610042</v>
      </c>
      <c r="I2404" t="str">
        <f>IF(Table1[[#This Row],[Profit %]]&gt;20,"Excellent",IF(H2404&gt;10.1,"Good","Low"))</f>
        <v>Good</v>
      </c>
    </row>
    <row r="2405" spans="1:9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 s="2">
        <v>4056</v>
      </c>
      <c r="G2405">
        <v>452.14</v>
      </c>
      <c r="H2405" s="2">
        <f>Table1[[#This Row],[Profit]]/Table1[[#This Row],[Sales]]*100</f>
        <v>11.147435897435896</v>
      </c>
      <c r="I2405" t="str">
        <f>IF(Table1[[#This Row],[Profit %]]&gt;20,"Excellent",IF(H2405&gt;10.1,"Good","Low"))</f>
        <v>Good</v>
      </c>
    </row>
    <row r="2406" spans="1:9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 s="2">
        <v>3212</v>
      </c>
      <c r="G2406">
        <v>514.91999999999996</v>
      </c>
      <c r="H2406" s="2">
        <f>Table1[[#This Row],[Profit]]/Table1[[#This Row],[Sales]]*100</f>
        <v>16.031133250311331</v>
      </c>
      <c r="I2406" t="str">
        <f>IF(Table1[[#This Row],[Profit %]]&gt;20,"Excellent",IF(H2406&gt;10.1,"Good","Low"))</f>
        <v>Good</v>
      </c>
    </row>
    <row r="2407" spans="1:9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 s="2">
        <v>952</v>
      </c>
      <c r="G2407">
        <v>179.4</v>
      </c>
      <c r="H2407" s="2">
        <f>Table1[[#This Row],[Profit]]/Table1[[#This Row],[Sales]]*100</f>
        <v>18.844537815126049</v>
      </c>
      <c r="I2407" t="str">
        <f>IF(Table1[[#This Row],[Profit %]]&gt;20,"Excellent",IF(H2407&gt;10.1,"Good","Low"))</f>
        <v>Good</v>
      </c>
    </row>
    <row r="2408" spans="1:9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 s="2">
        <v>1674</v>
      </c>
      <c r="G2408">
        <v>106.24</v>
      </c>
      <c r="H2408" s="2">
        <f>Table1[[#This Row],[Profit]]/Table1[[#This Row],[Sales]]*100</f>
        <v>6.3464755077658292</v>
      </c>
      <c r="I2408" t="str">
        <f>IF(Table1[[#This Row],[Profit %]]&gt;20,"Excellent",IF(H2408&gt;10.1,"Good","Low"))</f>
        <v>Low</v>
      </c>
    </row>
    <row r="2409" spans="1:9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 s="2">
        <v>4315</v>
      </c>
      <c r="G2409">
        <v>1019.91</v>
      </c>
      <c r="H2409" s="2">
        <f>Table1[[#This Row],[Profit]]/Table1[[#This Row],[Sales]]*100</f>
        <v>23.63638470451912</v>
      </c>
      <c r="I2409" t="str">
        <f>IF(Table1[[#This Row],[Profit %]]&gt;20,"Excellent",IF(H2409&gt;10.1,"Good","Low"))</f>
        <v>Excellent</v>
      </c>
    </row>
    <row r="2410" spans="1:9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 s="2">
        <v>1722</v>
      </c>
      <c r="G2410">
        <v>162.38999999999999</v>
      </c>
      <c r="H2410" s="2">
        <f>Table1[[#This Row],[Profit]]/Table1[[#This Row],[Sales]]*100</f>
        <v>9.4303135888501739</v>
      </c>
      <c r="I2410" t="str">
        <f>IF(Table1[[#This Row],[Profit %]]&gt;20,"Excellent",IF(H2410&gt;10.1,"Good","Low"))</f>
        <v>Low</v>
      </c>
    </row>
    <row r="2411" spans="1:9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 s="2">
        <v>2895</v>
      </c>
      <c r="G2411">
        <v>334.35</v>
      </c>
      <c r="H2411" s="2">
        <f>Table1[[#This Row],[Profit]]/Table1[[#This Row],[Sales]]*100</f>
        <v>11.549222797927463</v>
      </c>
      <c r="I2411" t="str">
        <f>IF(Table1[[#This Row],[Profit %]]&gt;20,"Excellent",IF(H2411&gt;10.1,"Good","Low"))</f>
        <v>Good</v>
      </c>
    </row>
    <row r="2412" spans="1:9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 s="2">
        <v>1280</v>
      </c>
      <c r="G2412">
        <v>335.22</v>
      </c>
      <c r="H2412" s="2">
        <f>Table1[[#This Row],[Profit]]/Table1[[#This Row],[Sales]]*100</f>
        <v>26.189062500000006</v>
      </c>
      <c r="I2412" t="str">
        <f>IF(Table1[[#This Row],[Profit %]]&gt;20,"Excellent",IF(H2412&gt;10.1,"Good","Low"))</f>
        <v>Excellent</v>
      </c>
    </row>
    <row r="2413" spans="1:9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 s="2">
        <v>4295</v>
      </c>
      <c r="G2413">
        <v>414.42</v>
      </c>
      <c r="H2413" s="2">
        <f>Table1[[#This Row],[Profit]]/Table1[[#This Row],[Sales]]*100</f>
        <v>9.6488940628637963</v>
      </c>
      <c r="I2413" t="str">
        <f>IF(Table1[[#This Row],[Profit %]]&gt;20,"Excellent",IF(H2413&gt;10.1,"Good","Low"))</f>
        <v>Low</v>
      </c>
    </row>
    <row r="2414" spans="1:9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 s="2">
        <v>4434</v>
      </c>
      <c r="G2414">
        <v>306.63</v>
      </c>
      <c r="H2414" s="2">
        <f>Table1[[#This Row],[Profit]]/Table1[[#This Row],[Sales]]*100</f>
        <v>6.9154262516914757</v>
      </c>
      <c r="I2414" t="str">
        <f>IF(Table1[[#This Row],[Profit %]]&gt;20,"Excellent",IF(H2414&gt;10.1,"Good","Low"))</f>
        <v>Low</v>
      </c>
    </row>
    <row r="2415" spans="1:9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 s="2">
        <v>3816</v>
      </c>
      <c r="G2415">
        <v>623.78</v>
      </c>
      <c r="H2415" s="2">
        <f>Table1[[#This Row],[Profit]]/Table1[[#This Row],[Sales]]*100</f>
        <v>16.34643605870021</v>
      </c>
      <c r="I2415" t="str">
        <f>IF(Table1[[#This Row],[Profit %]]&gt;20,"Excellent",IF(H2415&gt;10.1,"Good","Low"))</f>
        <v>Good</v>
      </c>
    </row>
    <row r="2416" spans="1:9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 s="2">
        <v>6335</v>
      </c>
      <c r="G2416">
        <v>1137.08</v>
      </c>
      <c r="H2416" s="2">
        <f>Table1[[#This Row],[Profit]]/Table1[[#This Row],[Sales]]*100</f>
        <v>17.949171270718232</v>
      </c>
      <c r="I2416" t="str">
        <f>IF(Table1[[#This Row],[Profit %]]&gt;20,"Excellent",IF(H2416&gt;10.1,"Good","Low"))</f>
        <v>Good</v>
      </c>
    </row>
    <row r="2417" spans="1:9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 s="2">
        <v>315</v>
      </c>
      <c r="G2417">
        <v>78.41</v>
      </c>
      <c r="H2417" s="2">
        <f>Table1[[#This Row],[Profit]]/Table1[[#This Row],[Sales]]*100</f>
        <v>24.892063492063489</v>
      </c>
      <c r="I2417" t="str">
        <f>IF(Table1[[#This Row],[Profit %]]&gt;20,"Excellent",IF(H2417&gt;10.1,"Good","Low"))</f>
        <v>Excellent</v>
      </c>
    </row>
    <row r="2418" spans="1:9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 s="2">
        <v>626</v>
      </c>
      <c r="G2418">
        <v>168.82</v>
      </c>
      <c r="H2418" s="2">
        <f>Table1[[#This Row],[Profit]]/Table1[[#This Row],[Sales]]*100</f>
        <v>26.968051118210862</v>
      </c>
      <c r="I2418" t="str">
        <f>IF(Table1[[#This Row],[Profit %]]&gt;20,"Excellent",IF(H2418&gt;10.1,"Good","Low"))</f>
        <v>Excellent</v>
      </c>
    </row>
    <row r="2419" spans="1:9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 s="2">
        <v>1140</v>
      </c>
      <c r="G2419">
        <v>85.75</v>
      </c>
      <c r="H2419" s="2">
        <f>Table1[[#This Row],[Profit]]/Table1[[#This Row],[Sales]]*100</f>
        <v>7.5219298245614032</v>
      </c>
      <c r="I2419" t="str">
        <f>IF(Table1[[#This Row],[Profit %]]&gt;20,"Excellent",IF(H2419&gt;10.1,"Good","Low"))</f>
        <v>Low</v>
      </c>
    </row>
    <row r="2420" spans="1:9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 s="2">
        <v>590</v>
      </c>
      <c r="G2420">
        <v>52.55</v>
      </c>
      <c r="H2420" s="2">
        <f>Table1[[#This Row],[Profit]]/Table1[[#This Row],[Sales]]*100</f>
        <v>8.9067796610169481</v>
      </c>
      <c r="I2420" t="str">
        <f>IF(Table1[[#This Row],[Profit %]]&gt;20,"Excellent",IF(H2420&gt;10.1,"Good","Low"))</f>
        <v>Low</v>
      </c>
    </row>
    <row r="2421" spans="1:9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 s="2">
        <v>631</v>
      </c>
      <c r="G2421">
        <v>99.31</v>
      </c>
      <c r="H2421" s="2">
        <f>Table1[[#This Row],[Profit]]/Table1[[#This Row],[Sales]]*100</f>
        <v>15.738510301109351</v>
      </c>
      <c r="I2421" t="str">
        <f>IF(Table1[[#This Row],[Profit %]]&gt;20,"Excellent",IF(H2421&gt;10.1,"Good","Low"))</f>
        <v>Good</v>
      </c>
    </row>
    <row r="2422" spans="1:9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 s="2">
        <v>1944</v>
      </c>
      <c r="G2422">
        <v>134.94</v>
      </c>
      <c r="H2422" s="2">
        <f>Table1[[#This Row],[Profit]]/Table1[[#This Row],[Sales]]*100</f>
        <v>6.9413580246913575</v>
      </c>
      <c r="I2422" t="str">
        <f>IF(Table1[[#This Row],[Profit %]]&gt;20,"Excellent",IF(H2422&gt;10.1,"Good","Low"))</f>
        <v>Low</v>
      </c>
    </row>
    <row r="2423" spans="1:9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 s="2">
        <v>5100</v>
      </c>
      <c r="G2423">
        <v>1461.79</v>
      </c>
      <c r="H2423" s="2">
        <f>Table1[[#This Row],[Profit]]/Table1[[#This Row],[Sales]]*100</f>
        <v>28.662549019607841</v>
      </c>
      <c r="I2423" t="str">
        <f>IF(Table1[[#This Row],[Profit %]]&gt;20,"Excellent",IF(H2423&gt;10.1,"Good","Low"))</f>
        <v>Excellent</v>
      </c>
    </row>
    <row r="2424" spans="1:9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 s="2">
        <v>1092</v>
      </c>
      <c r="G2424">
        <v>176.52</v>
      </c>
      <c r="H2424" s="2">
        <f>Table1[[#This Row],[Profit]]/Table1[[#This Row],[Sales]]*100</f>
        <v>16.164835164835164</v>
      </c>
      <c r="I2424" t="str">
        <f>IF(Table1[[#This Row],[Profit %]]&gt;20,"Excellent",IF(H2424&gt;10.1,"Good","Low"))</f>
        <v>Good</v>
      </c>
    </row>
    <row r="2425" spans="1:9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 s="2">
        <v>4662</v>
      </c>
      <c r="G2425">
        <v>1007.43</v>
      </c>
      <c r="H2425" s="2">
        <f>Table1[[#This Row],[Profit]]/Table1[[#This Row],[Sales]]*100</f>
        <v>21.609395109395109</v>
      </c>
      <c r="I2425" t="str">
        <f>IF(Table1[[#This Row],[Profit %]]&gt;20,"Excellent",IF(H2425&gt;10.1,"Good","Low"))</f>
        <v>Excellent</v>
      </c>
    </row>
    <row r="2426" spans="1:9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 s="2">
        <v>4312</v>
      </c>
      <c r="G2426">
        <v>1088.3399999999999</v>
      </c>
      <c r="H2426" s="2">
        <f>Table1[[#This Row],[Profit]]/Table1[[#This Row],[Sales]]*100</f>
        <v>25.239795918367346</v>
      </c>
      <c r="I2426" t="str">
        <f>IF(Table1[[#This Row],[Profit %]]&gt;20,"Excellent",IF(H2426&gt;10.1,"Good","Low"))</f>
        <v>Excellent</v>
      </c>
    </row>
    <row r="2427" spans="1:9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 s="2">
        <v>4056</v>
      </c>
      <c r="G2427">
        <v>815.1</v>
      </c>
      <c r="H2427" s="2">
        <f>Table1[[#This Row],[Profit]]/Table1[[#This Row],[Sales]]*100</f>
        <v>20.096153846153847</v>
      </c>
      <c r="I2427" t="str">
        <f>IF(Table1[[#This Row],[Profit %]]&gt;20,"Excellent",IF(H2427&gt;10.1,"Good","Low"))</f>
        <v>Excellent</v>
      </c>
    </row>
    <row r="2428" spans="1:9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 s="2">
        <v>534</v>
      </c>
      <c r="G2428">
        <v>120.53</v>
      </c>
      <c r="H2428" s="2">
        <f>Table1[[#This Row],[Profit]]/Table1[[#This Row],[Sales]]*100</f>
        <v>22.571161048689138</v>
      </c>
      <c r="I2428" t="str">
        <f>IF(Table1[[#This Row],[Profit %]]&gt;20,"Excellent",IF(H2428&gt;10.1,"Good","Low"))</f>
        <v>Excellent</v>
      </c>
    </row>
    <row r="2429" spans="1:9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 s="2">
        <v>3475</v>
      </c>
      <c r="G2429">
        <v>991.47</v>
      </c>
      <c r="H2429" s="2">
        <f>Table1[[#This Row],[Profit]]/Table1[[#This Row],[Sales]]*100</f>
        <v>28.531510791366909</v>
      </c>
      <c r="I2429" t="str">
        <f>IF(Table1[[#This Row],[Profit %]]&gt;20,"Excellent",IF(H2429&gt;10.1,"Good","Low"))</f>
        <v>Excellent</v>
      </c>
    </row>
    <row r="2430" spans="1:9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 s="2">
        <v>4880</v>
      </c>
      <c r="G2430">
        <v>829.03</v>
      </c>
      <c r="H2430" s="2">
        <f>Table1[[#This Row],[Profit]]/Table1[[#This Row],[Sales]]*100</f>
        <v>16.988319672131148</v>
      </c>
      <c r="I2430" t="str">
        <f>IF(Table1[[#This Row],[Profit %]]&gt;20,"Excellent",IF(H2430&gt;10.1,"Good","Low"))</f>
        <v>Good</v>
      </c>
    </row>
    <row r="2431" spans="1:9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 s="2">
        <v>8336</v>
      </c>
      <c r="G2431">
        <v>782.8</v>
      </c>
      <c r="H2431" s="2">
        <f>Table1[[#This Row],[Profit]]/Table1[[#This Row],[Sales]]*100</f>
        <v>9.3905950095969288</v>
      </c>
      <c r="I2431" t="str">
        <f>IF(Table1[[#This Row],[Profit %]]&gt;20,"Excellent",IF(H2431&gt;10.1,"Good","Low"))</f>
        <v>Low</v>
      </c>
    </row>
    <row r="2432" spans="1:9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 s="2">
        <v>9232</v>
      </c>
      <c r="G2432">
        <v>490.66</v>
      </c>
      <c r="H2432" s="2">
        <f>Table1[[#This Row],[Profit]]/Table1[[#This Row],[Sales]]*100</f>
        <v>5.3147746967071061</v>
      </c>
      <c r="I2432" t="str">
        <f>IF(Table1[[#This Row],[Profit %]]&gt;20,"Excellent",IF(H2432&gt;10.1,"Good","Low"))</f>
        <v>Low</v>
      </c>
    </row>
    <row r="2433" spans="1:9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 s="2">
        <v>2031</v>
      </c>
      <c r="G2433">
        <v>466.25</v>
      </c>
      <c r="H2433" s="2">
        <f>Table1[[#This Row],[Profit]]/Table1[[#This Row],[Sales]]*100</f>
        <v>22.956671590349583</v>
      </c>
      <c r="I2433" t="str">
        <f>IF(Table1[[#This Row],[Profit %]]&gt;20,"Excellent",IF(H2433&gt;10.1,"Good","Low"))</f>
        <v>Excellent</v>
      </c>
    </row>
    <row r="2434" spans="1:9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 s="2">
        <v>2412</v>
      </c>
      <c r="G2434">
        <v>640.35</v>
      </c>
      <c r="H2434" s="2">
        <f>Table1[[#This Row],[Profit]]/Table1[[#This Row],[Sales]]*100</f>
        <v>26.548507462686565</v>
      </c>
      <c r="I2434" t="str">
        <f>IF(Table1[[#This Row],[Profit %]]&gt;20,"Excellent",IF(H2434&gt;10.1,"Good","Low"))</f>
        <v>Excellent</v>
      </c>
    </row>
    <row r="2435" spans="1:9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 s="2">
        <v>1039</v>
      </c>
      <c r="G2435">
        <v>137.24</v>
      </c>
      <c r="H2435" s="2">
        <f>Table1[[#This Row],[Profit]]/Table1[[#This Row],[Sales]]*100</f>
        <v>13.208854667949954</v>
      </c>
      <c r="I2435" t="str">
        <f>IF(Table1[[#This Row],[Profit %]]&gt;20,"Excellent",IF(H2435&gt;10.1,"Good","Low"))</f>
        <v>Good</v>
      </c>
    </row>
    <row r="2436" spans="1:9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 s="2">
        <v>696</v>
      </c>
      <c r="G2436">
        <v>100.78</v>
      </c>
      <c r="H2436" s="2">
        <f>Table1[[#This Row],[Profit]]/Table1[[#This Row],[Sales]]*100</f>
        <v>14.479885057471265</v>
      </c>
      <c r="I2436" t="str">
        <f>IF(Table1[[#This Row],[Profit %]]&gt;20,"Excellent",IF(H2436&gt;10.1,"Good","Low"))</f>
        <v>Good</v>
      </c>
    </row>
    <row r="2437" spans="1:9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 s="2">
        <v>6160</v>
      </c>
      <c r="G2437">
        <v>1617.32</v>
      </c>
      <c r="H2437" s="2">
        <f>Table1[[#This Row],[Profit]]/Table1[[#This Row],[Sales]]*100</f>
        <v>26.255194805194805</v>
      </c>
      <c r="I2437" t="str">
        <f>IF(Table1[[#This Row],[Profit %]]&gt;20,"Excellent",IF(H2437&gt;10.1,"Good","Low"))</f>
        <v>Excellent</v>
      </c>
    </row>
    <row r="2438" spans="1:9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 s="2">
        <v>447</v>
      </c>
      <c r="G2438">
        <v>58.4</v>
      </c>
      <c r="H2438" s="2">
        <f>Table1[[#This Row],[Profit]]/Table1[[#This Row],[Sales]]*100</f>
        <v>13.064876957494405</v>
      </c>
      <c r="I2438" t="str">
        <f>IF(Table1[[#This Row],[Profit %]]&gt;20,"Excellent",IF(H2438&gt;10.1,"Good","Low"))</f>
        <v>Good</v>
      </c>
    </row>
    <row r="2439" spans="1:9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 s="2">
        <v>6102</v>
      </c>
      <c r="G2439">
        <v>364.82</v>
      </c>
      <c r="H2439" s="2">
        <f>Table1[[#This Row],[Profit]]/Table1[[#This Row],[Sales]]*100</f>
        <v>5.9786955096689613</v>
      </c>
      <c r="I2439" t="str">
        <f>IF(Table1[[#This Row],[Profit %]]&gt;20,"Excellent",IF(H2439&gt;10.1,"Good","Low"))</f>
        <v>Low</v>
      </c>
    </row>
    <row r="2440" spans="1:9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 s="2">
        <v>5085</v>
      </c>
      <c r="G2440">
        <v>1372.83</v>
      </c>
      <c r="H2440" s="2">
        <f>Table1[[#This Row],[Profit]]/Table1[[#This Row],[Sales]]*100</f>
        <v>26.997640117994099</v>
      </c>
      <c r="I2440" t="str">
        <f>IF(Table1[[#This Row],[Profit %]]&gt;20,"Excellent",IF(H2440&gt;10.1,"Good","Low"))</f>
        <v>Excellent</v>
      </c>
    </row>
    <row r="2441" spans="1:9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 s="2">
        <v>3038</v>
      </c>
      <c r="G2441">
        <v>158.82</v>
      </c>
      <c r="H2441" s="2">
        <f>Table1[[#This Row],[Profit]]/Table1[[#This Row],[Sales]]*100</f>
        <v>5.2277814351547072</v>
      </c>
      <c r="I2441" t="str">
        <f>IF(Table1[[#This Row],[Profit %]]&gt;20,"Excellent",IF(H2441&gt;10.1,"Good","Low"))</f>
        <v>Low</v>
      </c>
    </row>
    <row r="2442" spans="1:9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 s="2">
        <v>882</v>
      </c>
      <c r="G2442">
        <v>215.24</v>
      </c>
      <c r="H2442" s="2">
        <f>Table1[[#This Row],[Profit]]/Table1[[#This Row],[Sales]]*100</f>
        <v>24.403628117913833</v>
      </c>
      <c r="I2442" t="str">
        <f>IF(Table1[[#This Row],[Profit %]]&gt;20,"Excellent",IF(H2442&gt;10.1,"Good","Low"))</f>
        <v>Excellent</v>
      </c>
    </row>
    <row r="2443" spans="1:9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 s="2">
        <v>2490</v>
      </c>
      <c r="G2443">
        <v>720.06</v>
      </c>
      <c r="H2443" s="2">
        <f>Table1[[#This Row],[Profit]]/Table1[[#This Row],[Sales]]*100</f>
        <v>28.918072289156626</v>
      </c>
      <c r="I2443" t="str">
        <f>IF(Table1[[#This Row],[Profit %]]&gt;20,"Excellent",IF(H2443&gt;10.1,"Good","Low"))</f>
        <v>Excellent</v>
      </c>
    </row>
    <row r="2444" spans="1:9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 s="2">
        <v>635</v>
      </c>
      <c r="G2444">
        <v>101.09</v>
      </c>
      <c r="H2444" s="2">
        <f>Table1[[#This Row],[Profit]]/Table1[[#This Row],[Sales]]*100</f>
        <v>15.91968503937008</v>
      </c>
      <c r="I2444" t="str">
        <f>IF(Table1[[#This Row],[Profit %]]&gt;20,"Excellent",IF(H2444&gt;10.1,"Good","Low"))</f>
        <v>Good</v>
      </c>
    </row>
    <row r="2445" spans="1:9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 s="2">
        <v>1083</v>
      </c>
      <c r="G2445">
        <v>152.5</v>
      </c>
      <c r="H2445" s="2">
        <f>Table1[[#This Row],[Profit]]/Table1[[#This Row],[Sales]]*100</f>
        <v>14.081255771006463</v>
      </c>
      <c r="I2445" t="str">
        <f>IF(Table1[[#This Row],[Profit %]]&gt;20,"Excellent",IF(H2445&gt;10.1,"Good","Low"))</f>
        <v>Good</v>
      </c>
    </row>
    <row r="2446" spans="1:9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 s="2">
        <v>720</v>
      </c>
      <c r="G2446">
        <v>144.26</v>
      </c>
      <c r="H2446" s="2">
        <f>Table1[[#This Row],[Profit]]/Table1[[#This Row],[Sales]]*100</f>
        <v>20.036111111111111</v>
      </c>
      <c r="I2446" t="str">
        <f>IF(Table1[[#This Row],[Profit %]]&gt;20,"Excellent",IF(H2446&gt;10.1,"Good","Low"))</f>
        <v>Excellent</v>
      </c>
    </row>
    <row r="2447" spans="1:9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 s="2">
        <v>3111</v>
      </c>
      <c r="G2447">
        <v>382.52</v>
      </c>
      <c r="H2447" s="2">
        <f>Table1[[#This Row],[Profit]]/Table1[[#This Row],[Sales]]*100</f>
        <v>12.295724847315975</v>
      </c>
      <c r="I2447" t="str">
        <f>IF(Table1[[#This Row],[Profit %]]&gt;20,"Excellent",IF(H2447&gt;10.1,"Good","Low"))</f>
        <v>Good</v>
      </c>
    </row>
    <row r="2448" spans="1:9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 s="2">
        <v>1242</v>
      </c>
      <c r="G2448">
        <v>87.37</v>
      </c>
      <c r="H2448" s="2">
        <f>Table1[[#This Row],[Profit]]/Table1[[#This Row],[Sales]]*100</f>
        <v>7.0346215780998396</v>
      </c>
      <c r="I2448" t="str">
        <f>IF(Table1[[#This Row],[Profit %]]&gt;20,"Excellent",IF(H2448&gt;10.1,"Good","Low"))</f>
        <v>Low</v>
      </c>
    </row>
    <row r="2449" spans="1:9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 s="2">
        <v>5845</v>
      </c>
      <c r="G2449">
        <v>978.75</v>
      </c>
      <c r="H2449" s="2">
        <f>Table1[[#This Row],[Profit]]/Table1[[#This Row],[Sales]]*100</f>
        <v>16.74508126603935</v>
      </c>
      <c r="I2449" t="str">
        <f>IF(Table1[[#This Row],[Profit %]]&gt;20,"Excellent",IF(H2449&gt;10.1,"Good","Low"))</f>
        <v>Good</v>
      </c>
    </row>
    <row r="2450" spans="1:9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 s="2">
        <v>835</v>
      </c>
      <c r="G2450">
        <v>131.69999999999999</v>
      </c>
      <c r="H2450" s="2">
        <f>Table1[[#This Row],[Profit]]/Table1[[#This Row],[Sales]]*100</f>
        <v>15.772455089820358</v>
      </c>
      <c r="I2450" t="str">
        <f>IF(Table1[[#This Row],[Profit %]]&gt;20,"Excellent",IF(H2450&gt;10.1,"Good","Low"))</f>
        <v>Good</v>
      </c>
    </row>
    <row r="2451" spans="1:9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 s="2">
        <v>2314</v>
      </c>
      <c r="G2451">
        <v>305.42</v>
      </c>
      <c r="H2451" s="2">
        <f>Table1[[#This Row],[Profit]]/Table1[[#This Row],[Sales]]*100</f>
        <v>13.198789974070873</v>
      </c>
      <c r="I2451" t="str">
        <f>IF(Table1[[#This Row],[Profit %]]&gt;20,"Excellent",IF(H2451&gt;10.1,"Good","Low"))</f>
        <v>Good</v>
      </c>
    </row>
    <row r="2452" spans="1:9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 s="2">
        <v>6041</v>
      </c>
      <c r="G2452">
        <v>776.09</v>
      </c>
      <c r="H2452" s="2">
        <f>Table1[[#This Row],[Profit]]/Table1[[#This Row],[Sales]]*100</f>
        <v>12.847045191193512</v>
      </c>
      <c r="I2452" t="str">
        <f>IF(Table1[[#This Row],[Profit %]]&gt;20,"Excellent",IF(H2452&gt;10.1,"Good","Low"))</f>
        <v>Good</v>
      </c>
    </row>
    <row r="2453" spans="1:9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 s="2">
        <v>369</v>
      </c>
      <c r="G2453">
        <v>19.22</v>
      </c>
      <c r="H2453" s="2">
        <f>Table1[[#This Row],[Profit]]/Table1[[#This Row],[Sales]]*100</f>
        <v>5.2086720867208669</v>
      </c>
      <c r="I2453" t="str">
        <f>IF(Table1[[#This Row],[Profit %]]&gt;20,"Excellent",IF(H2453&gt;10.1,"Good","Low"))</f>
        <v>Low</v>
      </c>
    </row>
    <row r="2454" spans="1:9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 s="2">
        <v>1635</v>
      </c>
      <c r="G2454">
        <v>321.83999999999997</v>
      </c>
      <c r="H2454" s="2">
        <f>Table1[[#This Row],[Profit]]/Table1[[#This Row],[Sales]]*100</f>
        <v>19.68440366972477</v>
      </c>
      <c r="I2454" t="str">
        <f>IF(Table1[[#This Row],[Profit %]]&gt;20,"Excellent",IF(H2454&gt;10.1,"Good","Low"))</f>
        <v>Good</v>
      </c>
    </row>
    <row r="2455" spans="1:9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 s="2">
        <v>2067</v>
      </c>
      <c r="G2455">
        <v>465.39</v>
      </c>
      <c r="H2455" s="2">
        <f>Table1[[#This Row],[Profit]]/Table1[[#This Row],[Sales]]*100</f>
        <v>22.515239477503631</v>
      </c>
      <c r="I2455" t="str">
        <f>IF(Table1[[#This Row],[Profit %]]&gt;20,"Excellent",IF(H2455&gt;10.1,"Good","Low"))</f>
        <v>Excellent</v>
      </c>
    </row>
    <row r="2456" spans="1:9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 s="2">
        <v>7128</v>
      </c>
      <c r="G2456">
        <v>544.54</v>
      </c>
      <c r="H2456" s="2">
        <f>Table1[[#This Row],[Profit]]/Table1[[#This Row],[Sales]]*100</f>
        <v>7.6394500561167229</v>
      </c>
      <c r="I2456" t="str">
        <f>IF(Table1[[#This Row],[Profit %]]&gt;20,"Excellent",IF(H2456&gt;10.1,"Good","Low"))</f>
        <v>Low</v>
      </c>
    </row>
    <row r="2457" spans="1:9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 s="2">
        <v>944</v>
      </c>
      <c r="G2457">
        <v>94.4</v>
      </c>
      <c r="H2457" s="2">
        <f>Table1[[#This Row],[Profit]]/Table1[[#This Row],[Sales]]*100</f>
        <v>10</v>
      </c>
      <c r="I2457" t="str">
        <f>IF(Table1[[#This Row],[Profit %]]&gt;20,"Excellent",IF(H2457&gt;10.1,"Good","Low"))</f>
        <v>Low</v>
      </c>
    </row>
    <row r="2458" spans="1:9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 s="2">
        <v>5160</v>
      </c>
      <c r="G2458">
        <v>698.15</v>
      </c>
      <c r="H2458" s="2">
        <f>Table1[[#This Row],[Profit]]/Table1[[#This Row],[Sales]]*100</f>
        <v>13.530038759689923</v>
      </c>
      <c r="I2458" t="str">
        <f>IF(Table1[[#This Row],[Profit %]]&gt;20,"Excellent",IF(H2458&gt;10.1,"Good","Low"))</f>
        <v>Good</v>
      </c>
    </row>
    <row r="2459" spans="1:9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 s="2">
        <v>8032</v>
      </c>
      <c r="G2459">
        <v>1987.82</v>
      </c>
      <c r="H2459" s="2">
        <f>Table1[[#This Row],[Profit]]/Table1[[#This Row],[Sales]]*100</f>
        <v>24.748754980079678</v>
      </c>
      <c r="I2459" t="str">
        <f>IF(Table1[[#This Row],[Profit %]]&gt;20,"Excellent",IF(H2459&gt;10.1,"Good","Low"))</f>
        <v>Excellent</v>
      </c>
    </row>
    <row r="2460" spans="1:9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 s="2">
        <v>376</v>
      </c>
      <c r="G2460">
        <v>99.16</v>
      </c>
      <c r="H2460" s="2">
        <f>Table1[[#This Row],[Profit]]/Table1[[#This Row],[Sales]]*100</f>
        <v>26.372340425531917</v>
      </c>
      <c r="I2460" t="str">
        <f>IF(Table1[[#This Row],[Profit %]]&gt;20,"Excellent",IF(H2460&gt;10.1,"Good","Low"))</f>
        <v>Excellent</v>
      </c>
    </row>
    <row r="2461" spans="1:9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 s="2">
        <v>4144</v>
      </c>
      <c r="G2461">
        <v>426.39</v>
      </c>
      <c r="H2461" s="2">
        <f>Table1[[#This Row],[Profit]]/Table1[[#This Row],[Sales]]*100</f>
        <v>10.289333976833976</v>
      </c>
      <c r="I2461" t="str">
        <f>IF(Table1[[#This Row],[Profit %]]&gt;20,"Excellent",IF(H2461&gt;10.1,"Good","Low"))</f>
        <v>Good</v>
      </c>
    </row>
    <row r="2462" spans="1:9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 s="2">
        <v>2228</v>
      </c>
      <c r="G2462">
        <v>293.25</v>
      </c>
      <c r="H2462" s="2">
        <f>Table1[[#This Row],[Profit]]/Table1[[#This Row],[Sales]]*100</f>
        <v>13.162028725314185</v>
      </c>
      <c r="I2462" t="str">
        <f>IF(Table1[[#This Row],[Profit %]]&gt;20,"Excellent",IF(H2462&gt;10.1,"Good","Low"))</f>
        <v>Good</v>
      </c>
    </row>
    <row r="2463" spans="1:9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 s="2">
        <v>1178</v>
      </c>
      <c r="G2463">
        <v>182.76</v>
      </c>
      <c r="H2463" s="2">
        <f>Table1[[#This Row],[Profit]]/Table1[[#This Row],[Sales]]*100</f>
        <v>15.514431239388793</v>
      </c>
      <c r="I2463" t="str">
        <f>IF(Table1[[#This Row],[Profit %]]&gt;20,"Excellent",IF(H2463&gt;10.1,"Good","Low"))</f>
        <v>Good</v>
      </c>
    </row>
    <row r="2464" spans="1:9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 s="2">
        <v>2505</v>
      </c>
      <c r="G2464">
        <v>303.61</v>
      </c>
      <c r="H2464" s="2">
        <f>Table1[[#This Row],[Profit]]/Table1[[#This Row],[Sales]]*100</f>
        <v>12.120159680638723</v>
      </c>
      <c r="I2464" t="str">
        <f>IF(Table1[[#This Row],[Profit %]]&gt;20,"Excellent",IF(H2464&gt;10.1,"Good","Low"))</f>
        <v>Good</v>
      </c>
    </row>
    <row r="2465" spans="1:9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 s="2">
        <v>1872</v>
      </c>
      <c r="G2465">
        <v>418.05</v>
      </c>
      <c r="H2465" s="2">
        <f>Table1[[#This Row],[Profit]]/Table1[[#This Row],[Sales]]*100</f>
        <v>22.33173076923077</v>
      </c>
      <c r="I2465" t="str">
        <f>IF(Table1[[#This Row],[Profit %]]&gt;20,"Excellent",IF(H2465&gt;10.1,"Good","Low"))</f>
        <v>Excellent</v>
      </c>
    </row>
    <row r="2466" spans="1:9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 s="2">
        <v>340</v>
      </c>
      <c r="G2466">
        <v>59.56</v>
      </c>
      <c r="H2466" s="2">
        <f>Table1[[#This Row],[Profit]]/Table1[[#This Row],[Sales]]*100</f>
        <v>17.517647058823531</v>
      </c>
      <c r="I2466" t="str">
        <f>IF(Table1[[#This Row],[Profit %]]&gt;20,"Excellent",IF(H2466&gt;10.1,"Good","Low"))</f>
        <v>Good</v>
      </c>
    </row>
    <row r="2467" spans="1:9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 s="2">
        <v>589</v>
      </c>
      <c r="G2467">
        <v>158.85</v>
      </c>
      <c r="H2467" s="2">
        <f>Table1[[#This Row],[Profit]]/Table1[[#This Row],[Sales]]*100</f>
        <v>26.969439728353141</v>
      </c>
      <c r="I2467" t="str">
        <f>IF(Table1[[#This Row],[Profit %]]&gt;20,"Excellent",IF(H2467&gt;10.1,"Good","Low"))</f>
        <v>Excellent</v>
      </c>
    </row>
    <row r="2468" spans="1:9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 s="2">
        <v>2598</v>
      </c>
      <c r="G2468">
        <v>560.82000000000005</v>
      </c>
      <c r="H2468" s="2">
        <f>Table1[[#This Row],[Profit]]/Table1[[#This Row],[Sales]]*100</f>
        <v>21.586605080831411</v>
      </c>
      <c r="I2468" t="str">
        <f>IF(Table1[[#This Row],[Profit %]]&gt;20,"Excellent",IF(H2468&gt;10.1,"Good","Low"))</f>
        <v>Excellent</v>
      </c>
    </row>
    <row r="2469" spans="1:9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 s="2">
        <v>502</v>
      </c>
      <c r="G2469">
        <v>92.31</v>
      </c>
      <c r="H2469" s="2">
        <f>Table1[[#This Row],[Profit]]/Table1[[#This Row],[Sales]]*100</f>
        <v>18.388446215139442</v>
      </c>
      <c r="I2469" t="str">
        <f>IF(Table1[[#This Row],[Profit %]]&gt;20,"Excellent",IF(H2469&gt;10.1,"Good","Low"))</f>
        <v>Good</v>
      </c>
    </row>
    <row r="2470" spans="1:9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 s="2">
        <v>3576</v>
      </c>
      <c r="G2470">
        <v>546.44000000000005</v>
      </c>
      <c r="H2470" s="2">
        <f>Table1[[#This Row],[Profit]]/Table1[[#This Row],[Sales]]*100</f>
        <v>15.280760626398212</v>
      </c>
      <c r="I2470" t="str">
        <f>IF(Table1[[#This Row],[Profit %]]&gt;20,"Excellent",IF(H2470&gt;10.1,"Good","Low"))</f>
        <v>Good</v>
      </c>
    </row>
    <row r="2471" spans="1:9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 s="2">
        <v>2412</v>
      </c>
      <c r="G2471">
        <v>468.27</v>
      </c>
      <c r="H2471" s="2">
        <f>Table1[[#This Row],[Profit]]/Table1[[#This Row],[Sales]]*100</f>
        <v>19.414179104477611</v>
      </c>
      <c r="I2471" t="str">
        <f>IF(Table1[[#This Row],[Profit %]]&gt;20,"Excellent",IF(H2471&gt;10.1,"Good","Low"))</f>
        <v>Good</v>
      </c>
    </row>
    <row r="2472" spans="1:9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 s="2">
        <v>1145</v>
      </c>
      <c r="G2472">
        <v>244.72</v>
      </c>
      <c r="H2472" s="2">
        <f>Table1[[#This Row],[Profit]]/Table1[[#This Row],[Sales]]*100</f>
        <v>21.372925764192139</v>
      </c>
      <c r="I2472" t="str">
        <f>IF(Table1[[#This Row],[Profit %]]&gt;20,"Excellent",IF(H2472&gt;10.1,"Good","Low"))</f>
        <v>Excellent</v>
      </c>
    </row>
    <row r="2473" spans="1:9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 s="2">
        <v>2116</v>
      </c>
      <c r="G2473">
        <v>159.30000000000001</v>
      </c>
      <c r="H2473" s="2">
        <f>Table1[[#This Row],[Profit]]/Table1[[#This Row],[Sales]]*100</f>
        <v>7.5283553875236304</v>
      </c>
      <c r="I2473" t="str">
        <f>IF(Table1[[#This Row],[Profit %]]&gt;20,"Excellent",IF(H2473&gt;10.1,"Good","Low"))</f>
        <v>Low</v>
      </c>
    </row>
    <row r="2474" spans="1:9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 s="2">
        <v>707</v>
      </c>
      <c r="G2474">
        <v>100.16</v>
      </c>
      <c r="H2474" s="2">
        <f>Table1[[#This Row],[Profit]]/Table1[[#This Row],[Sales]]*100</f>
        <v>14.166902404526166</v>
      </c>
      <c r="I2474" t="str">
        <f>IF(Table1[[#This Row],[Profit %]]&gt;20,"Excellent",IF(H2474&gt;10.1,"Good","Low"))</f>
        <v>Good</v>
      </c>
    </row>
    <row r="2475" spans="1:9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 s="2">
        <v>657</v>
      </c>
      <c r="G2475">
        <v>109.39</v>
      </c>
      <c r="H2475" s="2">
        <f>Table1[[#This Row],[Profit]]/Table1[[#This Row],[Sales]]*100</f>
        <v>16.649923896499239</v>
      </c>
      <c r="I2475" t="str">
        <f>IF(Table1[[#This Row],[Profit %]]&gt;20,"Excellent",IF(H2475&gt;10.1,"Good","Low"))</f>
        <v>Good</v>
      </c>
    </row>
    <row r="2476" spans="1:9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 s="2">
        <v>5345</v>
      </c>
      <c r="G2476">
        <v>1060.46</v>
      </c>
      <c r="H2476" s="2">
        <f>Table1[[#This Row],[Profit]]/Table1[[#This Row],[Sales]]*100</f>
        <v>19.840224508886813</v>
      </c>
      <c r="I2476" t="str">
        <f>IF(Table1[[#This Row],[Profit %]]&gt;20,"Excellent",IF(H2476&gt;10.1,"Good","Low"))</f>
        <v>Good</v>
      </c>
    </row>
    <row r="2477" spans="1:9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 s="2">
        <v>4032</v>
      </c>
      <c r="G2477">
        <v>251.05</v>
      </c>
      <c r="H2477" s="2">
        <f>Table1[[#This Row],[Profit]]/Table1[[#This Row],[Sales]]*100</f>
        <v>6.2264384920634921</v>
      </c>
      <c r="I2477" t="str">
        <f>IF(Table1[[#This Row],[Profit %]]&gt;20,"Excellent",IF(H2477&gt;10.1,"Good","Low"))</f>
        <v>Low</v>
      </c>
    </row>
    <row r="2478" spans="1:9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 s="2">
        <v>3840</v>
      </c>
      <c r="G2478">
        <v>552.57000000000005</v>
      </c>
      <c r="H2478" s="2">
        <f>Table1[[#This Row],[Profit]]/Table1[[#This Row],[Sales]]*100</f>
        <v>14.389843750000001</v>
      </c>
      <c r="I2478" t="str">
        <f>IF(Table1[[#This Row],[Profit %]]&gt;20,"Excellent",IF(H2478&gt;10.1,"Good","Low"))</f>
        <v>Good</v>
      </c>
    </row>
    <row r="2479" spans="1:9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 s="2">
        <v>575</v>
      </c>
      <c r="G2479">
        <v>47.35</v>
      </c>
      <c r="H2479" s="2">
        <f>Table1[[#This Row],[Profit]]/Table1[[#This Row],[Sales]]*100</f>
        <v>8.234782608695653</v>
      </c>
      <c r="I2479" t="str">
        <f>IF(Table1[[#This Row],[Profit %]]&gt;20,"Excellent",IF(H2479&gt;10.1,"Good","Low"))</f>
        <v>Low</v>
      </c>
    </row>
    <row r="2480" spans="1:9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 s="2">
        <v>9315</v>
      </c>
      <c r="G2480">
        <v>1808.68</v>
      </c>
      <c r="H2480" s="2">
        <f>Table1[[#This Row],[Profit]]/Table1[[#This Row],[Sales]]*100</f>
        <v>19.416854535695116</v>
      </c>
      <c r="I2480" t="str">
        <f>IF(Table1[[#This Row],[Profit %]]&gt;20,"Excellent",IF(H2480&gt;10.1,"Good","Low"))</f>
        <v>Good</v>
      </c>
    </row>
    <row r="2481" spans="1:9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 s="2">
        <v>3423</v>
      </c>
      <c r="G2481">
        <v>435.06</v>
      </c>
      <c r="H2481" s="2">
        <f>Table1[[#This Row],[Profit]]/Table1[[#This Row],[Sales]]*100</f>
        <v>12.709903593339176</v>
      </c>
      <c r="I2481" t="str">
        <f>IF(Table1[[#This Row],[Profit %]]&gt;20,"Excellent",IF(H2481&gt;10.1,"Good","Low"))</f>
        <v>Good</v>
      </c>
    </row>
    <row r="2482" spans="1:9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 s="2">
        <v>3942</v>
      </c>
      <c r="G2482">
        <v>748.74</v>
      </c>
      <c r="H2482" s="2">
        <f>Table1[[#This Row],[Profit]]/Table1[[#This Row],[Sales]]*100</f>
        <v>18.993911719939117</v>
      </c>
      <c r="I2482" t="str">
        <f>IF(Table1[[#This Row],[Profit %]]&gt;20,"Excellent",IF(H2482&gt;10.1,"Good","Low"))</f>
        <v>Good</v>
      </c>
    </row>
    <row r="2483" spans="1:9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 s="2">
        <v>574</v>
      </c>
      <c r="G2483">
        <v>70.16</v>
      </c>
      <c r="H2483" s="2">
        <f>Table1[[#This Row],[Profit]]/Table1[[#This Row],[Sales]]*100</f>
        <v>12.222996515679442</v>
      </c>
      <c r="I2483" t="str">
        <f>IF(Table1[[#This Row],[Profit %]]&gt;20,"Excellent",IF(H2483&gt;10.1,"Good","Low"))</f>
        <v>Good</v>
      </c>
    </row>
    <row r="2484" spans="1:9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 s="2">
        <v>3024</v>
      </c>
      <c r="G2484">
        <v>336.28</v>
      </c>
      <c r="H2484" s="2">
        <f>Table1[[#This Row],[Profit]]/Table1[[#This Row],[Sales]]*100</f>
        <v>11.12037037037037</v>
      </c>
      <c r="I2484" t="str">
        <f>IF(Table1[[#This Row],[Profit %]]&gt;20,"Excellent",IF(H2484&gt;10.1,"Good","Low"))</f>
        <v>Good</v>
      </c>
    </row>
    <row r="2485" spans="1:9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 s="2">
        <v>952</v>
      </c>
      <c r="G2485">
        <v>215.51</v>
      </c>
      <c r="H2485" s="2">
        <f>Table1[[#This Row],[Profit]]/Table1[[#This Row],[Sales]]*100</f>
        <v>22.637605042016805</v>
      </c>
      <c r="I2485" t="str">
        <f>IF(Table1[[#This Row],[Profit %]]&gt;20,"Excellent",IF(H2485&gt;10.1,"Good","Low"))</f>
        <v>Excellent</v>
      </c>
    </row>
    <row r="2486" spans="1:9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 s="2">
        <v>9090</v>
      </c>
      <c r="G2486">
        <v>937.69</v>
      </c>
      <c r="H2486" s="2">
        <f>Table1[[#This Row],[Profit]]/Table1[[#This Row],[Sales]]*100</f>
        <v>10.315621562156215</v>
      </c>
      <c r="I2486" t="str">
        <f>IF(Table1[[#This Row],[Profit %]]&gt;20,"Excellent",IF(H2486&gt;10.1,"Good","Low"))</f>
        <v>Good</v>
      </c>
    </row>
    <row r="2487" spans="1:9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 s="2">
        <v>1166</v>
      </c>
      <c r="G2487">
        <v>170.11</v>
      </c>
      <c r="H2487" s="2">
        <f>Table1[[#This Row],[Profit]]/Table1[[#This Row],[Sales]]*100</f>
        <v>14.589193825042882</v>
      </c>
      <c r="I2487" t="str">
        <f>IF(Table1[[#This Row],[Profit %]]&gt;20,"Excellent",IF(H2487&gt;10.1,"Good","Low"))</f>
        <v>Good</v>
      </c>
    </row>
    <row r="2488" spans="1:9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 s="2">
        <v>2925</v>
      </c>
      <c r="G2488">
        <v>433.95</v>
      </c>
      <c r="H2488" s="2">
        <f>Table1[[#This Row],[Profit]]/Table1[[#This Row],[Sales]]*100</f>
        <v>14.835897435897435</v>
      </c>
      <c r="I2488" t="str">
        <f>IF(Table1[[#This Row],[Profit %]]&gt;20,"Excellent",IF(H2488&gt;10.1,"Good","Low"))</f>
        <v>Good</v>
      </c>
    </row>
    <row r="2489" spans="1:9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 s="2">
        <v>3455</v>
      </c>
      <c r="G2489">
        <v>867.55</v>
      </c>
      <c r="H2489" s="2">
        <f>Table1[[#This Row],[Profit]]/Table1[[#This Row],[Sales]]*100</f>
        <v>25.109985528219969</v>
      </c>
      <c r="I2489" t="str">
        <f>IF(Table1[[#This Row],[Profit %]]&gt;20,"Excellent",IF(H2489&gt;10.1,"Good","Low"))</f>
        <v>Excellent</v>
      </c>
    </row>
    <row r="2490" spans="1:9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 s="2">
        <v>1614</v>
      </c>
      <c r="G2490">
        <v>331.3</v>
      </c>
      <c r="H2490" s="2">
        <f>Table1[[#This Row],[Profit]]/Table1[[#This Row],[Sales]]*100</f>
        <v>20.526641883519208</v>
      </c>
      <c r="I2490" t="str">
        <f>IF(Table1[[#This Row],[Profit %]]&gt;20,"Excellent",IF(H2490&gt;10.1,"Good","Low"))</f>
        <v>Excellent</v>
      </c>
    </row>
    <row r="2491" spans="1:9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 s="2">
        <v>1771</v>
      </c>
      <c r="G2491">
        <v>171.26</v>
      </c>
      <c r="H2491" s="2">
        <f>Table1[[#This Row],[Profit]]/Table1[[#This Row],[Sales]]*100</f>
        <v>9.6702428006775829</v>
      </c>
      <c r="I2491" t="str">
        <f>IF(Table1[[#This Row],[Profit %]]&gt;20,"Excellent",IF(H2491&gt;10.1,"Good","Low"))</f>
        <v>Low</v>
      </c>
    </row>
    <row r="2492" spans="1:9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 s="2">
        <v>5658</v>
      </c>
      <c r="G2492">
        <v>1504.97</v>
      </c>
      <c r="H2492" s="2">
        <f>Table1[[#This Row],[Profit]]/Table1[[#This Row],[Sales]]*100</f>
        <v>26.598974902792506</v>
      </c>
      <c r="I2492" t="str">
        <f>IF(Table1[[#This Row],[Profit %]]&gt;20,"Excellent",IF(H2492&gt;10.1,"Good","Low"))</f>
        <v>Excellent</v>
      </c>
    </row>
    <row r="2493" spans="1:9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 s="2">
        <v>8460</v>
      </c>
      <c r="G2493">
        <v>1515.06</v>
      </c>
      <c r="H2493" s="2">
        <f>Table1[[#This Row],[Profit]]/Table1[[#This Row],[Sales]]*100</f>
        <v>17.908510638297873</v>
      </c>
      <c r="I2493" t="str">
        <f>IF(Table1[[#This Row],[Profit %]]&gt;20,"Excellent",IF(H2493&gt;10.1,"Good","Low"))</f>
        <v>Good</v>
      </c>
    </row>
    <row r="2494" spans="1:9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 s="2">
        <v>1925</v>
      </c>
      <c r="G2494">
        <v>570.92999999999995</v>
      </c>
      <c r="H2494" s="2">
        <f>Table1[[#This Row],[Profit]]/Table1[[#This Row],[Sales]]*100</f>
        <v>29.658701298701295</v>
      </c>
      <c r="I2494" t="str">
        <f>IF(Table1[[#This Row],[Profit %]]&gt;20,"Excellent",IF(H2494&gt;10.1,"Good","Low"))</f>
        <v>Excellent</v>
      </c>
    </row>
    <row r="2495" spans="1:9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 s="2">
        <v>2196</v>
      </c>
      <c r="G2495">
        <v>572.16999999999996</v>
      </c>
      <c r="H2495" s="2">
        <f>Table1[[#This Row],[Profit]]/Table1[[#This Row],[Sales]]*100</f>
        <v>26.05510018214936</v>
      </c>
      <c r="I2495" t="str">
        <f>IF(Table1[[#This Row],[Profit %]]&gt;20,"Excellent",IF(H2495&gt;10.1,"Good","Low"))</f>
        <v>Excellent</v>
      </c>
    </row>
    <row r="2496" spans="1:9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 s="2">
        <v>1696</v>
      </c>
      <c r="G2496">
        <v>500.56</v>
      </c>
      <c r="H2496" s="2">
        <f>Table1[[#This Row],[Profit]]/Table1[[#This Row],[Sales]]*100</f>
        <v>29.514150943396228</v>
      </c>
      <c r="I2496" t="str">
        <f>IF(Table1[[#This Row],[Profit %]]&gt;20,"Excellent",IF(H2496&gt;10.1,"Good","Low"))</f>
        <v>Excellent</v>
      </c>
    </row>
    <row r="2497" spans="1:9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 s="2">
        <v>6813</v>
      </c>
      <c r="G2497">
        <v>1966.66</v>
      </c>
      <c r="H2497" s="2">
        <f>Table1[[#This Row],[Profit]]/Table1[[#This Row],[Sales]]*100</f>
        <v>28.866285043299577</v>
      </c>
      <c r="I2497" t="str">
        <f>IF(Table1[[#This Row],[Profit %]]&gt;20,"Excellent",IF(H2497&gt;10.1,"Good","Low"))</f>
        <v>Excellent</v>
      </c>
    </row>
    <row r="2498" spans="1:9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 s="2">
        <v>3670</v>
      </c>
      <c r="G2498">
        <v>790.67</v>
      </c>
      <c r="H2498" s="2">
        <f>Table1[[#This Row],[Profit]]/Table1[[#This Row],[Sales]]*100</f>
        <v>21.544141689373294</v>
      </c>
      <c r="I2498" t="str">
        <f>IF(Table1[[#This Row],[Profit %]]&gt;20,"Excellent",IF(H2498&gt;10.1,"Good","Low"))</f>
        <v>Excellent</v>
      </c>
    </row>
    <row r="2499" spans="1:9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 s="2">
        <v>2936</v>
      </c>
      <c r="G2499">
        <v>204.55</v>
      </c>
      <c r="H2499" s="2">
        <f>Table1[[#This Row],[Profit]]/Table1[[#This Row],[Sales]]*100</f>
        <v>6.9669618528610355</v>
      </c>
      <c r="I2499" t="str">
        <f>IF(Table1[[#This Row],[Profit %]]&gt;20,"Excellent",IF(H2499&gt;10.1,"Good","Low"))</f>
        <v>Low</v>
      </c>
    </row>
    <row r="2500" spans="1:9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 s="2">
        <v>5165</v>
      </c>
      <c r="G2500">
        <v>283.60000000000002</v>
      </c>
      <c r="H2500" s="2">
        <f>Table1[[#This Row],[Profit]]/Table1[[#This Row],[Sales]]*100</f>
        <v>5.4908034849951601</v>
      </c>
      <c r="I2500" t="str">
        <f>IF(Table1[[#This Row],[Profit %]]&gt;20,"Excellent",IF(H2500&gt;10.1,"Good","Low"))</f>
        <v>Low</v>
      </c>
    </row>
    <row r="2501" spans="1:9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 s="2">
        <v>5940</v>
      </c>
      <c r="G2501">
        <v>467.31</v>
      </c>
      <c r="H2501" s="2">
        <f>Table1[[#This Row],[Profit]]/Table1[[#This Row],[Sales]]*100</f>
        <v>7.8671717171717166</v>
      </c>
      <c r="I2501" t="str">
        <f>IF(Table1[[#This Row],[Profit %]]&gt;20,"Excellent",IF(H2501&gt;10.1,"Good","Low"))</f>
        <v>Low</v>
      </c>
    </row>
    <row r="2502" spans="1:9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 s="2">
        <v>2664</v>
      </c>
      <c r="G2502">
        <v>520.29999999999995</v>
      </c>
      <c r="H2502" s="2">
        <f>Table1[[#This Row],[Profit]]/Table1[[#This Row],[Sales]]*100</f>
        <v>19.530780780780781</v>
      </c>
      <c r="I2502" t="str">
        <f>IF(Table1[[#This Row],[Profit %]]&gt;20,"Excellent",IF(H2502&gt;10.1,"Good","Low"))</f>
        <v>Good</v>
      </c>
    </row>
    <row r="2503" spans="1:9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 s="2">
        <v>1198</v>
      </c>
      <c r="G2503">
        <v>134.38999999999999</v>
      </c>
      <c r="H2503" s="2">
        <f>Table1[[#This Row],[Profit]]/Table1[[#This Row],[Sales]]*100</f>
        <v>11.21786310517529</v>
      </c>
      <c r="I2503" t="str">
        <f>IF(Table1[[#This Row],[Profit %]]&gt;20,"Excellent",IF(H2503&gt;10.1,"Good","Low"))</f>
        <v>Good</v>
      </c>
    </row>
    <row r="2504" spans="1:9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 s="2">
        <v>1340</v>
      </c>
      <c r="G2504">
        <v>309.8</v>
      </c>
      <c r="H2504" s="2">
        <f>Table1[[#This Row],[Profit]]/Table1[[#This Row],[Sales]]*100</f>
        <v>23.119402985074629</v>
      </c>
      <c r="I2504" t="str">
        <f>IF(Table1[[#This Row],[Profit %]]&gt;20,"Excellent",IF(H2504&gt;10.1,"Good","Low"))</f>
        <v>Excellent</v>
      </c>
    </row>
    <row r="2505" spans="1:9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 s="2">
        <v>9657</v>
      </c>
      <c r="G2505">
        <v>1233.47</v>
      </c>
      <c r="H2505" s="2">
        <f>Table1[[#This Row],[Profit]]/Table1[[#This Row],[Sales]]*100</f>
        <v>12.772807290048668</v>
      </c>
      <c r="I2505" t="str">
        <f>IF(Table1[[#This Row],[Profit %]]&gt;20,"Excellent",IF(H2505&gt;10.1,"Good","Low"))</f>
        <v>Good</v>
      </c>
    </row>
    <row r="2506" spans="1:9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 s="2">
        <v>2592</v>
      </c>
      <c r="G2506">
        <v>191.66</v>
      </c>
      <c r="H2506" s="2">
        <f>Table1[[#This Row],[Profit]]/Table1[[#This Row],[Sales]]*100</f>
        <v>7.3942901234567895</v>
      </c>
      <c r="I2506" t="str">
        <f>IF(Table1[[#This Row],[Profit %]]&gt;20,"Excellent",IF(H2506&gt;10.1,"Good","Low"))</f>
        <v>Low</v>
      </c>
    </row>
    <row r="2507" spans="1:9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 s="2">
        <v>1168</v>
      </c>
      <c r="G2507">
        <v>135.36000000000001</v>
      </c>
      <c r="H2507" s="2">
        <f>Table1[[#This Row],[Profit]]/Table1[[#This Row],[Sales]]*100</f>
        <v>11.589041095890412</v>
      </c>
      <c r="I2507" t="str">
        <f>IF(Table1[[#This Row],[Profit %]]&gt;20,"Excellent",IF(H2507&gt;10.1,"Good","Low"))</f>
        <v>Good</v>
      </c>
    </row>
    <row r="2508" spans="1:9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 s="2">
        <v>5920</v>
      </c>
      <c r="G2508">
        <v>1241.27</v>
      </c>
      <c r="H2508" s="2">
        <f>Table1[[#This Row],[Profit]]/Table1[[#This Row],[Sales]]*100</f>
        <v>20.967398648648651</v>
      </c>
      <c r="I2508" t="str">
        <f>IF(Table1[[#This Row],[Profit %]]&gt;20,"Excellent",IF(H2508&gt;10.1,"Good","Low"))</f>
        <v>Excellent</v>
      </c>
    </row>
    <row r="2509" spans="1:9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 s="2">
        <v>2260</v>
      </c>
      <c r="G2509">
        <v>268.47000000000003</v>
      </c>
      <c r="H2509" s="2">
        <f>Table1[[#This Row],[Profit]]/Table1[[#This Row],[Sales]]*100</f>
        <v>11.87920353982301</v>
      </c>
      <c r="I2509" t="str">
        <f>IF(Table1[[#This Row],[Profit %]]&gt;20,"Excellent",IF(H2509&gt;10.1,"Good","Low"))</f>
        <v>Good</v>
      </c>
    </row>
    <row r="2510" spans="1:9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 s="2">
        <v>7016</v>
      </c>
      <c r="G2510">
        <v>1490.07</v>
      </c>
      <c r="H2510" s="2">
        <f>Table1[[#This Row],[Profit]]/Table1[[#This Row],[Sales]]*100</f>
        <v>21.238169897377421</v>
      </c>
      <c r="I2510" t="str">
        <f>IF(Table1[[#This Row],[Profit %]]&gt;20,"Excellent",IF(H2510&gt;10.1,"Good","Low"))</f>
        <v>Excellent</v>
      </c>
    </row>
    <row r="2511" spans="1:9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 s="2">
        <v>546</v>
      </c>
      <c r="G2511">
        <v>79.94</v>
      </c>
      <c r="H2511" s="2">
        <f>Table1[[#This Row],[Profit]]/Table1[[#This Row],[Sales]]*100</f>
        <v>14.641025641025641</v>
      </c>
      <c r="I2511" t="str">
        <f>IF(Table1[[#This Row],[Profit %]]&gt;20,"Excellent",IF(H2511&gt;10.1,"Good","Low"))</f>
        <v>Good</v>
      </c>
    </row>
    <row r="2512" spans="1:9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 s="2">
        <v>839</v>
      </c>
      <c r="G2512">
        <v>228.72</v>
      </c>
      <c r="H2512" s="2">
        <f>Table1[[#This Row],[Profit]]/Table1[[#This Row],[Sales]]*100</f>
        <v>27.261025029797377</v>
      </c>
      <c r="I2512" t="str">
        <f>IF(Table1[[#This Row],[Profit %]]&gt;20,"Excellent",IF(H2512&gt;10.1,"Good","Low"))</f>
        <v>Excellent</v>
      </c>
    </row>
    <row r="2513" spans="1:9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 s="2">
        <v>5176</v>
      </c>
      <c r="G2513">
        <v>619.45000000000005</v>
      </c>
      <c r="H2513" s="2">
        <f>Table1[[#This Row],[Profit]]/Table1[[#This Row],[Sales]]*100</f>
        <v>11.967735703245751</v>
      </c>
      <c r="I2513" t="str">
        <f>IF(Table1[[#This Row],[Profit %]]&gt;20,"Excellent",IF(H2513&gt;10.1,"Good","Low"))</f>
        <v>Good</v>
      </c>
    </row>
    <row r="2514" spans="1:9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 s="2">
        <v>280</v>
      </c>
      <c r="G2514">
        <v>24.9</v>
      </c>
      <c r="H2514" s="2">
        <f>Table1[[#This Row],[Profit]]/Table1[[#This Row],[Sales]]*100</f>
        <v>8.8928571428571423</v>
      </c>
      <c r="I2514" t="str">
        <f>IF(Table1[[#This Row],[Profit %]]&gt;20,"Excellent",IF(H2514&gt;10.1,"Good","Low"))</f>
        <v>Low</v>
      </c>
    </row>
    <row r="2515" spans="1:9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 s="2">
        <v>2097</v>
      </c>
      <c r="G2515">
        <v>210.59</v>
      </c>
      <c r="H2515" s="2">
        <f>Table1[[#This Row],[Profit]]/Table1[[#This Row],[Sales]]*100</f>
        <v>10.042441583214115</v>
      </c>
      <c r="I2515" t="str">
        <f>IF(Table1[[#This Row],[Profit %]]&gt;20,"Excellent",IF(H2515&gt;10.1,"Good","Low"))</f>
        <v>Low</v>
      </c>
    </row>
    <row r="2516" spans="1:9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 s="2">
        <v>4632</v>
      </c>
      <c r="G2516">
        <v>799.16</v>
      </c>
      <c r="H2516" s="2">
        <f>Table1[[#This Row],[Profit]]/Table1[[#This Row],[Sales]]*100</f>
        <v>17.253022452504315</v>
      </c>
      <c r="I2516" t="str">
        <f>IF(Table1[[#This Row],[Profit %]]&gt;20,"Excellent",IF(H2516&gt;10.1,"Good","Low"))</f>
        <v>Good</v>
      </c>
    </row>
    <row r="2517" spans="1:9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 s="2">
        <v>1088</v>
      </c>
      <c r="G2517">
        <v>283.61</v>
      </c>
      <c r="H2517" s="2">
        <f>Table1[[#This Row],[Profit]]/Table1[[#This Row],[Sales]]*100</f>
        <v>26.067095588235293</v>
      </c>
      <c r="I2517" t="str">
        <f>IF(Table1[[#This Row],[Profit %]]&gt;20,"Excellent",IF(H2517&gt;10.1,"Good","Low"))</f>
        <v>Excellent</v>
      </c>
    </row>
    <row r="2518" spans="1:9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 s="2">
        <v>1314</v>
      </c>
      <c r="G2518">
        <v>391.55</v>
      </c>
      <c r="H2518" s="2">
        <f>Table1[[#This Row],[Profit]]/Table1[[#This Row],[Sales]]*100</f>
        <v>29.798325722983261</v>
      </c>
      <c r="I2518" t="str">
        <f>IF(Table1[[#This Row],[Profit %]]&gt;20,"Excellent",IF(H2518&gt;10.1,"Good","Low"))</f>
        <v>Excellent</v>
      </c>
    </row>
    <row r="2519" spans="1:9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 s="2">
        <v>7960</v>
      </c>
      <c r="G2519">
        <v>804.11</v>
      </c>
      <c r="H2519" s="2">
        <f>Table1[[#This Row],[Profit]]/Table1[[#This Row],[Sales]]*100</f>
        <v>10.101884422110553</v>
      </c>
      <c r="I2519" t="str">
        <f>IF(Table1[[#This Row],[Profit %]]&gt;20,"Excellent",IF(H2519&gt;10.1,"Good","Low"))</f>
        <v>Good</v>
      </c>
    </row>
    <row r="2520" spans="1:9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 s="2">
        <v>2856</v>
      </c>
      <c r="G2520">
        <v>350.32</v>
      </c>
      <c r="H2520" s="2">
        <f>Table1[[#This Row],[Profit]]/Table1[[#This Row],[Sales]]*100</f>
        <v>12.266106442577032</v>
      </c>
      <c r="I2520" t="str">
        <f>IF(Table1[[#This Row],[Profit %]]&gt;20,"Excellent",IF(H2520&gt;10.1,"Good","Low"))</f>
        <v>Good</v>
      </c>
    </row>
    <row r="2521" spans="1:9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 s="2">
        <v>1680</v>
      </c>
      <c r="G2521">
        <v>385.92</v>
      </c>
      <c r="H2521" s="2">
        <f>Table1[[#This Row],[Profit]]/Table1[[#This Row],[Sales]]*100</f>
        <v>22.971428571428572</v>
      </c>
      <c r="I2521" t="str">
        <f>IF(Table1[[#This Row],[Profit %]]&gt;20,"Excellent",IF(H2521&gt;10.1,"Good","Low"))</f>
        <v>Excellent</v>
      </c>
    </row>
    <row r="2522" spans="1:9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 s="2">
        <v>4464</v>
      </c>
      <c r="G2522">
        <v>1069.6300000000001</v>
      </c>
      <c r="H2522" s="2">
        <f>Table1[[#This Row],[Profit]]/Table1[[#This Row],[Sales]]*100</f>
        <v>23.961245519713266</v>
      </c>
      <c r="I2522" t="str">
        <f>IF(Table1[[#This Row],[Profit %]]&gt;20,"Excellent",IF(H2522&gt;10.1,"Good","Low"))</f>
        <v>Excellent</v>
      </c>
    </row>
    <row r="2523" spans="1:9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 s="2">
        <v>2940</v>
      </c>
      <c r="G2523">
        <v>184.97</v>
      </c>
      <c r="H2523" s="2">
        <f>Table1[[#This Row],[Profit]]/Table1[[#This Row],[Sales]]*100</f>
        <v>6.2914965986394549</v>
      </c>
      <c r="I2523" t="str">
        <f>IF(Table1[[#This Row],[Profit %]]&gt;20,"Excellent",IF(H2523&gt;10.1,"Good","Low"))</f>
        <v>Low</v>
      </c>
    </row>
    <row r="2524" spans="1:9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 s="2">
        <v>1272</v>
      </c>
      <c r="G2524">
        <v>344.45</v>
      </c>
      <c r="H2524" s="2">
        <f>Table1[[#This Row],[Profit]]/Table1[[#This Row],[Sales]]*100</f>
        <v>27.079402515723274</v>
      </c>
      <c r="I2524" t="str">
        <f>IF(Table1[[#This Row],[Profit %]]&gt;20,"Excellent",IF(H2524&gt;10.1,"Good","Low"))</f>
        <v>Excellent</v>
      </c>
    </row>
    <row r="2525" spans="1:9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 s="2">
        <v>1728</v>
      </c>
      <c r="G2525">
        <v>247.86</v>
      </c>
      <c r="H2525" s="2">
        <f>Table1[[#This Row],[Profit]]/Table1[[#This Row],[Sales]]*100</f>
        <v>14.34375</v>
      </c>
      <c r="I2525" t="str">
        <f>IF(Table1[[#This Row],[Profit %]]&gt;20,"Excellent",IF(H2525&gt;10.1,"Good","Low"))</f>
        <v>Good</v>
      </c>
    </row>
    <row r="2526" spans="1:9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 s="2">
        <v>3153</v>
      </c>
      <c r="G2526">
        <v>563.55999999999995</v>
      </c>
      <c r="H2526" s="2">
        <f>Table1[[#This Row],[Profit]]/Table1[[#This Row],[Sales]]*100</f>
        <v>17.873771011734853</v>
      </c>
      <c r="I2526" t="str">
        <f>IF(Table1[[#This Row],[Profit %]]&gt;20,"Excellent",IF(H2526&gt;10.1,"Good","Low"))</f>
        <v>Good</v>
      </c>
    </row>
    <row r="2527" spans="1:9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 s="2">
        <v>2536</v>
      </c>
      <c r="G2527">
        <v>285.72000000000003</v>
      </c>
      <c r="H2527" s="2">
        <f>Table1[[#This Row],[Profit]]/Table1[[#This Row],[Sales]]*100</f>
        <v>11.266561514195585</v>
      </c>
      <c r="I2527" t="str">
        <f>IF(Table1[[#This Row],[Profit %]]&gt;20,"Excellent",IF(H2527&gt;10.1,"Good","Low"))</f>
        <v>Good</v>
      </c>
    </row>
    <row r="2528" spans="1:9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 s="2">
        <v>2508</v>
      </c>
      <c r="G2528">
        <v>431.53</v>
      </c>
      <c r="H2528" s="2">
        <f>Table1[[#This Row],[Profit]]/Table1[[#This Row],[Sales]]*100</f>
        <v>17.206140350877192</v>
      </c>
      <c r="I2528" t="str">
        <f>IF(Table1[[#This Row],[Profit %]]&gt;20,"Excellent",IF(H2528&gt;10.1,"Good","Low"))</f>
        <v>Good</v>
      </c>
    </row>
    <row r="2529" spans="1:9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 s="2">
        <v>123</v>
      </c>
      <c r="G2529">
        <v>12.36</v>
      </c>
      <c r="H2529" s="2">
        <f>Table1[[#This Row],[Profit]]/Table1[[#This Row],[Sales]]*100</f>
        <v>10.048780487804878</v>
      </c>
      <c r="I2529" t="str">
        <f>IF(Table1[[#This Row],[Profit %]]&gt;20,"Excellent",IF(H2529&gt;10.1,"Good","Low"))</f>
        <v>Low</v>
      </c>
    </row>
    <row r="2530" spans="1:9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 s="2">
        <v>2379</v>
      </c>
      <c r="G2530">
        <v>148.68</v>
      </c>
      <c r="H2530" s="2">
        <f>Table1[[#This Row],[Profit]]/Table1[[#This Row],[Sales]]*100</f>
        <v>6.2496847414880206</v>
      </c>
      <c r="I2530" t="str">
        <f>IF(Table1[[#This Row],[Profit %]]&gt;20,"Excellent",IF(H2530&gt;10.1,"Good","Low"))</f>
        <v>Low</v>
      </c>
    </row>
    <row r="2531" spans="1:9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 s="2">
        <v>6924</v>
      </c>
      <c r="G2531">
        <v>1693.77</v>
      </c>
      <c r="H2531" s="2">
        <f>Table1[[#This Row],[Profit]]/Table1[[#This Row],[Sales]]*100</f>
        <v>24.462305025996535</v>
      </c>
      <c r="I2531" t="str">
        <f>IF(Table1[[#This Row],[Profit %]]&gt;20,"Excellent",IF(H2531&gt;10.1,"Good","Low"))</f>
        <v>Excellent</v>
      </c>
    </row>
    <row r="2532" spans="1:9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 s="2">
        <v>9054</v>
      </c>
      <c r="G2532">
        <v>644.36</v>
      </c>
      <c r="H2532" s="2">
        <f>Table1[[#This Row],[Profit]]/Table1[[#This Row],[Sales]]*100</f>
        <v>7.1168544289816653</v>
      </c>
      <c r="I2532" t="str">
        <f>IF(Table1[[#This Row],[Profit %]]&gt;20,"Excellent",IF(H2532&gt;10.1,"Good","Low"))</f>
        <v>Low</v>
      </c>
    </row>
    <row r="2533" spans="1:9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 s="2">
        <v>9936</v>
      </c>
      <c r="G2533">
        <v>2797.45</v>
      </c>
      <c r="H2533" s="2">
        <f>Table1[[#This Row],[Profit]]/Table1[[#This Row],[Sales]]*100</f>
        <v>28.154690016103057</v>
      </c>
      <c r="I2533" t="str">
        <f>IF(Table1[[#This Row],[Profit %]]&gt;20,"Excellent",IF(H2533&gt;10.1,"Good","Low"))</f>
        <v>Excellent</v>
      </c>
    </row>
    <row r="2534" spans="1:9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 s="2">
        <v>393</v>
      </c>
      <c r="G2534">
        <v>41.05</v>
      </c>
      <c r="H2534" s="2">
        <f>Table1[[#This Row],[Profit]]/Table1[[#This Row],[Sales]]*100</f>
        <v>10.445292620865139</v>
      </c>
      <c r="I2534" t="str">
        <f>IF(Table1[[#This Row],[Profit %]]&gt;20,"Excellent",IF(H2534&gt;10.1,"Good","Low"))</f>
        <v>Good</v>
      </c>
    </row>
    <row r="2535" spans="1:9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 s="2">
        <v>308</v>
      </c>
      <c r="G2535">
        <v>35.32</v>
      </c>
      <c r="H2535" s="2">
        <f>Table1[[#This Row],[Profit]]/Table1[[#This Row],[Sales]]*100</f>
        <v>11.467532467532468</v>
      </c>
      <c r="I2535" t="str">
        <f>IF(Table1[[#This Row],[Profit %]]&gt;20,"Excellent",IF(H2535&gt;10.1,"Good","Low"))</f>
        <v>Good</v>
      </c>
    </row>
    <row r="2536" spans="1:9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 s="2">
        <v>4900</v>
      </c>
      <c r="G2536">
        <v>347.25</v>
      </c>
      <c r="H2536" s="2">
        <f>Table1[[#This Row],[Profit]]/Table1[[#This Row],[Sales]]*100</f>
        <v>7.0867346938775517</v>
      </c>
      <c r="I2536" t="str">
        <f>IF(Table1[[#This Row],[Profit %]]&gt;20,"Excellent",IF(H2536&gt;10.1,"Good","Low"))</f>
        <v>Low</v>
      </c>
    </row>
    <row r="2537" spans="1:9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 s="2">
        <v>927</v>
      </c>
      <c r="G2537">
        <v>103.95</v>
      </c>
      <c r="H2537" s="2">
        <f>Table1[[#This Row],[Profit]]/Table1[[#This Row],[Sales]]*100</f>
        <v>11.21359223300971</v>
      </c>
      <c r="I2537" t="str">
        <f>IF(Table1[[#This Row],[Profit %]]&gt;20,"Excellent",IF(H2537&gt;10.1,"Good","Low"))</f>
        <v>Good</v>
      </c>
    </row>
    <row r="2538" spans="1:9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 s="2">
        <v>266</v>
      </c>
      <c r="G2538">
        <v>22.42</v>
      </c>
      <c r="H2538" s="2">
        <f>Table1[[#This Row],[Profit]]/Table1[[#This Row],[Sales]]*100</f>
        <v>8.4285714285714306</v>
      </c>
      <c r="I2538" t="str">
        <f>IF(Table1[[#This Row],[Profit %]]&gt;20,"Excellent",IF(H2538&gt;10.1,"Good","Low"))</f>
        <v>Low</v>
      </c>
    </row>
    <row r="2539" spans="1:9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 s="2">
        <v>4750</v>
      </c>
      <c r="G2539">
        <v>1179.56</v>
      </c>
      <c r="H2539" s="2">
        <f>Table1[[#This Row],[Profit]]/Table1[[#This Row],[Sales]]*100</f>
        <v>24.832842105263158</v>
      </c>
      <c r="I2539" t="str">
        <f>IF(Table1[[#This Row],[Profit %]]&gt;20,"Excellent",IF(H2539&gt;10.1,"Good","Low"))</f>
        <v>Excellent</v>
      </c>
    </row>
    <row r="2540" spans="1:9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 s="2">
        <v>3272</v>
      </c>
      <c r="G2540">
        <v>460.82</v>
      </c>
      <c r="H2540" s="2">
        <f>Table1[[#This Row],[Profit]]/Table1[[#This Row],[Sales]]*100</f>
        <v>14.083740831295843</v>
      </c>
      <c r="I2540" t="str">
        <f>IF(Table1[[#This Row],[Profit %]]&gt;20,"Excellent",IF(H2540&gt;10.1,"Good","Low"))</f>
        <v>Good</v>
      </c>
    </row>
    <row r="2541" spans="1:9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 s="2">
        <v>4350</v>
      </c>
      <c r="G2541">
        <v>688.77</v>
      </c>
      <c r="H2541" s="2">
        <f>Table1[[#This Row],[Profit]]/Table1[[#This Row],[Sales]]*100</f>
        <v>15.833793103448276</v>
      </c>
      <c r="I2541" t="str">
        <f>IF(Table1[[#This Row],[Profit %]]&gt;20,"Excellent",IF(H2541&gt;10.1,"Good","Low"))</f>
        <v>Good</v>
      </c>
    </row>
    <row r="2542" spans="1:9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 s="2">
        <v>706</v>
      </c>
      <c r="G2542">
        <v>63.82</v>
      </c>
      <c r="H2542" s="2">
        <f>Table1[[#This Row],[Profit]]/Table1[[#This Row],[Sales]]*100</f>
        <v>9.0396600566572243</v>
      </c>
      <c r="I2542" t="str">
        <f>IF(Table1[[#This Row],[Profit %]]&gt;20,"Excellent",IF(H2542&gt;10.1,"Good","Low"))</f>
        <v>Low</v>
      </c>
    </row>
    <row r="2543" spans="1:9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 s="2">
        <v>213</v>
      </c>
      <c r="G2543">
        <v>30.68</v>
      </c>
      <c r="H2543" s="2">
        <f>Table1[[#This Row],[Profit]]/Table1[[#This Row],[Sales]]*100</f>
        <v>14.403755868544602</v>
      </c>
      <c r="I2543" t="str">
        <f>IF(Table1[[#This Row],[Profit %]]&gt;20,"Excellent",IF(H2543&gt;10.1,"Good","Low"))</f>
        <v>Good</v>
      </c>
    </row>
    <row r="2544" spans="1:9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 s="2">
        <v>1614</v>
      </c>
      <c r="G2544">
        <v>376.31</v>
      </c>
      <c r="H2544" s="2">
        <f>Table1[[#This Row],[Profit]]/Table1[[#This Row],[Sales]]*100</f>
        <v>23.315365551425032</v>
      </c>
      <c r="I2544" t="str">
        <f>IF(Table1[[#This Row],[Profit %]]&gt;20,"Excellent",IF(H2544&gt;10.1,"Good","Low"))</f>
        <v>Excellent</v>
      </c>
    </row>
    <row r="2545" spans="1:9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 s="2">
        <v>6232</v>
      </c>
      <c r="G2545">
        <v>499.63</v>
      </c>
      <c r="H2545" s="2">
        <f>Table1[[#This Row],[Profit]]/Table1[[#This Row],[Sales]]*100</f>
        <v>8.0171694480102698</v>
      </c>
      <c r="I2545" t="str">
        <f>IF(Table1[[#This Row],[Profit %]]&gt;20,"Excellent",IF(H2545&gt;10.1,"Good","Low"))</f>
        <v>Low</v>
      </c>
    </row>
    <row r="2546" spans="1:9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 s="2">
        <v>3864</v>
      </c>
      <c r="G2546">
        <v>717.45</v>
      </c>
      <c r="H2546" s="2">
        <f>Table1[[#This Row],[Profit]]/Table1[[#This Row],[Sales]]*100</f>
        <v>18.567546583850934</v>
      </c>
      <c r="I2546" t="str">
        <f>IF(Table1[[#This Row],[Profit %]]&gt;20,"Excellent",IF(H2546&gt;10.1,"Good","Low"))</f>
        <v>Good</v>
      </c>
    </row>
    <row r="2547" spans="1:9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 s="2">
        <v>2601</v>
      </c>
      <c r="G2547">
        <v>363.64</v>
      </c>
      <c r="H2547" s="2">
        <f>Table1[[#This Row],[Profit]]/Table1[[#This Row],[Sales]]*100</f>
        <v>13.98077662437524</v>
      </c>
      <c r="I2547" t="str">
        <f>IF(Table1[[#This Row],[Profit %]]&gt;20,"Excellent",IF(H2547&gt;10.1,"Good","Low"))</f>
        <v>Good</v>
      </c>
    </row>
    <row r="2548" spans="1:9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 s="2">
        <v>4944</v>
      </c>
      <c r="G2548">
        <v>758.46</v>
      </c>
      <c r="H2548" s="2">
        <f>Table1[[#This Row],[Profit]]/Table1[[#This Row],[Sales]]*100</f>
        <v>15.34101941747573</v>
      </c>
      <c r="I2548" t="str">
        <f>IF(Table1[[#This Row],[Profit %]]&gt;20,"Excellent",IF(H2548&gt;10.1,"Good","Low"))</f>
        <v>Good</v>
      </c>
    </row>
    <row r="2549" spans="1:9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 s="2">
        <v>4680</v>
      </c>
      <c r="G2549">
        <v>301.91000000000003</v>
      </c>
      <c r="H2549" s="2">
        <f>Table1[[#This Row],[Profit]]/Table1[[#This Row],[Sales]]*100</f>
        <v>6.4510683760683767</v>
      </c>
      <c r="I2549" t="str">
        <f>IF(Table1[[#This Row],[Profit %]]&gt;20,"Excellent",IF(H2549&gt;10.1,"Good","Low"))</f>
        <v>Low</v>
      </c>
    </row>
    <row r="2550" spans="1:9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 s="2">
        <v>2112</v>
      </c>
      <c r="G2550">
        <v>418.58</v>
      </c>
      <c r="H2550" s="2">
        <f>Table1[[#This Row],[Profit]]/Table1[[#This Row],[Sales]]*100</f>
        <v>19.819128787878785</v>
      </c>
      <c r="I2550" t="str">
        <f>IF(Table1[[#This Row],[Profit %]]&gt;20,"Excellent",IF(H2550&gt;10.1,"Good","Low"))</f>
        <v>Good</v>
      </c>
    </row>
    <row r="2551" spans="1:9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 s="2">
        <v>7140</v>
      </c>
      <c r="G2551">
        <v>869.93</v>
      </c>
      <c r="H2551" s="2">
        <f>Table1[[#This Row],[Profit]]/Table1[[#This Row],[Sales]]*100</f>
        <v>12.183893557422969</v>
      </c>
      <c r="I2551" t="str">
        <f>IF(Table1[[#This Row],[Profit %]]&gt;20,"Excellent",IF(H2551&gt;10.1,"Good","Low"))</f>
        <v>Good</v>
      </c>
    </row>
    <row r="2552" spans="1:9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 s="2">
        <v>750</v>
      </c>
      <c r="G2552">
        <v>37.97</v>
      </c>
      <c r="H2552" s="2">
        <f>Table1[[#This Row],[Profit]]/Table1[[#This Row],[Sales]]*100</f>
        <v>5.0626666666666669</v>
      </c>
      <c r="I2552" t="str">
        <f>IF(Table1[[#This Row],[Profit %]]&gt;20,"Excellent",IF(H2552&gt;10.1,"Good","Low"))</f>
        <v>Low</v>
      </c>
    </row>
    <row r="2553" spans="1:9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 s="2">
        <v>392</v>
      </c>
      <c r="G2553">
        <v>39.229999999999997</v>
      </c>
      <c r="H2553" s="2">
        <f>Table1[[#This Row],[Profit]]/Table1[[#This Row],[Sales]]*100</f>
        <v>10.00765306122449</v>
      </c>
      <c r="I2553" t="str">
        <f>IF(Table1[[#This Row],[Profit %]]&gt;20,"Excellent",IF(H2553&gt;10.1,"Good","Low"))</f>
        <v>Low</v>
      </c>
    </row>
    <row r="2554" spans="1:9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 s="2">
        <v>2408</v>
      </c>
      <c r="G2554">
        <v>721.8</v>
      </c>
      <c r="H2554" s="2">
        <f>Table1[[#This Row],[Profit]]/Table1[[#This Row],[Sales]]*100</f>
        <v>29.975083056478404</v>
      </c>
      <c r="I2554" t="str">
        <f>IF(Table1[[#This Row],[Profit %]]&gt;20,"Excellent",IF(H2554&gt;10.1,"Good","Low"))</f>
        <v>Excellent</v>
      </c>
    </row>
    <row r="2555" spans="1:9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 s="2">
        <v>2016</v>
      </c>
      <c r="G2555">
        <v>151.4</v>
      </c>
      <c r="H2555" s="2">
        <f>Table1[[#This Row],[Profit]]/Table1[[#This Row],[Sales]]*100</f>
        <v>7.5099206349206344</v>
      </c>
      <c r="I2555" t="str">
        <f>IF(Table1[[#This Row],[Profit %]]&gt;20,"Excellent",IF(H2555&gt;10.1,"Good","Low"))</f>
        <v>Low</v>
      </c>
    </row>
    <row r="2556" spans="1:9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 s="2">
        <v>464</v>
      </c>
      <c r="G2556">
        <v>47.93</v>
      </c>
      <c r="H2556" s="2">
        <f>Table1[[#This Row],[Profit]]/Table1[[#This Row],[Sales]]*100</f>
        <v>10.329741379310345</v>
      </c>
      <c r="I2556" t="str">
        <f>IF(Table1[[#This Row],[Profit %]]&gt;20,"Excellent",IF(H2556&gt;10.1,"Good","Low"))</f>
        <v>Good</v>
      </c>
    </row>
    <row r="2557" spans="1:9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 s="2">
        <v>832</v>
      </c>
      <c r="G2557">
        <v>227.11</v>
      </c>
      <c r="H2557" s="2">
        <f>Table1[[#This Row],[Profit]]/Table1[[#This Row],[Sales]]*100</f>
        <v>27.296875000000004</v>
      </c>
      <c r="I2557" t="str">
        <f>IF(Table1[[#This Row],[Profit %]]&gt;20,"Excellent",IF(H2557&gt;10.1,"Good","Low"))</f>
        <v>Excellent</v>
      </c>
    </row>
    <row r="2558" spans="1:9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 s="2">
        <v>1296</v>
      </c>
      <c r="G2558">
        <v>374.8</v>
      </c>
      <c r="H2558" s="2">
        <f>Table1[[#This Row],[Profit]]/Table1[[#This Row],[Sales]]*100</f>
        <v>28.919753086419753</v>
      </c>
      <c r="I2558" t="str">
        <f>IF(Table1[[#This Row],[Profit %]]&gt;20,"Excellent",IF(H2558&gt;10.1,"Good","Low"))</f>
        <v>Excellent</v>
      </c>
    </row>
    <row r="2559" spans="1:9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 s="2">
        <v>300</v>
      </c>
      <c r="G2559">
        <v>45.81</v>
      </c>
      <c r="H2559" s="2">
        <f>Table1[[#This Row],[Profit]]/Table1[[#This Row],[Sales]]*100</f>
        <v>15.27</v>
      </c>
      <c r="I2559" t="str">
        <f>IF(Table1[[#This Row],[Profit %]]&gt;20,"Excellent",IF(H2559&gt;10.1,"Good","Low"))</f>
        <v>Good</v>
      </c>
    </row>
    <row r="2560" spans="1:9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 s="2">
        <v>2856</v>
      </c>
      <c r="G2560">
        <v>226.53</v>
      </c>
      <c r="H2560" s="2">
        <f>Table1[[#This Row],[Profit]]/Table1[[#This Row],[Sales]]*100</f>
        <v>7.9317226890756309</v>
      </c>
      <c r="I2560" t="str">
        <f>IF(Table1[[#This Row],[Profit %]]&gt;20,"Excellent",IF(H2560&gt;10.1,"Good","Low"))</f>
        <v>Low</v>
      </c>
    </row>
    <row r="2561" spans="1:9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 s="2">
        <v>3380</v>
      </c>
      <c r="G2561">
        <v>287.05</v>
      </c>
      <c r="H2561" s="2">
        <f>Table1[[#This Row],[Profit]]/Table1[[#This Row],[Sales]]*100</f>
        <v>8.4926035502958594</v>
      </c>
      <c r="I2561" t="str">
        <f>IF(Table1[[#This Row],[Profit %]]&gt;20,"Excellent",IF(H2561&gt;10.1,"Good","Low"))</f>
        <v>Low</v>
      </c>
    </row>
    <row r="2562" spans="1:9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 s="2">
        <v>400</v>
      </c>
      <c r="G2562">
        <v>86.52</v>
      </c>
      <c r="H2562" s="2">
        <f>Table1[[#This Row],[Profit]]/Table1[[#This Row],[Sales]]*100</f>
        <v>21.63</v>
      </c>
      <c r="I2562" t="str">
        <f>IF(Table1[[#This Row],[Profit %]]&gt;20,"Excellent",IF(H2562&gt;10.1,"Good","Low"))</f>
        <v>Excellent</v>
      </c>
    </row>
    <row r="2563" spans="1:9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 s="2">
        <v>722</v>
      </c>
      <c r="G2563">
        <v>49.7</v>
      </c>
      <c r="H2563" s="2">
        <f>Table1[[#This Row],[Profit]]/Table1[[#This Row],[Sales]]*100</f>
        <v>6.8836565096952906</v>
      </c>
      <c r="I2563" t="str">
        <f>IF(Table1[[#This Row],[Profit %]]&gt;20,"Excellent",IF(H2563&gt;10.1,"Good","Low"))</f>
        <v>Low</v>
      </c>
    </row>
    <row r="2564" spans="1:9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 s="2">
        <v>4596</v>
      </c>
      <c r="G2564">
        <v>947.45</v>
      </c>
      <c r="H2564" s="2">
        <f>Table1[[#This Row],[Profit]]/Table1[[#This Row],[Sales]]*100</f>
        <v>20.61466492602263</v>
      </c>
      <c r="I2564" t="str">
        <f>IF(Table1[[#This Row],[Profit %]]&gt;20,"Excellent",IF(H2564&gt;10.1,"Good","Low"))</f>
        <v>Excellent</v>
      </c>
    </row>
    <row r="2565" spans="1:9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 s="2">
        <v>1176</v>
      </c>
      <c r="G2565">
        <v>313.58</v>
      </c>
      <c r="H2565" s="2">
        <f>Table1[[#This Row],[Profit]]/Table1[[#This Row],[Sales]]*100</f>
        <v>26.664965986394556</v>
      </c>
      <c r="I2565" t="str">
        <f>IF(Table1[[#This Row],[Profit %]]&gt;20,"Excellent",IF(H2565&gt;10.1,"Good","Low"))</f>
        <v>Excellent</v>
      </c>
    </row>
    <row r="2566" spans="1:9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 s="2">
        <v>644</v>
      </c>
      <c r="G2566">
        <v>45.72</v>
      </c>
      <c r="H2566" s="2">
        <f>Table1[[#This Row],[Profit]]/Table1[[#This Row],[Sales]]*100</f>
        <v>7.0993788819875778</v>
      </c>
      <c r="I2566" t="str">
        <f>IF(Table1[[#This Row],[Profit %]]&gt;20,"Excellent",IF(H2566&gt;10.1,"Good","Low"))</f>
        <v>Low</v>
      </c>
    </row>
    <row r="2567" spans="1:9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 s="2">
        <v>544</v>
      </c>
      <c r="G2567">
        <v>40.78</v>
      </c>
      <c r="H2567" s="2">
        <f>Table1[[#This Row],[Profit]]/Table1[[#This Row],[Sales]]*100</f>
        <v>7.4963235294117654</v>
      </c>
      <c r="I2567" t="str">
        <f>IF(Table1[[#This Row],[Profit %]]&gt;20,"Excellent",IF(H2567&gt;10.1,"Good","Low"))</f>
        <v>Low</v>
      </c>
    </row>
    <row r="2568" spans="1:9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 s="2">
        <v>586</v>
      </c>
      <c r="G2568">
        <v>101.64</v>
      </c>
      <c r="H2568" s="2">
        <f>Table1[[#This Row],[Profit]]/Table1[[#This Row],[Sales]]*100</f>
        <v>17.344709897610922</v>
      </c>
      <c r="I2568" t="str">
        <f>IF(Table1[[#This Row],[Profit %]]&gt;20,"Excellent",IF(H2568&gt;10.1,"Good","Low"))</f>
        <v>Good</v>
      </c>
    </row>
    <row r="2569" spans="1:9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 s="2">
        <v>3835</v>
      </c>
      <c r="G2569">
        <v>229.11</v>
      </c>
      <c r="H2569" s="2">
        <f>Table1[[#This Row],[Profit]]/Table1[[#This Row],[Sales]]*100</f>
        <v>5.9741851368970016</v>
      </c>
      <c r="I2569" t="str">
        <f>IF(Table1[[#This Row],[Profit %]]&gt;20,"Excellent",IF(H2569&gt;10.1,"Good","Low"))</f>
        <v>Low</v>
      </c>
    </row>
    <row r="2570" spans="1:9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 s="2">
        <v>1415</v>
      </c>
      <c r="G2570">
        <v>358.39</v>
      </c>
      <c r="H2570" s="2">
        <f>Table1[[#This Row],[Profit]]/Table1[[#This Row],[Sales]]*100</f>
        <v>25.327915194346289</v>
      </c>
      <c r="I2570" t="str">
        <f>IF(Table1[[#This Row],[Profit %]]&gt;20,"Excellent",IF(H2570&gt;10.1,"Good","Low"))</f>
        <v>Excellent</v>
      </c>
    </row>
    <row r="2571" spans="1:9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 s="2">
        <v>1125</v>
      </c>
      <c r="G2571">
        <v>138.49</v>
      </c>
      <c r="H2571" s="2">
        <f>Table1[[#This Row],[Profit]]/Table1[[#This Row],[Sales]]*100</f>
        <v>12.310222222222222</v>
      </c>
      <c r="I2571" t="str">
        <f>IF(Table1[[#This Row],[Profit %]]&gt;20,"Excellent",IF(H2571&gt;10.1,"Good","Low"))</f>
        <v>Good</v>
      </c>
    </row>
    <row r="2572" spans="1:9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 s="2">
        <v>3399</v>
      </c>
      <c r="G2572">
        <v>489.36</v>
      </c>
      <c r="H2572" s="2">
        <f>Table1[[#This Row],[Profit]]/Table1[[#This Row],[Sales]]*100</f>
        <v>14.397175639894085</v>
      </c>
      <c r="I2572" t="str">
        <f>IF(Table1[[#This Row],[Profit %]]&gt;20,"Excellent",IF(H2572&gt;10.1,"Good","Low"))</f>
        <v>Good</v>
      </c>
    </row>
    <row r="2573" spans="1:9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 s="2">
        <v>5370</v>
      </c>
      <c r="G2573">
        <v>1501.06</v>
      </c>
      <c r="H2573" s="2">
        <f>Table1[[#This Row],[Profit]]/Table1[[#This Row],[Sales]]*100</f>
        <v>27.952700186219737</v>
      </c>
      <c r="I2573" t="str">
        <f>IF(Table1[[#This Row],[Profit %]]&gt;20,"Excellent",IF(H2573&gt;10.1,"Good","Low"))</f>
        <v>Excellent</v>
      </c>
    </row>
    <row r="2574" spans="1:9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 s="2">
        <v>2331</v>
      </c>
      <c r="G2574">
        <v>419.26</v>
      </c>
      <c r="H2574" s="2">
        <f>Table1[[#This Row],[Profit]]/Table1[[#This Row],[Sales]]*100</f>
        <v>17.986271986271987</v>
      </c>
      <c r="I2574" t="str">
        <f>IF(Table1[[#This Row],[Profit %]]&gt;20,"Excellent",IF(H2574&gt;10.1,"Good","Low"))</f>
        <v>Good</v>
      </c>
    </row>
    <row r="2575" spans="1:9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 s="2">
        <v>10728</v>
      </c>
      <c r="G2575">
        <v>1967.84</v>
      </c>
      <c r="H2575" s="2">
        <f>Table1[[#This Row],[Profit]]/Table1[[#This Row],[Sales]]*100</f>
        <v>18.343027591349738</v>
      </c>
      <c r="I2575" t="str">
        <f>IF(Table1[[#This Row],[Profit %]]&gt;20,"Excellent",IF(H2575&gt;10.1,"Good","Low"))</f>
        <v>Good</v>
      </c>
    </row>
    <row r="2576" spans="1:9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 s="2">
        <v>9056</v>
      </c>
      <c r="G2576">
        <v>1860.37</v>
      </c>
      <c r="H2576" s="2">
        <f>Table1[[#This Row],[Profit]]/Table1[[#This Row],[Sales]]*100</f>
        <v>20.542954946996463</v>
      </c>
      <c r="I2576" t="str">
        <f>IF(Table1[[#This Row],[Profit %]]&gt;20,"Excellent",IF(H2576&gt;10.1,"Good","Low"))</f>
        <v>Excellent</v>
      </c>
    </row>
    <row r="2577" spans="1:9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 s="2">
        <v>4581</v>
      </c>
      <c r="G2577">
        <v>250.06</v>
      </c>
      <c r="H2577" s="2">
        <f>Table1[[#This Row],[Profit]]/Table1[[#This Row],[Sales]]*100</f>
        <v>5.4586334861383978</v>
      </c>
      <c r="I2577" t="str">
        <f>IF(Table1[[#This Row],[Profit %]]&gt;20,"Excellent",IF(H2577&gt;10.1,"Good","Low"))</f>
        <v>Low</v>
      </c>
    </row>
    <row r="2578" spans="1:9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 s="2">
        <v>1074</v>
      </c>
      <c r="G2578">
        <v>240.44</v>
      </c>
      <c r="H2578" s="2">
        <f>Table1[[#This Row],[Profit]]/Table1[[#This Row],[Sales]]*100</f>
        <v>22.387337057728118</v>
      </c>
      <c r="I2578" t="str">
        <f>IF(Table1[[#This Row],[Profit %]]&gt;20,"Excellent",IF(H2578&gt;10.1,"Good","Low"))</f>
        <v>Excellent</v>
      </c>
    </row>
    <row r="2579" spans="1:9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 s="2">
        <v>4572</v>
      </c>
      <c r="G2579">
        <v>1199.49</v>
      </c>
      <c r="H2579" s="2">
        <f>Table1[[#This Row],[Profit]]/Table1[[#This Row],[Sales]]*100</f>
        <v>26.235564304461946</v>
      </c>
      <c r="I2579" t="str">
        <f>IF(Table1[[#This Row],[Profit %]]&gt;20,"Excellent",IF(H2579&gt;10.1,"Good","Low"))</f>
        <v>Excellent</v>
      </c>
    </row>
    <row r="2580" spans="1:9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 s="2">
        <v>8141</v>
      </c>
      <c r="G2580">
        <v>651.16</v>
      </c>
      <c r="H2580" s="2">
        <f>Table1[[#This Row],[Profit]]/Table1[[#This Row],[Sales]]*100</f>
        <v>7.9985259796093846</v>
      </c>
      <c r="I2580" t="str">
        <f>IF(Table1[[#This Row],[Profit %]]&gt;20,"Excellent",IF(H2580&gt;10.1,"Good","Low"))</f>
        <v>Low</v>
      </c>
    </row>
    <row r="2581" spans="1:9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 s="2">
        <v>604</v>
      </c>
      <c r="G2581">
        <v>180.93</v>
      </c>
      <c r="H2581" s="2">
        <f>Table1[[#This Row],[Profit]]/Table1[[#This Row],[Sales]]*100</f>
        <v>29.955298013245034</v>
      </c>
      <c r="I2581" t="str">
        <f>IF(Table1[[#This Row],[Profit %]]&gt;20,"Excellent",IF(H2581&gt;10.1,"Good","Low"))</f>
        <v>Excellent</v>
      </c>
    </row>
    <row r="2582" spans="1:9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 s="2">
        <v>906</v>
      </c>
      <c r="G2582">
        <v>59.06</v>
      </c>
      <c r="H2582" s="2">
        <f>Table1[[#This Row],[Profit]]/Table1[[#This Row],[Sales]]*100</f>
        <v>6.518763796909492</v>
      </c>
      <c r="I2582" t="str">
        <f>IF(Table1[[#This Row],[Profit %]]&gt;20,"Excellent",IF(H2582&gt;10.1,"Good","Low"))</f>
        <v>Low</v>
      </c>
    </row>
    <row r="2583" spans="1:9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 s="2">
        <v>1582</v>
      </c>
      <c r="G2583">
        <v>278.14</v>
      </c>
      <c r="H2583" s="2">
        <f>Table1[[#This Row],[Profit]]/Table1[[#This Row],[Sales]]*100</f>
        <v>17.581542351453855</v>
      </c>
      <c r="I2583" t="str">
        <f>IF(Table1[[#This Row],[Profit %]]&gt;20,"Excellent",IF(H2583&gt;10.1,"Good","Low"))</f>
        <v>Good</v>
      </c>
    </row>
    <row r="2584" spans="1:9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 s="2">
        <v>3306</v>
      </c>
      <c r="G2584">
        <v>216.91</v>
      </c>
      <c r="H2584" s="2">
        <f>Table1[[#This Row],[Profit]]/Table1[[#This Row],[Sales]]*100</f>
        <v>6.5611010284331517</v>
      </c>
      <c r="I2584" t="str">
        <f>IF(Table1[[#This Row],[Profit %]]&gt;20,"Excellent",IF(H2584&gt;10.1,"Good","Low"))</f>
        <v>Low</v>
      </c>
    </row>
    <row r="2585" spans="1:9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 s="2">
        <v>847</v>
      </c>
      <c r="G2585">
        <v>237.41</v>
      </c>
      <c r="H2585" s="2">
        <f>Table1[[#This Row],[Profit]]/Table1[[#This Row],[Sales]]*100</f>
        <v>28.029515938606846</v>
      </c>
      <c r="I2585" t="str">
        <f>IF(Table1[[#This Row],[Profit %]]&gt;20,"Excellent",IF(H2585&gt;10.1,"Good","Low"))</f>
        <v>Excellent</v>
      </c>
    </row>
    <row r="2586" spans="1:9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 s="2">
        <v>3222</v>
      </c>
      <c r="G2586">
        <v>846.27</v>
      </c>
      <c r="H2586" s="2">
        <f>Table1[[#This Row],[Profit]]/Table1[[#This Row],[Sales]]*100</f>
        <v>26.265363128491622</v>
      </c>
      <c r="I2586" t="str">
        <f>IF(Table1[[#This Row],[Profit %]]&gt;20,"Excellent",IF(H2586&gt;10.1,"Good","Low"))</f>
        <v>Excellent</v>
      </c>
    </row>
    <row r="2587" spans="1:9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 s="2">
        <v>189</v>
      </c>
      <c r="G2587">
        <v>33.94</v>
      </c>
      <c r="H2587" s="2">
        <f>Table1[[#This Row],[Profit]]/Table1[[#This Row],[Sales]]*100</f>
        <v>17.957671957671955</v>
      </c>
      <c r="I2587" t="str">
        <f>IF(Table1[[#This Row],[Profit %]]&gt;20,"Excellent",IF(H2587&gt;10.1,"Good","Low"))</f>
        <v>Good</v>
      </c>
    </row>
    <row r="2588" spans="1:9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 s="2">
        <v>1224</v>
      </c>
      <c r="G2588">
        <v>348.91</v>
      </c>
      <c r="H2588" s="2">
        <f>Table1[[#This Row],[Profit]]/Table1[[#This Row],[Sales]]*100</f>
        <v>28.505718954248366</v>
      </c>
      <c r="I2588" t="str">
        <f>IF(Table1[[#This Row],[Profit %]]&gt;20,"Excellent",IF(H2588&gt;10.1,"Good","Low"))</f>
        <v>Excellent</v>
      </c>
    </row>
    <row r="2589" spans="1:9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 s="2">
        <v>5621</v>
      </c>
      <c r="G2589">
        <v>1390.73</v>
      </c>
      <c r="H2589" s="2">
        <f>Table1[[#This Row],[Profit]]/Table1[[#This Row],[Sales]]*100</f>
        <v>24.741682974559687</v>
      </c>
      <c r="I2589" t="str">
        <f>IF(Table1[[#This Row],[Profit %]]&gt;20,"Excellent",IF(H2589&gt;10.1,"Good","Low"))</f>
        <v>Excellent</v>
      </c>
    </row>
    <row r="2590" spans="1:9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 s="2">
        <v>966</v>
      </c>
      <c r="G2590">
        <v>246.21</v>
      </c>
      <c r="H2590" s="2">
        <f>Table1[[#This Row],[Profit]]/Table1[[#This Row],[Sales]]*100</f>
        <v>25.487577639751553</v>
      </c>
      <c r="I2590" t="str">
        <f>IF(Table1[[#This Row],[Profit %]]&gt;20,"Excellent",IF(H2590&gt;10.1,"Good","Low"))</f>
        <v>Excellent</v>
      </c>
    </row>
    <row r="2591" spans="1:9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 s="2">
        <v>1728</v>
      </c>
      <c r="G2591">
        <v>179.64</v>
      </c>
      <c r="H2591" s="2">
        <f>Table1[[#This Row],[Profit]]/Table1[[#This Row],[Sales]]*100</f>
        <v>10.395833333333332</v>
      </c>
      <c r="I2591" t="str">
        <f>IF(Table1[[#This Row],[Profit %]]&gt;20,"Excellent",IF(H2591&gt;10.1,"Good","Low"))</f>
        <v>Good</v>
      </c>
    </row>
    <row r="2592" spans="1:9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 s="2">
        <v>6138</v>
      </c>
      <c r="G2592">
        <v>1478.57</v>
      </c>
      <c r="H2592" s="2">
        <f>Table1[[#This Row],[Profit]]/Table1[[#This Row],[Sales]]*100</f>
        <v>24.088791137178234</v>
      </c>
      <c r="I2592" t="str">
        <f>IF(Table1[[#This Row],[Profit %]]&gt;20,"Excellent",IF(H2592&gt;10.1,"Good","Low"))</f>
        <v>Excellent</v>
      </c>
    </row>
    <row r="2593" spans="1:9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 s="2">
        <v>964</v>
      </c>
      <c r="G2593">
        <v>184.03</v>
      </c>
      <c r="H2593" s="2">
        <f>Table1[[#This Row],[Profit]]/Table1[[#This Row],[Sales]]*100</f>
        <v>19.0902489626556</v>
      </c>
      <c r="I2593" t="str">
        <f>IF(Table1[[#This Row],[Profit %]]&gt;20,"Excellent",IF(H2593&gt;10.1,"Good","Low"))</f>
        <v>Good</v>
      </c>
    </row>
    <row r="2594" spans="1:9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 s="2">
        <v>4697</v>
      </c>
      <c r="G2594">
        <v>976.26</v>
      </c>
      <c r="H2594" s="2">
        <f>Table1[[#This Row],[Profit]]/Table1[[#This Row],[Sales]]*100</f>
        <v>20.784756227379177</v>
      </c>
      <c r="I2594" t="str">
        <f>IF(Table1[[#This Row],[Profit %]]&gt;20,"Excellent",IF(H2594&gt;10.1,"Good","Low"))</f>
        <v>Excellent</v>
      </c>
    </row>
    <row r="2595" spans="1:9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 s="2">
        <v>1232</v>
      </c>
      <c r="G2595">
        <v>155.52000000000001</v>
      </c>
      <c r="H2595" s="2">
        <f>Table1[[#This Row],[Profit]]/Table1[[#This Row],[Sales]]*100</f>
        <v>12.623376623376625</v>
      </c>
      <c r="I2595" t="str">
        <f>IF(Table1[[#This Row],[Profit %]]&gt;20,"Excellent",IF(H2595&gt;10.1,"Good","Low"))</f>
        <v>Good</v>
      </c>
    </row>
    <row r="2596" spans="1:9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 s="2">
        <v>6384</v>
      </c>
      <c r="G2596">
        <v>734.79</v>
      </c>
      <c r="H2596" s="2">
        <f>Table1[[#This Row],[Profit]]/Table1[[#This Row],[Sales]]*100</f>
        <v>11.509868421052632</v>
      </c>
      <c r="I2596" t="str">
        <f>IF(Table1[[#This Row],[Profit %]]&gt;20,"Excellent",IF(H2596&gt;10.1,"Good","Low"))</f>
        <v>Good</v>
      </c>
    </row>
    <row r="2597" spans="1:9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 s="2">
        <v>780</v>
      </c>
      <c r="G2597">
        <v>162.72</v>
      </c>
      <c r="H2597" s="2">
        <f>Table1[[#This Row],[Profit]]/Table1[[#This Row],[Sales]]*100</f>
        <v>20.861538461538462</v>
      </c>
      <c r="I2597" t="str">
        <f>IF(Table1[[#This Row],[Profit %]]&gt;20,"Excellent",IF(H2597&gt;10.1,"Good","Low"))</f>
        <v>Excellent</v>
      </c>
    </row>
    <row r="2598" spans="1:9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 s="2">
        <v>1256</v>
      </c>
      <c r="G2598">
        <v>362.22</v>
      </c>
      <c r="H2598" s="2">
        <f>Table1[[#This Row],[Profit]]/Table1[[#This Row],[Sales]]*100</f>
        <v>28.839171974522294</v>
      </c>
      <c r="I2598" t="str">
        <f>IF(Table1[[#This Row],[Profit %]]&gt;20,"Excellent",IF(H2598&gt;10.1,"Good","Low"))</f>
        <v>Excellent</v>
      </c>
    </row>
    <row r="2599" spans="1:9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 s="2">
        <v>1162</v>
      </c>
      <c r="G2599">
        <v>220.93</v>
      </c>
      <c r="H2599" s="2">
        <f>Table1[[#This Row],[Profit]]/Table1[[#This Row],[Sales]]*100</f>
        <v>19.01290877796902</v>
      </c>
      <c r="I2599" t="str">
        <f>IF(Table1[[#This Row],[Profit %]]&gt;20,"Excellent",IF(H2599&gt;10.1,"Good","Low"))</f>
        <v>Good</v>
      </c>
    </row>
    <row r="2600" spans="1:9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 s="2">
        <v>7520</v>
      </c>
      <c r="G2600">
        <v>995.03</v>
      </c>
      <c r="H2600" s="2">
        <f>Table1[[#This Row],[Profit]]/Table1[[#This Row],[Sales]]*100</f>
        <v>13.231781914893617</v>
      </c>
      <c r="I2600" t="str">
        <f>IF(Table1[[#This Row],[Profit %]]&gt;20,"Excellent",IF(H2600&gt;10.1,"Good","Low"))</f>
        <v>Good</v>
      </c>
    </row>
    <row r="2601" spans="1:9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 s="2">
        <v>2387</v>
      </c>
      <c r="G2601">
        <v>463.92</v>
      </c>
      <c r="H2601" s="2">
        <f>Table1[[#This Row],[Profit]]/Table1[[#This Row],[Sales]]*100</f>
        <v>19.43527440301634</v>
      </c>
      <c r="I2601" t="str">
        <f>IF(Table1[[#This Row],[Profit %]]&gt;20,"Excellent",IF(H2601&gt;10.1,"Good","Low"))</f>
        <v>Good</v>
      </c>
    </row>
    <row r="2602" spans="1:9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 s="2">
        <v>2256</v>
      </c>
      <c r="G2602">
        <v>316.77</v>
      </c>
      <c r="H2602" s="2">
        <f>Table1[[#This Row],[Profit]]/Table1[[#This Row],[Sales]]*100</f>
        <v>14.041223404255318</v>
      </c>
      <c r="I2602" t="str">
        <f>IF(Table1[[#This Row],[Profit %]]&gt;20,"Excellent",IF(H2602&gt;10.1,"Good","Low"))</f>
        <v>Good</v>
      </c>
    </row>
    <row r="2603" spans="1:9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 s="2">
        <v>7792</v>
      </c>
      <c r="G2603">
        <v>913.12</v>
      </c>
      <c r="H2603" s="2">
        <f>Table1[[#This Row],[Profit]]/Table1[[#This Row],[Sales]]*100</f>
        <v>11.718685831622176</v>
      </c>
      <c r="I2603" t="str">
        <f>IF(Table1[[#This Row],[Profit %]]&gt;20,"Excellent",IF(H2603&gt;10.1,"Good","Low"))</f>
        <v>Good</v>
      </c>
    </row>
    <row r="2604" spans="1:9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 s="2">
        <v>3944</v>
      </c>
      <c r="G2604">
        <v>296.35000000000002</v>
      </c>
      <c r="H2604" s="2">
        <f>Table1[[#This Row],[Profit]]/Table1[[#This Row],[Sales]]*100</f>
        <v>7.5139452332657202</v>
      </c>
      <c r="I2604" t="str">
        <f>IF(Table1[[#This Row],[Profit %]]&gt;20,"Excellent",IF(H2604&gt;10.1,"Good","Low"))</f>
        <v>Low</v>
      </c>
    </row>
    <row r="2605" spans="1:9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 s="2">
        <v>822</v>
      </c>
      <c r="G2605">
        <v>183.45</v>
      </c>
      <c r="H2605" s="2">
        <f>Table1[[#This Row],[Profit]]/Table1[[#This Row],[Sales]]*100</f>
        <v>22.31751824817518</v>
      </c>
      <c r="I2605" t="str">
        <f>IF(Table1[[#This Row],[Profit %]]&gt;20,"Excellent",IF(H2605&gt;10.1,"Good","Low"))</f>
        <v>Excellent</v>
      </c>
    </row>
    <row r="2606" spans="1:9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 s="2">
        <v>1962</v>
      </c>
      <c r="G2606">
        <v>469.94</v>
      </c>
      <c r="H2606" s="2">
        <f>Table1[[#This Row],[Profit]]/Table1[[#This Row],[Sales]]*100</f>
        <v>23.95208970438328</v>
      </c>
      <c r="I2606" t="str">
        <f>IF(Table1[[#This Row],[Profit %]]&gt;20,"Excellent",IF(H2606&gt;10.1,"Good","Low"))</f>
        <v>Excellent</v>
      </c>
    </row>
    <row r="2607" spans="1:9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 s="2">
        <v>1016</v>
      </c>
      <c r="G2607">
        <v>269.88</v>
      </c>
      <c r="H2607" s="2">
        <f>Table1[[#This Row],[Profit]]/Table1[[#This Row],[Sales]]*100</f>
        <v>26.562992125984252</v>
      </c>
      <c r="I2607" t="str">
        <f>IF(Table1[[#This Row],[Profit %]]&gt;20,"Excellent",IF(H2607&gt;10.1,"Good","Low"))</f>
        <v>Excellent</v>
      </c>
    </row>
    <row r="2608" spans="1:9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 s="2">
        <v>1980</v>
      </c>
      <c r="G2608">
        <v>125.99</v>
      </c>
      <c r="H2608" s="2">
        <f>Table1[[#This Row],[Profit]]/Table1[[#This Row],[Sales]]*100</f>
        <v>6.3631313131313121</v>
      </c>
      <c r="I2608" t="str">
        <f>IF(Table1[[#This Row],[Profit %]]&gt;20,"Excellent",IF(H2608&gt;10.1,"Good","Low"))</f>
        <v>Low</v>
      </c>
    </row>
    <row r="2609" spans="1:9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 s="2">
        <v>3996</v>
      </c>
      <c r="G2609">
        <v>965.26</v>
      </c>
      <c r="H2609" s="2">
        <f>Table1[[#This Row],[Profit]]/Table1[[#This Row],[Sales]]*100</f>
        <v>24.155655655655657</v>
      </c>
      <c r="I2609" t="str">
        <f>IF(Table1[[#This Row],[Profit %]]&gt;20,"Excellent",IF(H2609&gt;10.1,"Good","Low"))</f>
        <v>Excellent</v>
      </c>
    </row>
    <row r="2610" spans="1:9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 s="2">
        <v>663</v>
      </c>
      <c r="G2610">
        <v>183.82</v>
      </c>
      <c r="H2610" s="2">
        <f>Table1[[#This Row],[Profit]]/Table1[[#This Row],[Sales]]*100</f>
        <v>27.725490196078429</v>
      </c>
      <c r="I2610" t="str">
        <f>IF(Table1[[#This Row],[Profit %]]&gt;20,"Excellent",IF(H2610&gt;10.1,"Good","Low"))</f>
        <v>Excellent</v>
      </c>
    </row>
    <row r="2611" spans="1:9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 s="2">
        <v>575</v>
      </c>
      <c r="G2611">
        <v>104.31</v>
      </c>
      <c r="H2611" s="2">
        <f>Table1[[#This Row],[Profit]]/Table1[[#This Row],[Sales]]*100</f>
        <v>18.14086956521739</v>
      </c>
      <c r="I2611" t="str">
        <f>IF(Table1[[#This Row],[Profit %]]&gt;20,"Excellent",IF(H2611&gt;10.1,"Good","Low"))</f>
        <v>Good</v>
      </c>
    </row>
    <row r="2612" spans="1:9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 s="2">
        <v>187</v>
      </c>
      <c r="G2612">
        <v>33.76</v>
      </c>
      <c r="H2612" s="2">
        <f>Table1[[#This Row],[Profit]]/Table1[[#This Row],[Sales]]*100</f>
        <v>18.053475935828875</v>
      </c>
      <c r="I2612" t="str">
        <f>IF(Table1[[#This Row],[Profit %]]&gt;20,"Excellent",IF(H2612&gt;10.1,"Good","Low"))</f>
        <v>Good</v>
      </c>
    </row>
    <row r="2613" spans="1:9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 s="2">
        <v>6216</v>
      </c>
      <c r="G2613">
        <v>378.24</v>
      </c>
      <c r="H2613" s="2">
        <f>Table1[[#This Row],[Profit]]/Table1[[#This Row],[Sales]]*100</f>
        <v>6.0849420849420843</v>
      </c>
      <c r="I2613" t="str">
        <f>IF(Table1[[#This Row],[Profit %]]&gt;20,"Excellent",IF(H2613&gt;10.1,"Good","Low"))</f>
        <v>Low</v>
      </c>
    </row>
    <row r="2614" spans="1:9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 s="2">
        <v>189</v>
      </c>
      <c r="G2614">
        <v>19.02</v>
      </c>
      <c r="H2614" s="2">
        <f>Table1[[#This Row],[Profit]]/Table1[[#This Row],[Sales]]*100</f>
        <v>10.063492063492063</v>
      </c>
      <c r="I2614" t="str">
        <f>IF(Table1[[#This Row],[Profit %]]&gt;20,"Excellent",IF(H2614&gt;10.1,"Good","Low"))</f>
        <v>Low</v>
      </c>
    </row>
    <row r="2615" spans="1:9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 s="2">
        <v>358</v>
      </c>
      <c r="G2615">
        <v>41.46</v>
      </c>
      <c r="H2615" s="2">
        <f>Table1[[#This Row],[Profit]]/Table1[[#This Row],[Sales]]*100</f>
        <v>11.581005586592179</v>
      </c>
      <c r="I2615" t="str">
        <f>IF(Table1[[#This Row],[Profit %]]&gt;20,"Excellent",IF(H2615&gt;10.1,"Good","Low"))</f>
        <v>Good</v>
      </c>
    </row>
    <row r="2616" spans="1:9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 s="2">
        <v>6192</v>
      </c>
      <c r="G2616">
        <v>316.23</v>
      </c>
      <c r="H2616" s="2">
        <f>Table1[[#This Row],[Profit]]/Table1[[#This Row],[Sales]]*100</f>
        <v>5.1070736434108532</v>
      </c>
      <c r="I2616" t="str">
        <f>IF(Table1[[#This Row],[Profit %]]&gt;20,"Excellent",IF(H2616&gt;10.1,"Good","Low"))</f>
        <v>Low</v>
      </c>
    </row>
    <row r="2617" spans="1:9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 s="2">
        <v>4382</v>
      </c>
      <c r="G2617">
        <v>592.46</v>
      </c>
      <c r="H2617" s="2">
        <f>Table1[[#This Row],[Profit]]/Table1[[#This Row],[Sales]]*100</f>
        <v>13.520310360565951</v>
      </c>
      <c r="I2617" t="str">
        <f>IF(Table1[[#This Row],[Profit %]]&gt;20,"Excellent",IF(H2617&gt;10.1,"Good","Low"))</f>
        <v>Good</v>
      </c>
    </row>
    <row r="2618" spans="1:9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 s="2">
        <v>1122</v>
      </c>
      <c r="G2618">
        <v>100.78</v>
      </c>
      <c r="H2618" s="2">
        <f>Table1[[#This Row],[Profit]]/Table1[[#This Row],[Sales]]*100</f>
        <v>8.9821746880570412</v>
      </c>
      <c r="I2618" t="str">
        <f>IF(Table1[[#This Row],[Profit %]]&gt;20,"Excellent",IF(H2618&gt;10.1,"Good","Low"))</f>
        <v>Low</v>
      </c>
    </row>
    <row r="2619" spans="1:9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 s="2">
        <v>8192</v>
      </c>
      <c r="G2619">
        <v>2081.7199999999998</v>
      </c>
      <c r="H2619" s="2">
        <f>Table1[[#This Row],[Profit]]/Table1[[#This Row],[Sales]]*100</f>
        <v>25.411621093749996</v>
      </c>
      <c r="I2619" t="str">
        <f>IF(Table1[[#This Row],[Profit %]]&gt;20,"Excellent",IF(H2619&gt;10.1,"Good","Low"))</f>
        <v>Excellent</v>
      </c>
    </row>
    <row r="2620" spans="1:9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 s="2">
        <v>2658</v>
      </c>
      <c r="G2620">
        <v>200.79</v>
      </c>
      <c r="H2620" s="2">
        <f>Table1[[#This Row],[Profit]]/Table1[[#This Row],[Sales]]*100</f>
        <v>7.5541760722347622</v>
      </c>
      <c r="I2620" t="str">
        <f>IF(Table1[[#This Row],[Profit %]]&gt;20,"Excellent",IF(H2620&gt;10.1,"Good","Low"))</f>
        <v>Low</v>
      </c>
    </row>
    <row r="2621" spans="1:9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 s="2">
        <v>606</v>
      </c>
      <c r="G2621">
        <v>127.68</v>
      </c>
      <c r="H2621" s="2">
        <f>Table1[[#This Row],[Profit]]/Table1[[#This Row],[Sales]]*100</f>
        <v>21.06930693069307</v>
      </c>
      <c r="I2621" t="str">
        <f>IF(Table1[[#This Row],[Profit %]]&gt;20,"Excellent",IF(H2621&gt;10.1,"Good","Low"))</f>
        <v>Excellent</v>
      </c>
    </row>
    <row r="2622" spans="1:9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 s="2">
        <v>448</v>
      </c>
      <c r="G2622">
        <v>45.43</v>
      </c>
      <c r="H2622" s="2">
        <f>Table1[[#This Row],[Profit]]/Table1[[#This Row],[Sales]]*100</f>
        <v>10.140625</v>
      </c>
      <c r="I2622" t="str">
        <f>IF(Table1[[#This Row],[Profit %]]&gt;20,"Excellent",IF(H2622&gt;10.1,"Good","Low"))</f>
        <v>Good</v>
      </c>
    </row>
    <row r="2623" spans="1:9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 s="2">
        <v>1674</v>
      </c>
      <c r="G2623">
        <v>435.95</v>
      </c>
      <c r="H2623" s="2">
        <f>Table1[[#This Row],[Profit]]/Table1[[#This Row],[Sales]]*100</f>
        <v>26.042413381123058</v>
      </c>
      <c r="I2623" t="str">
        <f>IF(Table1[[#This Row],[Profit %]]&gt;20,"Excellent",IF(H2623&gt;10.1,"Good","Low"))</f>
        <v>Excellent</v>
      </c>
    </row>
    <row r="2624" spans="1:9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 s="2">
        <v>1944</v>
      </c>
      <c r="G2624">
        <v>366.18</v>
      </c>
      <c r="H2624" s="2">
        <f>Table1[[#This Row],[Profit]]/Table1[[#This Row],[Sales]]*100</f>
        <v>18.836419753086421</v>
      </c>
      <c r="I2624" t="str">
        <f>IF(Table1[[#This Row],[Profit %]]&gt;20,"Excellent",IF(H2624&gt;10.1,"Good","Low"))</f>
        <v>Good</v>
      </c>
    </row>
    <row r="2625" spans="1:9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 s="2">
        <v>1716</v>
      </c>
      <c r="G2625">
        <v>302.08999999999997</v>
      </c>
      <c r="H2625" s="2">
        <f>Table1[[#This Row],[Profit]]/Table1[[#This Row],[Sales]]*100</f>
        <v>17.604312354312356</v>
      </c>
      <c r="I2625" t="str">
        <f>IF(Table1[[#This Row],[Profit %]]&gt;20,"Excellent",IF(H2625&gt;10.1,"Good","Low"))</f>
        <v>Good</v>
      </c>
    </row>
    <row r="2626" spans="1:9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 s="2">
        <v>2982</v>
      </c>
      <c r="G2626">
        <v>445.01</v>
      </c>
      <c r="H2626" s="2">
        <f>Table1[[#This Row],[Profit]]/Table1[[#This Row],[Sales]]*100</f>
        <v>14.923205902079143</v>
      </c>
      <c r="I2626" t="str">
        <f>IF(Table1[[#This Row],[Profit %]]&gt;20,"Excellent",IF(H2626&gt;10.1,"Good","Low"))</f>
        <v>Good</v>
      </c>
    </row>
    <row r="2627" spans="1:9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 s="2">
        <v>7497</v>
      </c>
      <c r="G2627">
        <v>2241.59</v>
      </c>
      <c r="H2627" s="2">
        <f>Table1[[#This Row],[Profit]]/Table1[[#This Row],[Sales]]*100</f>
        <v>29.899826597305591</v>
      </c>
      <c r="I2627" t="str">
        <f>IF(Table1[[#This Row],[Profit %]]&gt;20,"Excellent",IF(H2627&gt;10.1,"Good","Low"))</f>
        <v>Excellent</v>
      </c>
    </row>
    <row r="2628" spans="1:9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 s="2">
        <v>1026</v>
      </c>
      <c r="G2628">
        <v>142.71</v>
      </c>
      <c r="H2628" s="2">
        <f>Table1[[#This Row],[Profit]]/Table1[[#This Row],[Sales]]*100</f>
        <v>13.9093567251462</v>
      </c>
      <c r="I2628" t="str">
        <f>IF(Table1[[#This Row],[Profit %]]&gt;20,"Excellent",IF(H2628&gt;10.1,"Good","Low"))</f>
        <v>Good</v>
      </c>
    </row>
    <row r="2629" spans="1:9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 s="2">
        <v>7392</v>
      </c>
      <c r="G2629">
        <v>2063.23</v>
      </c>
      <c r="H2629" s="2">
        <f>Table1[[#This Row],[Profit]]/Table1[[#This Row],[Sales]]*100</f>
        <v>27.911661255411257</v>
      </c>
      <c r="I2629" t="str">
        <f>IF(Table1[[#This Row],[Profit %]]&gt;20,"Excellent",IF(H2629&gt;10.1,"Good","Low"))</f>
        <v>Excellent</v>
      </c>
    </row>
    <row r="2630" spans="1:9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 s="2">
        <v>2604</v>
      </c>
      <c r="G2630">
        <v>271.22000000000003</v>
      </c>
      <c r="H2630" s="2">
        <f>Table1[[#This Row],[Profit]]/Table1[[#This Row],[Sales]]*100</f>
        <v>10.415514592933949</v>
      </c>
      <c r="I2630" t="str">
        <f>IF(Table1[[#This Row],[Profit %]]&gt;20,"Excellent",IF(H2630&gt;10.1,"Good","Low"))</f>
        <v>Good</v>
      </c>
    </row>
    <row r="2631" spans="1:9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 s="2">
        <v>1746</v>
      </c>
      <c r="G2631">
        <v>289.2</v>
      </c>
      <c r="H2631" s="2">
        <f>Table1[[#This Row],[Profit]]/Table1[[#This Row],[Sales]]*100</f>
        <v>16.56357388316151</v>
      </c>
      <c r="I2631" t="str">
        <f>IF(Table1[[#This Row],[Profit %]]&gt;20,"Excellent",IF(H2631&gt;10.1,"Good","Low"))</f>
        <v>Good</v>
      </c>
    </row>
    <row r="2632" spans="1:9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 s="2">
        <v>5682</v>
      </c>
      <c r="G2632">
        <v>1365.87</v>
      </c>
      <c r="H2632" s="2">
        <f>Table1[[#This Row],[Profit]]/Table1[[#This Row],[Sales]]*100</f>
        <v>24.038542766631465</v>
      </c>
      <c r="I2632" t="str">
        <f>IF(Table1[[#This Row],[Profit %]]&gt;20,"Excellent",IF(H2632&gt;10.1,"Good","Low"))</f>
        <v>Excellent</v>
      </c>
    </row>
    <row r="2633" spans="1:9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 s="2">
        <v>8664</v>
      </c>
      <c r="G2633">
        <v>2131.16</v>
      </c>
      <c r="H2633" s="2">
        <f>Table1[[#This Row],[Profit]]/Table1[[#This Row],[Sales]]*100</f>
        <v>24.597876269621423</v>
      </c>
      <c r="I2633" t="str">
        <f>IF(Table1[[#This Row],[Profit %]]&gt;20,"Excellent",IF(H2633&gt;10.1,"Good","Low"))</f>
        <v>Excellent</v>
      </c>
    </row>
    <row r="2634" spans="1:9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 s="2">
        <v>1887</v>
      </c>
      <c r="G2634">
        <v>363.42</v>
      </c>
      <c r="H2634" s="2">
        <f>Table1[[#This Row],[Profit]]/Table1[[#This Row],[Sales]]*100</f>
        <v>19.259141494435614</v>
      </c>
      <c r="I2634" t="str">
        <f>IF(Table1[[#This Row],[Profit %]]&gt;20,"Excellent",IF(H2634&gt;10.1,"Good","Low"))</f>
        <v>Good</v>
      </c>
    </row>
    <row r="2635" spans="1:9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 s="2">
        <v>6013</v>
      </c>
      <c r="G2635">
        <v>1544.51</v>
      </c>
      <c r="H2635" s="2">
        <f>Table1[[#This Row],[Profit]]/Table1[[#This Row],[Sales]]*100</f>
        <v>25.686179943455844</v>
      </c>
      <c r="I2635" t="str">
        <f>IF(Table1[[#This Row],[Profit %]]&gt;20,"Excellent",IF(H2635&gt;10.1,"Good","Low"))</f>
        <v>Excellent</v>
      </c>
    </row>
    <row r="2636" spans="1:9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 s="2">
        <v>1578</v>
      </c>
      <c r="G2636">
        <v>463.58</v>
      </c>
      <c r="H2636" s="2">
        <f>Table1[[#This Row],[Profit]]/Table1[[#This Row],[Sales]]*100</f>
        <v>29.377693282636248</v>
      </c>
      <c r="I2636" t="str">
        <f>IF(Table1[[#This Row],[Profit %]]&gt;20,"Excellent",IF(H2636&gt;10.1,"Good","Low"))</f>
        <v>Excellent</v>
      </c>
    </row>
    <row r="2637" spans="1:9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 s="2">
        <v>285</v>
      </c>
      <c r="G2637">
        <v>38.369999999999997</v>
      </c>
      <c r="H2637" s="2">
        <f>Table1[[#This Row],[Profit]]/Table1[[#This Row],[Sales]]*100</f>
        <v>13.46315789473684</v>
      </c>
      <c r="I2637" t="str">
        <f>IF(Table1[[#This Row],[Profit %]]&gt;20,"Excellent",IF(H2637&gt;10.1,"Good","Low"))</f>
        <v>Good</v>
      </c>
    </row>
    <row r="2638" spans="1:9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 s="2">
        <v>5448</v>
      </c>
      <c r="G2638">
        <v>963.82</v>
      </c>
      <c r="H2638" s="2">
        <f>Table1[[#This Row],[Profit]]/Table1[[#This Row],[Sales]]*100</f>
        <v>17.691262848751837</v>
      </c>
      <c r="I2638" t="str">
        <f>IF(Table1[[#This Row],[Profit %]]&gt;20,"Excellent",IF(H2638&gt;10.1,"Good","Low"))</f>
        <v>Good</v>
      </c>
    </row>
    <row r="2639" spans="1:9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 s="2">
        <v>1710</v>
      </c>
      <c r="G2639">
        <v>468.76</v>
      </c>
      <c r="H2639" s="2">
        <f>Table1[[#This Row],[Profit]]/Table1[[#This Row],[Sales]]*100</f>
        <v>27.412865497076023</v>
      </c>
      <c r="I2639" t="str">
        <f>IF(Table1[[#This Row],[Profit %]]&gt;20,"Excellent",IF(H2639&gt;10.1,"Good","Low"))</f>
        <v>Excellent</v>
      </c>
    </row>
    <row r="2640" spans="1:9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 s="2">
        <v>2817</v>
      </c>
      <c r="G2640">
        <v>432.67</v>
      </c>
      <c r="H2640" s="2">
        <f>Table1[[#This Row],[Profit]]/Table1[[#This Row],[Sales]]*100</f>
        <v>15.359247426340078</v>
      </c>
      <c r="I2640" t="str">
        <f>IF(Table1[[#This Row],[Profit %]]&gt;20,"Excellent",IF(H2640&gt;10.1,"Good","Low"))</f>
        <v>Good</v>
      </c>
    </row>
    <row r="2641" spans="1:9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 s="2">
        <v>9117</v>
      </c>
      <c r="G2641">
        <v>1780.52</v>
      </c>
      <c r="H2641" s="2">
        <f>Table1[[#This Row],[Profit]]/Table1[[#This Row],[Sales]]*100</f>
        <v>19.529669847537569</v>
      </c>
      <c r="I2641" t="str">
        <f>IF(Table1[[#This Row],[Profit %]]&gt;20,"Excellent",IF(H2641&gt;10.1,"Good","Low"))</f>
        <v>Good</v>
      </c>
    </row>
    <row r="2642" spans="1:9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 s="2">
        <v>274</v>
      </c>
      <c r="G2642">
        <v>42.37</v>
      </c>
      <c r="H2642" s="2">
        <f>Table1[[#This Row],[Profit]]/Table1[[#This Row],[Sales]]*100</f>
        <v>15.463503649635035</v>
      </c>
      <c r="I2642" t="str">
        <f>IF(Table1[[#This Row],[Profit %]]&gt;20,"Excellent",IF(H2642&gt;10.1,"Good","Low"))</f>
        <v>Good</v>
      </c>
    </row>
    <row r="2643" spans="1:9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 s="2">
        <v>6408</v>
      </c>
      <c r="G2643">
        <v>885.71</v>
      </c>
      <c r="H2643" s="2">
        <f>Table1[[#This Row],[Profit]]/Table1[[#This Row],[Sales]]*100</f>
        <v>13.821941323345818</v>
      </c>
      <c r="I2643" t="str">
        <f>IF(Table1[[#This Row],[Profit %]]&gt;20,"Excellent",IF(H2643&gt;10.1,"Good","Low"))</f>
        <v>Good</v>
      </c>
    </row>
    <row r="2644" spans="1:9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 s="2">
        <v>5755</v>
      </c>
      <c r="G2644">
        <v>1441.84</v>
      </c>
      <c r="H2644" s="2">
        <f>Table1[[#This Row],[Profit]]/Table1[[#This Row],[Sales]]*100</f>
        <v>25.053692441355341</v>
      </c>
      <c r="I2644" t="str">
        <f>IF(Table1[[#This Row],[Profit %]]&gt;20,"Excellent",IF(H2644&gt;10.1,"Good","Low"))</f>
        <v>Excellent</v>
      </c>
    </row>
    <row r="2645" spans="1:9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 s="2">
        <v>2262</v>
      </c>
      <c r="G2645">
        <v>245.66</v>
      </c>
      <c r="H2645" s="2">
        <f>Table1[[#This Row],[Profit]]/Table1[[#This Row],[Sales]]*100</f>
        <v>10.860300618921308</v>
      </c>
      <c r="I2645" t="str">
        <f>IF(Table1[[#This Row],[Profit %]]&gt;20,"Excellent",IF(H2645&gt;10.1,"Good","Low"))</f>
        <v>Good</v>
      </c>
    </row>
    <row r="2646" spans="1:9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 s="2">
        <v>1785</v>
      </c>
      <c r="G2646">
        <v>233.77</v>
      </c>
      <c r="H2646" s="2">
        <f>Table1[[#This Row],[Profit]]/Table1[[#This Row],[Sales]]*100</f>
        <v>13.096358543417367</v>
      </c>
      <c r="I2646" t="str">
        <f>IF(Table1[[#This Row],[Profit %]]&gt;20,"Excellent",IF(H2646&gt;10.1,"Good","Low"))</f>
        <v>Good</v>
      </c>
    </row>
    <row r="2647" spans="1:9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 s="2">
        <v>5128</v>
      </c>
      <c r="G2647">
        <v>657.87</v>
      </c>
      <c r="H2647" s="2">
        <f>Table1[[#This Row],[Profit]]/Table1[[#This Row],[Sales]]*100</f>
        <v>12.828978159126365</v>
      </c>
      <c r="I2647" t="str">
        <f>IF(Table1[[#This Row],[Profit %]]&gt;20,"Excellent",IF(H2647&gt;10.1,"Good","Low"))</f>
        <v>Good</v>
      </c>
    </row>
    <row r="2648" spans="1:9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 s="2">
        <v>5176</v>
      </c>
      <c r="G2648">
        <v>1400.82</v>
      </c>
      <c r="H2648" s="2">
        <f>Table1[[#This Row],[Profit]]/Table1[[#This Row],[Sales]]*100</f>
        <v>27.063755795981454</v>
      </c>
      <c r="I2648" t="str">
        <f>IF(Table1[[#This Row],[Profit %]]&gt;20,"Excellent",IF(H2648&gt;10.1,"Good","Low"))</f>
        <v>Excellent</v>
      </c>
    </row>
    <row r="2649" spans="1:9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 s="2">
        <v>1510</v>
      </c>
      <c r="G2649">
        <v>331.76</v>
      </c>
      <c r="H2649" s="2">
        <f>Table1[[#This Row],[Profit]]/Table1[[#This Row],[Sales]]*100</f>
        <v>21.970860927152316</v>
      </c>
      <c r="I2649" t="str">
        <f>IF(Table1[[#This Row],[Profit %]]&gt;20,"Excellent",IF(H2649&gt;10.1,"Good","Low"))</f>
        <v>Excellent</v>
      </c>
    </row>
    <row r="2650" spans="1:9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 s="2">
        <v>947</v>
      </c>
      <c r="G2650">
        <v>77.209999999999994</v>
      </c>
      <c r="H2650" s="2">
        <f>Table1[[#This Row],[Profit]]/Table1[[#This Row],[Sales]]*100</f>
        <v>8.1531151003167892</v>
      </c>
      <c r="I2650" t="str">
        <f>IF(Table1[[#This Row],[Profit %]]&gt;20,"Excellent",IF(H2650&gt;10.1,"Good","Low"))</f>
        <v>Low</v>
      </c>
    </row>
    <row r="2651" spans="1:9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 s="2">
        <v>5427</v>
      </c>
      <c r="G2651">
        <v>731.33</v>
      </c>
      <c r="H2651" s="2">
        <f>Table1[[#This Row],[Profit]]/Table1[[#This Row],[Sales]]*100</f>
        <v>13.47576930163995</v>
      </c>
      <c r="I2651" t="str">
        <f>IF(Table1[[#This Row],[Profit %]]&gt;20,"Excellent",IF(H2651&gt;10.1,"Good","Low"))</f>
        <v>Good</v>
      </c>
    </row>
    <row r="2652" spans="1:9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 s="2">
        <v>4560</v>
      </c>
      <c r="G2652">
        <v>507.87</v>
      </c>
      <c r="H2652" s="2">
        <f>Table1[[#This Row],[Profit]]/Table1[[#This Row],[Sales]]*100</f>
        <v>11.137499999999999</v>
      </c>
      <c r="I2652" t="str">
        <f>IF(Table1[[#This Row],[Profit %]]&gt;20,"Excellent",IF(H2652&gt;10.1,"Good","Low"))</f>
        <v>Good</v>
      </c>
    </row>
    <row r="2653" spans="1:9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 s="2">
        <v>2100</v>
      </c>
      <c r="G2653">
        <v>268.39999999999998</v>
      </c>
      <c r="H2653" s="2">
        <f>Table1[[#This Row],[Profit]]/Table1[[#This Row],[Sales]]*100</f>
        <v>12.780952380952378</v>
      </c>
      <c r="I2653" t="str">
        <f>IF(Table1[[#This Row],[Profit %]]&gt;20,"Excellent",IF(H2653&gt;10.1,"Good","Low"))</f>
        <v>Good</v>
      </c>
    </row>
    <row r="2654" spans="1:9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 s="2">
        <v>1054</v>
      </c>
      <c r="G2654">
        <v>288.14999999999998</v>
      </c>
      <c r="H2654" s="2">
        <f>Table1[[#This Row],[Profit]]/Table1[[#This Row],[Sales]]*100</f>
        <v>27.338709677419352</v>
      </c>
      <c r="I2654" t="str">
        <f>IF(Table1[[#This Row],[Profit %]]&gt;20,"Excellent",IF(H2654&gt;10.1,"Good","Low"))</f>
        <v>Excellent</v>
      </c>
    </row>
    <row r="2655" spans="1:9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 s="2">
        <v>7026</v>
      </c>
      <c r="G2655">
        <v>1814.21</v>
      </c>
      <c r="H2655" s="2">
        <f>Table1[[#This Row],[Profit]]/Table1[[#This Row],[Sales]]*100</f>
        <v>25.821377739823514</v>
      </c>
      <c r="I2655" t="str">
        <f>IF(Table1[[#This Row],[Profit %]]&gt;20,"Excellent",IF(H2655&gt;10.1,"Good","Low"))</f>
        <v>Excellent</v>
      </c>
    </row>
    <row r="2656" spans="1:9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 s="2">
        <v>513</v>
      </c>
      <c r="G2656">
        <v>151.87</v>
      </c>
      <c r="H2656" s="2">
        <f>Table1[[#This Row],[Profit]]/Table1[[#This Row],[Sales]]*100</f>
        <v>29.604288499025344</v>
      </c>
      <c r="I2656" t="str">
        <f>IF(Table1[[#This Row],[Profit %]]&gt;20,"Excellent",IF(H2656&gt;10.1,"Good","Low"))</f>
        <v>Excellent</v>
      </c>
    </row>
    <row r="2657" spans="1:9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 s="2">
        <v>2244</v>
      </c>
      <c r="G2657">
        <v>353.83</v>
      </c>
      <c r="H2657" s="2">
        <f>Table1[[#This Row],[Profit]]/Table1[[#This Row],[Sales]]*100</f>
        <v>15.767825311942959</v>
      </c>
      <c r="I2657" t="str">
        <f>IF(Table1[[#This Row],[Profit %]]&gt;20,"Excellent",IF(H2657&gt;10.1,"Good","Low"))</f>
        <v>Good</v>
      </c>
    </row>
    <row r="2658" spans="1:9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 s="2">
        <v>1785</v>
      </c>
      <c r="G2658">
        <v>134.94999999999999</v>
      </c>
      <c r="H2658" s="2">
        <f>Table1[[#This Row],[Profit]]/Table1[[#This Row],[Sales]]*100</f>
        <v>7.5602240896358532</v>
      </c>
      <c r="I2658" t="str">
        <f>IF(Table1[[#This Row],[Profit %]]&gt;20,"Excellent",IF(H2658&gt;10.1,"Good","Low"))</f>
        <v>Low</v>
      </c>
    </row>
    <row r="2659" spans="1:9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 s="2">
        <v>725</v>
      </c>
      <c r="G2659">
        <v>77.91</v>
      </c>
      <c r="H2659" s="2">
        <f>Table1[[#This Row],[Profit]]/Table1[[#This Row],[Sales]]*100</f>
        <v>10.746206896551724</v>
      </c>
      <c r="I2659" t="str">
        <f>IF(Table1[[#This Row],[Profit %]]&gt;20,"Excellent",IF(H2659&gt;10.1,"Good","Low"))</f>
        <v>Good</v>
      </c>
    </row>
    <row r="2660" spans="1:9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 s="2">
        <v>2516</v>
      </c>
      <c r="G2660">
        <v>689.29</v>
      </c>
      <c r="H2660" s="2">
        <f>Table1[[#This Row],[Profit]]/Table1[[#This Row],[Sales]]*100</f>
        <v>27.396263910969793</v>
      </c>
      <c r="I2660" t="str">
        <f>IF(Table1[[#This Row],[Profit %]]&gt;20,"Excellent",IF(H2660&gt;10.1,"Good","Low"))</f>
        <v>Excellent</v>
      </c>
    </row>
    <row r="2661" spans="1:9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 s="2">
        <v>6256</v>
      </c>
      <c r="G2661">
        <v>1152.99</v>
      </c>
      <c r="H2661" s="2">
        <f>Table1[[#This Row],[Profit]]/Table1[[#This Row],[Sales]]*100</f>
        <v>18.430147058823529</v>
      </c>
      <c r="I2661" t="str">
        <f>IF(Table1[[#This Row],[Profit %]]&gt;20,"Excellent",IF(H2661&gt;10.1,"Good","Low"))</f>
        <v>Good</v>
      </c>
    </row>
    <row r="2662" spans="1:9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 s="2">
        <v>452</v>
      </c>
      <c r="G2662">
        <v>74.34</v>
      </c>
      <c r="H2662" s="2">
        <f>Table1[[#This Row],[Profit]]/Table1[[#This Row],[Sales]]*100</f>
        <v>16.446902654867259</v>
      </c>
      <c r="I2662" t="str">
        <f>IF(Table1[[#This Row],[Profit %]]&gt;20,"Excellent",IF(H2662&gt;10.1,"Good","Low"))</f>
        <v>Good</v>
      </c>
    </row>
    <row r="2663" spans="1:9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 s="2">
        <v>5285</v>
      </c>
      <c r="G2663">
        <v>1338.58</v>
      </c>
      <c r="H2663" s="2">
        <f>Table1[[#This Row],[Profit]]/Table1[[#This Row],[Sales]]*100</f>
        <v>25.327909176915796</v>
      </c>
      <c r="I2663" t="str">
        <f>IF(Table1[[#This Row],[Profit %]]&gt;20,"Excellent",IF(H2663&gt;10.1,"Good","Low"))</f>
        <v>Excellent</v>
      </c>
    </row>
    <row r="2664" spans="1:9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 s="2">
        <v>4872</v>
      </c>
      <c r="G2664">
        <v>786.79</v>
      </c>
      <c r="H2664" s="2">
        <f>Table1[[#This Row],[Profit]]/Table1[[#This Row],[Sales]]*100</f>
        <v>16.149220032840724</v>
      </c>
      <c r="I2664" t="str">
        <f>IF(Table1[[#This Row],[Profit %]]&gt;20,"Excellent",IF(H2664&gt;10.1,"Good","Low"))</f>
        <v>Good</v>
      </c>
    </row>
    <row r="2665" spans="1:9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 s="2">
        <v>2495</v>
      </c>
      <c r="G2665">
        <v>164.56</v>
      </c>
      <c r="H2665" s="2">
        <f>Table1[[#This Row],[Profit]]/Table1[[#This Row],[Sales]]*100</f>
        <v>6.5955911823647293</v>
      </c>
      <c r="I2665" t="str">
        <f>IF(Table1[[#This Row],[Profit %]]&gt;20,"Excellent",IF(H2665&gt;10.1,"Good","Low"))</f>
        <v>Low</v>
      </c>
    </row>
    <row r="2666" spans="1:9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 s="2">
        <v>442</v>
      </c>
      <c r="G2666">
        <v>82.73</v>
      </c>
      <c r="H2666" s="2">
        <f>Table1[[#This Row],[Profit]]/Table1[[#This Row],[Sales]]*100</f>
        <v>18.717194570135749</v>
      </c>
      <c r="I2666" t="str">
        <f>IF(Table1[[#This Row],[Profit %]]&gt;20,"Excellent",IF(H2666&gt;10.1,"Good","Low"))</f>
        <v>Good</v>
      </c>
    </row>
    <row r="2667" spans="1:9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 s="2">
        <v>8595</v>
      </c>
      <c r="G2667">
        <v>1312.19</v>
      </c>
      <c r="H2667" s="2">
        <f>Table1[[#This Row],[Profit]]/Table1[[#This Row],[Sales]]*100</f>
        <v>15.266899360093078</v>
      </c>
      <c r="I2667" t="str">
        <f>IF(Table1[[#This Row],[Profit %]]&gt;20,"Excellent",IF(H2667&gt;10.1,"Good","Low"))</f>
        <v>Good</v>
      </c>
    </row>
    <row r="2668" spans="1:9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 s="2">
        <v>3528</v>
      </c>
      <c r="G2668">
        <v>411.5</v>
      </c>
      <c r="H2668" s="2">
        <f>Table1[[#This Row],[Profit]]/Table1[[#This Row],[Sales]]*100</f>
        <v>11.663832199546485</v>
      </c>
      <c r="I2668" t="str">
        <f>IF(Table1[[#This Row],[Profit %]]&gt;20,"Excellent",IF(H2668&gt;10.1,"Good","Low"))</f>
        <v>Good</v>
      </c>
    </row>
    <row r="2669" spans="1:9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 s="2">
        <v>7777</v>
      </c>
      <c r="G2669">
        <v>746.84</v>
      </c>
      <c r="H2669" s="2">
        <f>Table1[[#This Row],[Profit]]/Table1[[#This Row],[Sales]]*100</f>
        <v>9.6031888903176021</v>
      </c>
      <c r="I2669" t="str">
        <f>IF(Table1[[#This Row],[Profit %]]&gt;20,"Excellent",IF(H2669&gt;10.1,"Good","Low"))</f>
        <v>Low</v>
      </c>
    </row>
    <row r="2670" spans="1:9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 s="2">
        <v>2008</v>
      </c>
      <c r="G2670">
        <v>451.68</v>
      </c>
      <c r="H2670" s="2">
        <f>Table1[[#This Row],[Profit]]/Table1[[#This Row],[Sales]]*100</f>
        <v>22.49402390438247</v>
      </c>
      <c r="I2670" t="str">
        <f>IF(Table1[[#This Row],[Profit %]]&gt;20,"Excellent",IF(H2670&gt;10.1,"Good","Low"))</f>
        <v>Excellent</v>
      </c>
    </row>
    <row r="2671" spans="1:9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 s="2">
        <v>596</v>
      </c>
      <c r="G2671">
        <v>41.37</v>
      </c>
      <c r="H2671" s="2">
        <f>Table1[[#This Row],[Profit]]/Table1[[#This Row],[Sales]]*100</f>
        <v>6.9412751677852338</v>
      </c>
      <c r="I2671" t="str">
        <f>IF(Table1[[#This Row],[Profit %]]&gt;20,"Excellent",IF(H2671&gt;10.1,"Good","Low"))</f>
        <v>Low</v>
      </c>
    </row>
    <row r="2672" spans="1:9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 s="2">
        <v>4950</v>
      </c>
      <c r="G2672">
        <v>1402.67</v>
      </c>
      <c r="H2672" s="2">
        <f>Table1[[#This Row],[Profit]]/Table1[[#This Row],[Sales]]*100</f>
        <v>28.336767676767678</v>
      </c>
      <c r="I2672" t="str">
        <f>IF(Table1[[#This Row],[Profit %]]&gt;20,"Excellent",IF(H2672&gt;10.1,"Good","Low"))</f>
        <v>Excellent</v>
      </c>
    </row>
    <row r="2673" spans="1:9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 s="2">
        <v>630</v>
      </c>
      <c r="G2673">
        <v>86.07</v>
      </c>
      <c r="H2673" s="2">
        <f>Table1[[#This Row],[Profit]]/Table1[[#This Row],[Sales]]*100</f>
        <v>13.661904761904761</v>
      </c>
      <c r="I2673" t="str">
        <f>IF(Table1[[#This Row],[Profit %]]&gt;20,"Excellent",IF(H2673&gt;10.1,"Good","Low"))</f>
        <v>Good</v>
      </c>
    </row>
    <row r="2674" spans="1:9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 s="2">
        <v>6144</v>
      </c>
      <c r="G2674">
        <v>754.18</v>
      </c>
      <c r="H2674" s="2">
        <f>Table1[[#This Row],[Profit]]/Table1[[#This Row],[Sales]]*100</f>
        <v>12.275065104166666</v>
      </c>
      <c r="I2674" t="str">
        <f>IF(Table1[[#This Row],[Profit %]]&gt;20,"Excellent",IF(H2674&gt;10.1,"Good","Low"))</f>
        <v>Good</v>
      </c>
    </row>
    <row r="2675" spans="1:9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 s="2">
        <v>140</v>
      </c>
      <c r="G2675">
        <v>24.21</v>
      </c>
      <c r="H2675" s="2">
        <f>Table1[[#This Row],[Profit]]/Table1[[#This Row],[Sales]]*100</f>
        <v>17.292857142857144</v>
      </c>
      <c r="I2675" t="str">
        <f>IF(Table1[[#This Row],[Profit %]]&gt;20,"Excellent",IF(H2675&gt;10.1,"Good","Low"))</f>
        <v>Good</v>
      </c>
    </row>
    <row r="2676" spans="1:9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 s="2">
        <v>2014</v>
      </c>
      <c r="G2676">
        <v>215.06</v>
      </c>
      <c r="H2676" s="2">
        <f>Table1[[#This Row],[Profit]]/Table1[[#This Row],[Sales]]*100</f>
        <v>10.678252234359483</v>
      </c>
      <c r="I2676" t="str">
        <f>IF(Table1[[#This Row],[Profit %]]&gt;20,"Excellent",IF(H2676&gt;10.1,"Good","Low"))</f>
        <v>Good</v>
      </c>
    </row>
    <row r="2677" spans="1:9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 s="2">
        <v>384</v>
      </c>
      <c r="G2677">
        <v>99.02</v>
      </c>
      <c r="H2677" s="2">
        <f>Table1[[#This Row],[Profit]]/Table1[[#This Row],[Sales]]*100</f>
        <v>25.786458333333336</v>
      </c>
      <c r="I2677" t="str">
        <f>IF(Table1[[#This Row],[Profit %]]&gt;20,"Excellent",IF(H2677&gt;10.1,"Good","Low"))</f>
        <v>Excellent</v>
      </c>
    </row>
    <row r="2678" spans="1:9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 s="2">
        <v>3780</v>
      </c>
      <c r="G2678">
        <v>351.51</v>
      </c>
      <c r="H2678" s="2">
        <f>Table1[[#This Row],[Profit]]/Table1[[#This Row],[Sales]]*100</f>
        <v>9.299206349206349</v>
      </c>
      <c r="I2678" t="str">
        <f>IF(Table1[[#This Row],[Profit %]]&gt;20,"Excellent",IF(H2678&gt;10.1,"Good","Low"))</f>
        <v>Low</v>
      </c>
    </row>
    <row r="2679" spans="1:9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 s="2">
        <v>5047</v>
      </c>
      <c r="G2679">
        <v>915.75</v>
      </c>
      <c r="H2679" s="2">
        <f>Table1[[#This Row],[Profit]]/Table1[[#This Row],[Sales]]*100</f>
        <v>18.144442242916583</v>
      </c>
      <c r="I2679" t="str">
        <f>IF(Table1[[#This Row],[Profit %]]&gt;20,"Excellent",IF(H2679&gt;10.1,"Good","Low"))</f>
        <v>Good</v>
      </c>
    </row>
    <row r="2680" spans="1:9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 s="2">
        <v>2658</v>
      </c>
      <c r="G2680">
        <v>175.89</v>
      </c>
      <c r="H2680" s="2">
        <f>Table1[[#This Row],[Profit]]/Table1[[#This Row],[Sales]]*100</f>
        <v>6.6173814898419865</v>
      </c>
      <c r="I2680" t="str">
        <f>IF(Table1[[#This Row],[Profit %]]&gt;20,"Excellent",IF(H2680&gt;10.1,"Good","Low"))</f>
        <v>Low</v>
      </c>
    </row>
    <row r="2681" spans="1:9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 s="2">
        <v>528</v>
      </c>
      <c r="G2681">
        <v>53.91</v>
      </c>
      <c r="H2681" s="2">
        <f>Table1[[#This Row],[Profit]]/Table1[[#This Row],[Sales]]*100</f>
        <v>10.210227272727272</v>
      </c>
      <c r="I2681" t="str">
        <f>IF(Table1[[#This Row],[Profit %]]&gt;20,"Excellent",IF(H2681&gt;10.1,"Good","Low"))</f>
        <v>Good</v>
      </c>
    </row>
    <row r="2682" spans="1:9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 s="2">
        <v>6507</v>
      </c>
      <c r="G2682">
        <v>1045.1400000000001</v>
      </c>
      <c r="H2682" s="2">
        <f>Table1[[#This Row],[Profit]]/Table1[[#This Row],[Sales]]*100</f>
        <v>16.0617796219456</v>
      </c>
      <c r="I2682" t="str">
        <f>IF(Table1[[#This Row],[Profit %]]&gt;20,"Excellent",IF(H2682&gt;10.1,"Good","Low"))</f>
        <v>Good</v>
      </c>
    </row>
    <row r="2683" spans="1:9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 s="2">
        <v>5887</v>
      </c>
      <c r="G2683">
        <v>1035.5</v>
      </c>
      <c r="H2683" s="2">
        <f>Table1[[#This Row],[Profit]]/Table1[[#This Row],[Sales]]*100</f>
        <v>17.58960421267199</v>
      </c>
      <c r="I2683" t="str">
        <f>IF(Table1[[#This Row],[Profit %]]&gt;20,"Excellent",IF(H2683&gt;10.1,"Good","Low"))</f>
        <v>Good</v>
      </c>
    </row>
    <row r="2684" spans="1:9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 s="2">
        <v>8224</v>
      </c>
      <c r="G2684">
        <v>1679.16</v>
      </c>
      <c r="H2684" s="2">
        <f>Table1[[#This Row],[Profit]]/Table1[[#This Row],[Sales]]*100</f>
        <v>20.417801556420233</v>
      </c>
      <c r="I2684" t="str">
        <f>IF(Table1[[#This Row],[Profit %]]&gt;20,"Excellent",IF(H2684&gt;10.1,"Good","Low"))</f>
        <v>Excellent</v>
      </c>
    </row>
    <row r="2685" spans="1:9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 s="2">
        <v>723</v>
      </c>
      <c r="G2685">
        <v>115.25</v>
      </c>
      <c r="H2685" s="2">
        <f>Table1[[#This Row],[Profit]]/Table1[[#This Row],[Sales]]*100</f>
        <v>15.940525587828491</v>
      </c>
      <c r="I2685" t="str">
        <f>IF(Table1[[#This Row],[Profit %]]&gt;20,"Excellent",IF(H2685&gt;10.1,"Good","Low"))</f>
        <v>Good</v>
      </c>
    </row>
    <row r="2686" spans="1:9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 s="2">
        <v>2272</v>
      </c>
      <c r="G2686">
        <v>504.72</v>
      </c>
      <c r="H2686" s="2">
        <f>Table1[[#This Row],[Profit]]/Table1[[#This Row],[Sales]]*100</f>
        <v>22.214788732394368</v>
      </c>
      <c r="I2686" t="str">
        <f>IF(Table1[[#This Row],[Profit %]]&gt;20,"Excellent",IF(H2686&gt;10.1,"Good","Low"))</f>
        <v>Excellent</v>
      </c>
    </row>
    <row r="2687" spans="1:9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 s="2">
        <v>8640</v>
      </c>
      <c r="G2687">
        <v>1963.34</v>
      </c>
      <c r="H2687" s="2">
        <f>Table1[[#This Row],[Profit]]/Table1[[#This Row],[Sales]]*100</f>
        <v>22.72384259259259</v>
      </c>
      <c r="I2687" t="str">
        <f>IF(Table1[[#This Row],[Profit %]]&gt;20,"Excellent",IF(H2687&gt;10.1,"Good","Low"))</f>
        <v>Excellent</v>
      </c>
    </row>
    <row r="2688" spans="1:9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 s="2">
        <v>2984</v>
      </c>
      <c r="G2688">
        <v>631.80999999999995</v>
      </c>
      <c r="H2688" s="2">
        <f>Table1[[#This Row],[Profit]]/Table1[[#This Row],[Sales]]*100</f>
        <v>21.173257372654152</v>
      </c>
      <c r="I2688" t="str">
        <f>IF(Table1[[#This Row],[Profit %]]&gt;20,"Excellent",IF(H2688&gt;10.1,"Good","Low"))</f>
        <v>Excellent</v>
      </c>
    </row>
    <row r="2689" spans="1:9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 s="2">
        <v>606</v>
      </c>
      <c r="G2689">
        <v>150.94999999999999</v>
      </c>
      <c r="H2689" s="2">
        <f>Table1[[#This Row],[Profit]]/Table1[[#This Row],[Sales]]*100</f>
        <v>24.909240924092408</v>
      </c>
      <c r="I2689" t="str">
        <f>IF(Table1[[#This Row],[Profit %]]&gt;20,"Excellent",IF(H2689&gt;10.1,"Good","Low"))</f>
        <v>Excellent</v>
      </c>
    </row>
    <row r="2690" spans="1:9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 s="2">
        <v>170</v>
      </c>
      <c r="G2690">
        <v>48.69</v>
      </c>
      <c r="H2690" s="2">
        <f>Table1[[#This Row],[Profit]]/Table1[[#This Row],[Sales]]*100</f>
        <v>28.641176470588235</v>
      </c>
      <c r="I2690" t="str">
        <f>IF(Table1[[#This Row],[Profit %]]&gt;20,"Excellent",IF(H2690&gt;10.1,"Good","Low"))</f>
        <v>Excellent</v>
      </c>
    </row>
    <row r="2691" spans="1:9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 s="2">
        <v>5283</v>
      </c>
      <c r="G2691">
        <v>1550.3</v>
      </c>
      <c r="H2691" s="2">
        <f>Table1[[#This Row],[Profit]]/Table1[[#This Row],[Sales]]*100</f>
        <v>29.345069089532462</v>
      </c>
      <c r="I2691" t="str">
        <f>IF(Table1[[#This Row],[Profit %]]&gt;20,"Excellent",IF(H2691&gt;10.1,"Good","Low"))</f>
        <v>Excellent</v>
      </c>
    </row>
    <row r="2692" spans="1:9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 s="2">
        <v>1350</v>
      </c>
      <c r="G2692">
        <v>356.88</v>
      </c>
      <c r="H2692" s="2">
        <f>Table1[[#This Row],[Profit]]/Table1[[#This Row],[Sales]]*100</f>
        <v>26.435555555555556</v>
      </c>
      <c r="I2692" t="str">
        <f>IF(Table1[[#This Row],[Profit %]]&gt;20,"Excellent",IF(H2692&gt;10.1,"Good","Low"))</f>
        <v>Excellent</v>
      </c>
    </row>
    <row r="2693" spans="1:9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 s="2">
        <v>2500</v>
      </c>
      <c r="G2693">
        <v>467.34</v>
      </c>
      <c r="H2693" s="2">
        <f>Table1[[#This Row],[Profit]]/Table1[[#This Row],[Sales]]*100</f>
        <v>18.6936</v>
      </c>
      <c r="I2693" t="str">
        <f>IF(Table1[[#This Row],[Profit %]]&gt;20,"Excellent",IF(H2693&gt;10.1,"Good","Low"))</f>
        <v>Good</v>
      </c>
    </row>
    <row r="2694" spans="1:9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 s="2">
        <v>4648</v>
      </c>
      <c r="G2694">
        <v>689.85</v>
      </c>
      <c r="H2694" s="2">
        <f>Table1[[#This Row],[Profit]]/Table1[[#This Row],[Sales]]*100</f>
        <v>14.841867469879519</v>
      </c>
      <c r="I2694" t="str">
        <f>IF(Table1[[#This Row],[Profit %]]&gt;20,"Excellent",IF(H2694&gt;10.1,"Good","Low"))</f>
        <v>Good</v>
      </c>
    </row>
    <row r="2695" spans="1:9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 s="2">
        <v>650</v>
      </c>
      <c r="G2695">
        <v>93.41</v>
      </c>
      <c r="H2695" s="2">
        <f>Table1[[#This Row],[Profit]]/Table1[[#This Row],[Sales]]*100</f>
        <v>14.370769230769231</v>
      </c>
      <c r="I2695" t="str">
        <f>IF(Table1[[#This Row],[Profit %]]&gt;20,"Excellent",IF(H2695&gt;10.1,"Good","Low"))</f>
        <v>Good</v>
      </c>
    </row>
    <row r="2696" spans="1:9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 s="2">
        <v>1538</v>
      </c>
      <c r="G2696">
        <v>97.15</v>
      </c>
      <c r="H2696" s="2">
        <f>Table1[[#This Row],[Profit]]/Table1[[#This Row],[Sales]]*100</f>
        <v>6.3166449934980493</v>
      </c>
      <c r="I2696" t="str">
        <f>IF(Table1[[#This Row],[Profit %]]&gt;20,"Excellent",IF(H2696&gt;10.1,"Good","Low"))</f>
        <v>Low</v>
      </c>
    </row>
    <row r="2697" spans="1:9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 s="2">
        <v>3928</v>
      </c>
      <c r="G2697">
        <v>325.32</v>
      </c>
      <c r="H2697" s="2">
        <f>Table1[[#This Row],[Profit]]/Table1[[#This Row],[Sales]]*100</f>
        <v>8.2820773930753564</v>
      </c>
      <c r="I2697" t="str">
        <f>IF(Table1[[#This Row],[Profit %]]&gt;20,"Excellent",IF(H2697&gt;10.1,"Good","Low"))</f>
        <v>Low</v>
      </c>
    </row>
    <row r="2698" spans="1:9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 s="2">
        <v>2258</v>
      </c>
      <c r="G2698">
        <v>175.86</v>
      </c>
      <c r="H2698" s="2">
        <f>Table1[[#This Row],[Profit]]/Table1[[#This Row],[Sales]]*100</f>
        <v>7.7883082373782111</v>
      </c>
      <c r="I2698" t="str">
        <f>IF(Table1[[#This Row],[Profit %]]&gt;20,"Excellent",IF(H2698&gt;10.1,"Good","Low"))</f>
        <v>Low</v>
      </c>
    </row>
    <row r="2699" spans="1:9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 s="2">
        <v>2988</v>
      </c>
      <c r="G2699">
        <v>447.93</v>
      </c>
      <c r="H2699" s="2">
        <f>Table1[[#This Row],[Profit]]/Table1[[#This Row],[Sales]]*100</f>
        <v>14.990963855421688</v>
      </c>
      <c r="I2699" t="str">
        <f>IF(Table1[[#This Row],[Profit %]]&gt;20,"Excellent",IF(H2699&gt;10.1,"Good","Low"))</f>
        <v>Good</v>
      </c>
    </row>
    <row r="2700" spans="1:9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 s="2">
        <v>4136</v>
      </c>
      <c r="G2700">
        <v>810.82</v>
      </c>
      <c r="H2700" s="2">
        <f>Table1[[#This Row],[Profit]]/Table1[[#This Row],[Sales]]*100</f>
        <v>19.603965183752418</v>
      </c>
      <c r="I2700" t="str">
        <f>IF(Table1[[#This Row],[Profit %]]&gt;20,"Excellent",IF(H2700&gt;10.1,"Good","Low"))</f>
        <v>Good</v>
      </c>
    </row>
    <row r="2701" spans="1:9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 s="2">
        <v>3605</v>
      </c>
      <c r="G2701">
        <v>387.82</v>
      </c>
      <c r="H2701" s="2">
        <f>Table1[[#This Row],[Profit]]/Table1[[#This Row],[Sales]]*100</f>
        <v>10.757836338418862</v>
      </c>
      <c r="I2701" t="str">
        <f>IF(Table1[[#This Row],[Profit %]]&gt;20,"Excellent",IF(H2701&gt;10.1,"Good","Low"))</f>
        <v>Good</v>
      </c>
    </row>
    <row r="2702" spans="1:9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 s="2">
        <v>1656</v>
      </c>
      <c r="G2702">
        <v>469.28</v>
      </c>
      <c r="H2702" s="2">
        <f>Table1[[#This Row],[Profit]]/Table1[[#This Row],[Sales]]*100</f>
        <v>28.338164251207726</v>
      </c>
      <c r="I2702" t="str">
        <f>IF(Table1[[#This Row],[Profit %]]&gt;20,"Excellent",IF(H2702&gt;10.1,"Good","Low"))</f>
        <v>Excellent</v>
      </c>
    </row>
    <row r="2703" spans="1:9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 s="2">
        <v>7072</v>
      </c>
      <c r="G2703">
        <v>2113.06</v>
      </c>
      <c r="H2703" s="2">
        <f>Table1[[#This Row],[Profit]]/Table1[[#This Row],[Sales]]*100</f>
        <v>29.879242081447966</v>
      </c>
      <c r="I2703" t="str">
        <f>IF(Table1[[#This Row],[Profit %]]&gt;20,"Excellent",IF(H2703&gt;10.1,"Good","Low"))</f>
        <v>Excellent</v>
      </c>
    </row>
    <row r="2704" spans="1:9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 s="2">
        <v>5368</v>
      </c>
      <c r="G2704">
        <v>542.52</v>
      </c>
      <c r="H2704" s="2">
        <f>Table1[[#This Row],[Profit]]/Table1[[#This Row],[Sales]]*100</f>
        <v>10.10655737704918</v>
      </c>
      <c r="I2704" t="str">
        <f>IF(Table1[[#This Row],[Profit %]]&gt;20,"Excellent",IF(H2704&gt;10.1,"Good","Low"))</f>
        <v>Good</v>
      </c>
    </row>
    <row r="2705" spans="1:9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 s="2">
        <v>1356</v>
      </c>
      <c r="G2705">
        <v>374.79</v>
      </c>
      <c r="H2705" s="2">
        <f>Table1[[#This Row],[Profit]]/Table1[[#This Row],[Sales]]*100</f>
        <v>27.639380530973451</v>
      </c>
      <c r="I2705" t="str">
        <f>IF(Table1[[#This Row],[Profit %]]&gt;20,"Excellent",IF(H2705&gt;10.1,"Good","Low"))</f>
        <v>Excellent</v>
      </c>
    </row>
    <row r="2706" spans="1:9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 s="2">
        <v>1326</v>
      </c>
      <c r="G2706">
        <v>338.66</v>
      </c>
      <c r="H2706" s="2">
        <f>Table1[[#This Row],[Profit]]/Table1[[#This Row],[Sales]]*100</f>
        <v>25.539969834087483</v>
      </c>
      <c r="I2706" t="str">
        <f>IF(Table1[[#This Row],[Profit %]]&gt;20,"Excellent",IF(H2706&gt;10.1,"Good","Low"))</f>
        <v>Excellent</v>
      </c>
    </row>
    <row r="2707" spans="1:9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 s="2">
        <v>730</v>
      </c>
      <c r="G2707">
        <v>55.72</v>
      </c>
      <c r="H2707" s="2">
        <f>Table1[[#This Row],[Profit]]/Table1[[#This Row],[Sales]]*100</f>
        <v>7.6328767123287662</v>
      </c>
      <c r="I2707" t="str">
        <f>IF(Table1[[#This Row],[Profit %]]&gt;20,"Excellent",IF(H2707&gt;10.1,"Good","Low"))</f>
        <v>Low</v>
      </c>
    </row>
    <row r="2708" spans="1:9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 s="2">
        <v>4664</v>
      </c>
      <c r="G2708">
        <v>294.05</v>
      </c>
      <c r="H2708" s="2">
        <f>Table1[[#This Row],[Profit]]/Table1[[#This Row],[Sales]]*100</f>
        <v>6.3046740994854202</v>
      </c>
      <c r="I2708" t="str">
        <f>IF(Table1[[#This Row],[Profit %]]&gt;20,"Excellent",IF(H2708&gt;10.1,"Good","Low"))</f>
        <v>Low</v>
      </c>
    </row>
    <row r="2709" spans="1:9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 s="2">
        <v>3528</v>
      </c>
      <c r="G2709">
        <v>593.11</v>
      </c>
      <c r="H2709" s="2">
        <f>Table1[[#This Row],[Profit]]/Table1[[#This Row],[Sales]]*100</f>
        <v>16.811507936507937</v>
      </c>
      <c r="I2709" t="str">
        <f>IF(Table1[[#This Row],[Profit %]]&gt;20,"Excellent",IF(H2709&gt;10.1,"Good","Low"))</f>
        <v>Good</v>
      </c>
    </row>
    <row r="2710" spans="1:9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 s="2">
        <v>1497</v>
      </c>
      <c r="G2710">
        <v>190.59</v>
      </c>
      <c r="H2710" s="2">
        <f>Table1[[#This Row],[Profit]]/Table1[[#This Row],[Sales]]*100</f>
        <v>12.731462925851703</v>
      </c>
      <c r="I2710" t="str">
        <f>IF(Table1[[#This Row],[Profit %]]&gt;20,"Excellent",IF(H2710&gt;10.1,"Good","Low"))</f>
        <v>Good</v>
      </c>
    </row>
    <row r="2711" spans="1:9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 s="2">
        <v>2628</v>
      </c>
      <c r="G2711">
        <v>781.94</v>
      </c>
      <c r="H2711" s="2">
        <f>Table1[[#This Row],[Profit]]/Table1[[#This Row],[Sales]]*100</f>
        <v>29.754185692541856</v>
      </c>
      <c r="I2711" t="str">
        <f>IF(Table1[[#This Row],[Profit %]]&gt;20,"Excellent",IF(H2711&gt;10.1,"Good","Low"))</f>
        <v>Excellent</v>
      </c>
    </row>
    <row r="2712" spans="1:9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 s="2">
        <v>4196</v>
      </c>
      <c r="G2712">
        <v>655.29</v>
      </c>
      <c r="H2712" s="2">
        <f>Table1[[#This Row],[Profit]]/Table1[[#This Row],[Sales]]*100</f>
        <v>15.617016205910389</v>
      </c>
      <c r="I2712" t="str">
        <f>IF(Table1[[#This Row],[Profit %]]&gt;20,"Excellent",IF(H2712&gt;10.1,"Good","Low"))</f>
        <v>Good</v>
      </c>
    </row>
    <row r="2713" spans="1:9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 s="2">
        <v>1204</v>
      </c>
      <c r="G2713">
        <v>317.12</v>
      </c>
      <c r="H2713" s="2">
        <f>Table1[[#This Row],[Profit]]/Table1[[#This Row],[Sales]]*100</f>
        <v>26.338870431893689</v>
      </c>
      <c r="I2713" t="str">
        <f>IF(Table1[[#This Row],[Profit %]]&gt;20,"Excellent",IF(H2713&gt;10.1,"Good","Low"))</f>
        <v>Excellent</v>
      </c>
    </row>
    <row r="2714" spans="1:9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 s="2">
        <v>7119</v>
      </c>
      <c r="G2714">
        <v>1555.05</v>
      </c>
      <c r="H2714" s="2">
        <f>Table1[[#This Row],[Profit]]/Table1[[#This Row],[Sales]]*100</f>
        <v>21.843657817109143</v>
      </c>
      <c r="I2714" t="str">
        <f>IF(Table1[[#This Row],[Profit %]]&gt;20,"Excellent",IF(H2714&gt;10.1,"Good","Low"))</f>
        <v>Excellent</v>
      </c>
    </row>
    <row r="2715" spans="1:9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 s="2">
        <v>1848</v>
      </c>
      <c r="G2715">
        <v>351.02</v>
      </c>
      <c r="H2715" s="2">
        <f>Table1[[#This Row],[Profit]]/Table1[[#This Row],[Sales]]*100</f>
        <v>18.994588744588743</v>
      </c>
      <c r="I2715" t="str">
        <f>IF(Table1[[#This Row],[Profit %]]&gt;20,"Excellent",IF(H2715&gt;10.1,"Good","Low"))</f>
        <v>Good</v>
      </c>
    </row>
    <row r="2716" spans="1:9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 s="2">
        <v>2232</v>
      </c>
      <c r="G2716">
        <v>531.12</v>
      </c>
      <c r="H2716" s="2">
        <f>Table1[[#This Row],[Profit]]/Table1[[#This Row],[Sales]]*100</f>
        <v>23.79569892473118</v>
      </c>
      <c r="I2716" t="str">
        <f>IF(Table1[[#This Row],[Profit %]]&gt;20,"Excellent",IF(H2716&gt;10.1,"Good","Low"))</f>
        <v>Excellent</v>
      </c>
    </row>
    <row r="2717" spans="1:9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 s="2">
        <v>5190</v>
      </c>
      <c r="G2717">
        <v>898.86</v>
      </c>
      <c r="H2717" s="2">
        <f>Table1[[#This Row],[Profit]]/Table1[[#This Row],[Sales]]*100</f>
        <v>17.319075144508673</v>
      </c>
      <c r="I2717" t="str">
        <f>IF(Table1[[#This Row],[Profit %]]&gt;20,"Excellent",IF(H2717&gt;10.1,"Good","Low"))</f>
        <v>Good</v>
      </c>
    </row>
    <row r="2718" spans="1:9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 s="2">
        <v>1830</v>
      </c>
      <c r="G2718">
        <v>403.42</v>
      </c>
      <c r="H2718" s="2">
        <f>Table1[[#This Row],[Profit]]/Table1[[#This Row],[Sales]]*100</f>
        <v>22.044808743169401</v>
      </c>
      <c r="I2718" t="str">
        <f>IF(Table1[[#This Row],[Profit %]]&gt;20,"Excellent",IF(H2718&gt;10.1,"Good","Low"))</f>
        <v>Excellent</v>
      </c>
    </row>
    <row r="2719" spans="1:9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 s="2">
        <v>1033</v>
      </c>
      <c r="G2719">
        <v>302.68</v>
      </c>
      <c r="H2719" s="2">
        <f>Table1[[#This Row],[Profit]]/Table1[[#This Row],[Sales]]*100</f>
        <v>29.301064859632142</v>
      </c>
      <c r="I2719" t="str">
        <f>IF(Table1[[#This Row],[Profit %]]&gt;20,"Excellent",IF(H2719&gt;10.1,"Good","Low"))</f>
        <v>Excellent</v>
      </c>
    </row>
    <row r="2720" spans="1:9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 s="2">
        <v>2324</v>
      </c>
      <c r="G2720">
        <v>611.70000000000005</v>
      </c>
      <c r="H2720" s="2">
        <f>Table1[[#This Row],[Profit]]/Table1[[#This Row],[Sales]]*100</f>
        <v>26.320998278829606</v>
      </c>
      <c r="I2720" t="str">
        <f>IF(Table1[[#This Row],[Profit %]]&gt;20,"Excellent",IF(H2720&gt;10.1,"Good","Low"))</f>
        <v>Excellent</v>
      </c>
    </row>
    <row r="2721" spans="1:9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 s="2">
        <v>1942</v>
      </c>
      <c r="G2721">
        <v>235.42</v>
      </c>
      <c r="H2721" s="2">
        <f>Table1[[#This Row],[Profit]]/Table1[[#This Row],[Sales]]*100</f>
        <v>12.122554067971162</v>
      </c>
      <c r="I2721" t="str">
        <f>IF(Table1[[#This Row],[Profit %]]&gt;20,"Excellent",IF(H2721&gt;10.1,"Good","Low"))</f>
        <v>Good</v>
      </c>
    </row>
    <row r="2722" spans="1:9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 s="2">
        <v>5740</v>
      </c>
      <c r="G2722">
        <v>1615.9</v>
      </c>
      <c r="H2722" s="2">
        <f>Table1[[#This Row],[Profit]]/Table1[[#This Row],[Sales]]*100</f>
        <v>28.151567944250871</v>
      </c>
      <c r="I2722" t="str">
        <f>IF(Table1[[#This Row],[Profit %]]&gt;20,"Excellent",IF(H2722&gt;10.1,"Good","Low"))</f>
        <v>Excellent</v>
      </c>
    </row>
    <row r="2723" spans="1:9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 s="2">
        <v>6435</v>
      </c>
      <c r="G2723">
        <v>1096.8800000000001</v>
      </c>
      <c r="H2723" s="2">
        <f>Table1[[#This Row],[Profit]]/Table1[[#This Row],[Sales]]*100</f>
        <v>17.045532245532247</v>
      </c>
      <c r="I2723" t="str">
        <f>IF(Table1[[#This Row],[Profit %]]&gt;20,"Excellent",IF(H2723&gt;10.1,"Good","Low"))</f>
        <v>Good</v>
      </c>
    </row>
    <row r="2724" spans="1:9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 s="2">
        <v>1168</v>
      </c>
      <c r="G2724">
        <v>172.18</v>
      </c>
      <c r="H2724" s="2">
        <f>Table1[[#This Row],[Profit]]/Table1[[#This Row],[Sales]]*100</f>
        <v>14.741438356164386</v>
      </c>
      <c r="I2724" t="str">
        <f>IF(Table1[[#This Row],[Profit %]]&gt;20,"Excellent",IF(H2724&gt;10.1,"Good","Low"))</f>
        <v>Good</v>
      </c>
    </row>
    <row r="2725" spans="1:9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 s="2">
        <v>7362</v>
      </c>
      <c r="G2725">
        <v>441.36</v>
      </c>
      <c r="H2725" s="2">
        <f>Table1[[#This Row],[Profit]]/Table1[[#This Row],[Sales]]*100</f>
        <v>5.9951100244498781</v>
      </c>
      <c r="I2725" t="str">
        <f>IF(Table1[[#This Row],[Profit %]]&gt;20,"Excellent",IF(H2725&gt;10.1,"Good","Low"))</f>
        <v>Low</v>
      </c>
    </row>
    <row r="2726" spans="1:9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 s="2">
        <v>862</v>
      </c>
      <c r="G2726">
        <v>105.97</v>
      </c>
      <c r="H2726" s="2">
        <f>Table1[[#This Row],[Profit]]/Table1[[#This Row],[Sales]]*100</f>
        <v>12.293503480278423</v>
      </c>
      <c r="I2726" t="str">
        <f>IF(Table1[[#This Row],[Profit %]]&gt;20,"Excellent",IF(H2726&gt;10.1,"Good","Low"))</f>
        <v>Good</v>
      </c>
    </row>
    <row r="2727" spans="1:9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 s="2">
        <v>956</v>
      </c>
      <c r="G2727">
        <v>167.16</v>
      </c>
      <c r="H2727" s="2">
        <f>Table1[[#This Row],[Profit]]/Table1[[#This Row],[Sales]]*100</f>
        <v>17.485355648535563</v>
      </c>
      <c r="I2727" t="str">
        <f>IF(Table1[[#This Row],[Profit %]]&gt;20,"Excellent",IF(H2727&gt;10.1,"Good","Low"))</f>
        <v>Good</v>
      </c>
    </row>
    <row r="2728" spans="1:9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 s="2">
        <v>4438</v>
      </c>
      <c r="G2728">
        <v>770.3</v>
      </c>
      <c r="H2728" s="2">
        <f>Table1[[#This Row],[Profit]]/Table1[[#This Row],[Sales]]*100</f>
        <v>17.356917530419107</v>
      </c>
      <c r="I2728" t="str">
        <f>IF(Table1[[#This Row],[Profit %]]&gt;20,"Excellent",IF(H2728&gt;10.1,"Good","Low"))</f>
        <v>Good</v>
      </c>
    </row>
    <row r="2729" spans="1:9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 s="2">
        <v>972</v>
      </c>
      <c r="G2729">
        <v>100</v>
      </c>
      <c r="H2729" s="2">
        <f>Table1[[#This Row],[Profit]]/Table1[[#This Row],[Sales]]*100</f>
        <v>10.2880658436214</v>
      </c>
      <c r="I2729" t="str">
        <f>IF(Table1[[#This Row],[Profit %]]&gt;20,"Excellent",IF(H2729&gt;10.1,"Good","Low"))</f>
        <v>Good</v>
      </c>
    </row>
    <row r="2730" spans="1:9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 s="2">
        <v>1816</v>
      </c>
      <c r="G2730">
        <v>129.24</v>
      </c>
      <c r="H2730" s="2">
        <f>Table1[[#This Row],[Profit]]/Table1[[#This Row],[Sales]]*100</f>
        <v>7.1167400881057272</v>
      </c>
      <c r="I2730" t="str">
        <f>IF(Table1[[#This Row],[Profit %]]&gt;20,"Excellent",IF(H2730&gt;10.1,"Good","Low"))</f>
        <v>Low</v>
      </c>
    </row>
    <row r="2731" spans="1:9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 s="2">
        <v>596</v>
      </c>
      <c r="G2731">
        <v>105.89</v>
      </c>
      <c r="H2731" s="2">
        <f>Table1[[#This Row],[Profit]]/Table1[[#This Row],[Sales]]*100</f>
        <v>17.766778523489933</v>
      </c>
      <c r="I2731" t="str">
        <f>IF(Table1[[#This Row],[Profit %]]&gt;20,"Excellent",IF(H2731&gt;10.1,"Good","Low"))</f>
        <v>Good</v>
      </c>
    </row>
    <row r="2732" spans="1:9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 s="2">
        <v>1233</v>
      </c>
      <c r="G2732">
        <v>346.9</v>
      </c>
      <c r="H2732" s="2">
        <f>Table1[[#This Row],[Profit]]/Table1[[#This Row],[Sales]]*100</f>
        <v>28.134630981346309</v>
      </c>
      <c r="I2732" t="str">
        <f>IF(Table1[[#This Row],[Profit %]]&gt;20,"Excellent",IF(H2732&gt;10.1,"Good","Low"))</f>
        <v>Excellent</v>
      </c>
    </row>
    <row r="2733" spans="1:9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 s="2">
        <v>1055</v>
      </c>
      <c r="G2733">
        <v>88.61</v>
      </c>
      <c r="H2733" s="2">
        <f>Table1[[#This Row],[Profit]]/Table1[[#This Row],[Sales]]*100</f>
        <v>8.3990521327014225</v>
      </c>
      <c r="I2733" t="str">
        <f>IF(Table1[[#This Row],[Profit %]]&gt;20,"Excellent",IF(H2733&gt;10.1,"Good","Low"))</f>
        <v>Low</v>
      </c>
    </row>
    <row r="2734" spans="1:9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 s="2">
        <v>952</v>
      </c>
      <c r="G2734">
        <v>112.39</v>
      </c>
      <c r="H2734" s="2">
        <f>Table1[[#This Row],[Profit]]/Table1[[#This Row],[Sales]]*100</f>
        <v>11.805672268907564</v>
      </c>
      <c r="I2734" t="str">
        <f>IF(Table1[[#This Row],[Profit %]]&gt;20,"Excellent",IF(H2734&gt;10.1,"Good","Low"))</f>
        <v>Good</v>
      </c>
    </row>
    <row r="2735" spans="1:9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 s="2">
        <v>312</v>
      </c>
      <c r="G2735">
        <v>40.47</v>
      </c>
      <c r="H2735" s="2">
        <f>Table1[[#This Row],[Profit]]/Table1[[#This Row],[Sales]]*100</f>
        <v>12.971153846153847</v>
      </c>
      <c r="I2735" t="str">
        <f>IF(Table1[[#This Row],[Profit %]]&gt;20,"Excellent",IF(H2735&gt;10.1,"Good","Low"))</f>
        <v>Good</v>
      </c>
    </row>
    <row r="2736" spans="1:9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 s="2">
        <v>294</v>
      </c>
      <c r="G2736">
        <v>35.049999999999997</v>
      </c>
      <c r="H2736" s="2">
        <f>Table1[[#This Row],[Profit]]/Table1[[#This Row],[Sales]]*100</f>
        <v>11.921768707482991</v>
      </c>
      <c r="I2736" t="str">
        <f>IF(Table1[[#This Row],[Profit %]]&gt;20,"Excellent",IF(H2736&gt;10.1,"Good","Low"))</f>
        <v>Good</v>
      </c>
    </row>
    <row r="2737" spans="1:9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 s="2">
        <v>474</v>
      </c>
      <c r="G2737">
        <v>120.91</v>
      </c>
      <c r="H2737" s="2">
        <f>Table1[[#This Row],[Profit]]/Table1[[#This Row],[Sales]]*100</f>
        <v>25.508438818565399</v>
      </c>
      <c r="I2737" t="str">
        <f>IF(Table1[[#This Row],[Profit %]]&gt;20,"Excellent",IF(H2737&gt;10.1,"Good","Low"))</f>
        <v>Excellent</v>
      </c>
    </row>
    <row r="2738" spans="1:9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 s="2">
        <v>788</v>
      </c>
      <c r="G2738">
        <v>195.15</v>
      </c>
      <c r="H2738" s="2">
        <f>Table1[[#This Row],[Profit]]/Table1[[#This Row],[Sales]]*100</f>
        <v>24.765228426395939</v>
      </c>
      <c r="I2738" t="str">
        <f>IF(Table1[[#This Row],[Profit %]]&gt;20,"Excellent",IF(H2738&gt;10.1,"Good","Low"))</f>
        <v>Excellent</v>
      </c>
    </row>
    <row r="2739" spans="1:9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 s="2">
        <v>2760</v>
      </c>
      <c r="G2739">
        <v>156.53</v>
      </c>
      <c r="H2739" s="2">
        <f>Table1[[#This Row],[Profit]]/Table1[[#This Row],[Sales]]*100</f>
        <v>5.6713768115942029</v>
      </c>
      <c r="I2739" t="str">
        <f>IF(Table1[[#This Row],[Profit %]]&gt;20,"Excellent",IF(H2739&gt;10.1,"Good","Low"))</f>
        <v>Low</v>
      </c>
    </row>
    <row r="2740" spans="1:9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 s="2">
        <v>908</v>
      </c>
      <c r="G2740">
        <v>219.79</v>
      </c>
      <c r="H2740" s="2">
        <f>Table1[[#This Row],[Profit]]/Table1[[#This Row],[Sales]]*100</f>
        <v>24.205947136563879</v>
      </c>
      <c r="I2740" t="str">
        <f>IF(Table1[[#This Row],[Profit %]]&gt;20,"Excellent",IF(H2740&gt;10.1,"Good","Low"))</f>
        <v>Excellent</v>
      </c>
    </row>
    <row r="2741" spans="1:9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 s="2">
        <v>593</v>
      </c>
      <c r="G2741">
        <v>133.01</v>
      </c>
      <c r="H2741" s="2">
        <f>Table1[[#This Row],[Profit]]/Table1[[#This Row],[Sales]]*100</f>
        <v>22.430016863406408</v>
      </c>
      <c r="I2741" t="str">
        <f>IF(Table1[[#This Row],[Profit %]]&gt;20,"Excellent",IF(H2741&gt;10.1,"Good","Low"))</f>
        <v>Excellent</v>
      </c>
    </row>
    <row r="2742" spans="1:9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 s="2">
        <v>1698</v>
      </c>
      <c r="G2742">
        <v>193.42</v>
      </c>
      <c r="H2742" s="2">
        <f>Table1[[#This Row],[Profit]]/Table1[[#This Row],[Sales]]*100</f>
        <v>11.391048292108362</v>
      </c>
      <c r="I2742" t="str">
        <f>IF(Table1[[#This Row],[Profit %]]&gt;20,"Excellent",IF(H2742&gt;10.1,"Good","Low"))</f>
        <v>Good</v>
      </c>
    </row>
    <row r="2743" spans="1:9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 s="2">
        <v>546</v>
      </c>
      <c r="G2743">
        <v>124.1</v>
      </c>
      <c r="H2743" s="2">
        <f>Table1[[#This Row],[Profit]]/Table1[[#This Row],[Sales]]*100</f>
        <v>22.72893772893773</v>
      </c>
      <c r="I2743" t="str">
        <f>IF(Table1[[#This Row],[Profit %]]&gt;20,"Excellent",IF(H2743&gt;10.1,"Good","Low"))</f>
        <v>Excellent</v>
      </c>
    </row>
    <row r="2744" spans="1:9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 s="2">
        <v>4380</v>
      </c>
      <c r="G2744">
        <v>275.83999999999997</v>
      </c>
      <c r="H2744" s="2">
        <f>Table1[[#This Row],[Profit]]/Table1[[#This Row],[Sales]]*100</f>
        <v>6.2977168949771674</v>
      </c>
      <c r="I2744" t="str">
        <f>IF(Table1[[#This Row],[Profit %]]&gt;20,"Excellent",IF(H2744&gt;10.1,"Good","Low"))</f>
        <v>Low</v>
      </c>
    </row>
    <row r="2745" spans="1:9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 s="2">
        <v>2472</v>
      </c>
      <c r="G2745">
        <v>594.62</v>
      </c>
      <c r="H2745" s="2">
        <f>Table1[[#This Row],[Profit]]/Table1[[#This Row],[Sales]]*100</f>
        <v>24.0542071197411</v>
      </c>
      <c r="I2745" t="str">
        <f>IF(Table1[[#This Row],[Profit %]]&gt;20,"Excellent",IF(H2745&gt;10.1,"Good","Low"))</f>
        <v>Excellent</v>
      </c>
    </row>
    <row r="2746" spans="1:9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 s="2">
        <v>1996</v>
      </c>
      <c r="G2746">
        <v>396.63</v>
      </c>
      <c r="H2746" s="2">
        <f>Table1[[#This Row],[Profit]]/Table1[[#This Row],[Sales]]*100</f>
        <v>19.87124248496994</v>
      </c>
      <c r="I2746" t="str">
        <f>IF(Table1[[#This Row],[Profit %]]&gt;20,"Excellent",IF(H2746&gt;10.1,"Good","Low"))</f>
        <v>Good</v>
      </c>
    </row>
    <row r="2747" spans="1:9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 s="2">
        <v>2525</v>
      </c>
      <c r="G2747">
        <v>699.74</v>
      </c>
      <c r="H2747" s="2">
        <f>Table1[[#This Row],[Profit]]/Table1[[#This Row],[Sales]]*100</f>
        <v>27.712475247524754</v>
      </c>
      <c r="I2747" t="str">
        <f>IF(Table1[[#This Row],[Profit %]]&gt;20,"Excellent",IF(H2747&gt;10.1,"Good","Low"))</f>
        <v>Excellent</v>
      </c>
    </row>
    <row r="2748" spans="1:9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 s="2">
        <v>4041</v>
      </c>
      <c r="G2748">
        <v>517.23</v>
      </c>
      <c r="H2748" s="2">
        <f>Table1[[#This Row],[Profit]]/Table1[[#This Row],[Sales]]*100</f>
        <v>12.799554565701559</v>
      </c>
      <c r="I2748" t="str">
        <f>IF(Table1[[#This Row],[Profit %]]&gt;20,"Excellent",IF(H2748&gt;10.1,"Good","Low"))</f>
        <v>Good</v>
      </c>
    </row>
    <row r="2749" spans="1:9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 s="2">
        <v>858</v>
      </c>
      <c r="G2749">
        <v>246.86</v>
      </c>
      <c r="H2749" s="2">
        <f>Table1[[#This Row],[Profit]]/Table1[[#This Row],[Sales]]*100</f>
        <v>28.771561771561771</v>
      </c>
      <c r="I2749" t="str">
        <f>IF(Table1[[#This Row],[Profit %]]&gt;20,"Excellent",IF(H2749&gt;10.1,"Good","Low"))</f>
        <v>Excellent</v>
      </c>
    </row>
    <row r="2750" spans="1:9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 s="2">
        <v>4221</v>
      </c>
      <c r="G2750">
        <v>1238.5999999999999</v>
      </c>
      <c r="H2750" s="2">
        <f>Table1[[#This Row],[Profit]]/Table1[[#This Row],[Sales]]*100</f>
        <v>29.343757403458891</v>
      </c>
      <c r="I2750" t="str">
        <f>IF(Table1[[#This Row],[Profit %]]&gt;20,"Excellent",IF(H2750&gt;10.1,"Good","Low"))</f>
        <v>Excellent</v>
      </c>
    </row>
    <row r="2751" spans="1:9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 s="2">
        <v>858</v>
      </c>
      <c r="G2751">
        <v>73.489999999999995</v>
      </c>
      <c r="H2751" s="2">
        <f>Table1[[#This Row],[Profit]]/Table1[[#This Row],[Sales]]*100</f>
        <v>8.5652680652680644</v>
      </c>
      <c r="I2751" t="str">
        <f>IF(Table1[[#This Row],[Profit %]]&gt;20,"Excellent",IF(H2751&gt;10.1,"Good","Low"))</f>
        <v>Low</v>
      </c>
    </row>
    <row r="2752" spans="1:9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 s="2">
        <v>776</v>
      </c>
      <c r="G2752">
        <v>172.19</v>
      </c>
      <c r="H2752" s="2">
        <f>Table1[[#This Row],[Profit]]/Table1[[#This Row],[Sales]]*100</f>
        <v>22.189432989690722</v>
      </c>
      <c r="I2752" t="str">
        <f>IF(Table1[[#This Row],[Profit %]]&gt;20,"Excellent",IF(H2752&gt;10.1,"Good","Low"))</f>
        <v>Excellent</v>
      </c>
    </row>
    <row r="2753" spans="1:9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 s="2">
        <v>3654</v>
      </c>
      <c r="G2753">
        <v>871.81</v>
      </c>
      <c r="H2753" s="2">
        <f>Table1[[#This Row],[Profit]]/Table1[[#This Row],[Sales]]*100</f>
        <v>23.859058565955117</v>
      </c>
      <c r="I2753" t="str">
        <f>IF(Table1[[#This Row],[Profit %]]&gt;20,"Excellent",IF(H2753&gt;10.1,"Good","Low"))</f>
        <v>Excellent</v>
      </c>
    </row>
    <row r="2754" spans="1:9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 s="2">
        <v>384</v>
      </c>
      <c r="G2754">
        <v>45.99</v>
      </c>
      <c r="H2754" s="2">
        <f>Table1[[#This Row],[Profit]]/Table1[[#This Row],[Sales]]*100</f>
        <v>11.9765625</v>
      </c>
      <c r="I2754" t="str">
        <f>IF(Table1[[#This Row],[Profit %]]&gt;20,"Excellent",IF(H2754&gt;10.1,"Good","Low"))</f>
        <v>Good</v>
      </c>
    </row>
    <row r="2755" spans="1:9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 s="2">
        <v>535</v>
      </c>
      <c r="G2755">
        <v>43.47</v>
      </c>
      <c r="H2755" s="2">
        <f>Table1[[#This Row],[Profit]]/Table1[[#This Row],[Sales]]*100</f>
        <v>8.1252336448598133</v>
      </c>
      <c r="I2755" t="str">
        <f>IF(Table1[[#This Row],[Profit %]]&gt;20,"Excellent",IF(H2755&gt;10.1,"Good","Low"))</f>
        <v>Low</v>
      </c>
    </row>
    <row r="2756" spans="1:9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 s="2">
        <v>7992</v>
      </c>
      <c r="G2756">
        <v>1979.53</v>
      </c>
      <c r="H2756" s="2">
        <f>Table1[[#This Row],[Profit]]/Table1[[#This Row],[Sales]]*100</f>
        <v>24.768893893893893</v>
      </c>
      <c r="I2756" t="str">
        <f>IF(Table1[[#This Row],[Profit %]]&gt;20,"Excellent",IF(H2756&gt;10.1,"Good","Low"))</f>
        <v>Excellent</v>
      </c>
    </row>
    <row r="2757" spans="1:9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 s="2">
        <v>3892</v>
      </c>
      <c r="G2757">
        <v>350.57</v>
      </c>
      <c r="H2757" s="2">
        <f>Table1[[#This Row],[Profit]]/Table1[[#This Row],[Sales]]*100</f>
        <v>9.0074511819116125</v>
      </c>
      <c r="I2757" t="str">
        <f>IF(Table1[[#This Row],[Profit %]]&gt;20,"Excellent",IF(H2757&gt;10.1,"Good","Low"))</f>
        <v>Low</v>
      </c>
    </row>
    <row r="2758" spans="1:9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 s="2">
        <v>2637</v>
      </c>
      <c r="G2758">
        <v>468.6</v>
      </c>
      <c r="H2758" s="2">
        <f>Table1[[#This Row],[Profit]]/Table1[[#This Row],[Sales]]*100</f>
        <v>17.770193401592721</v>
      </c>
      <c r="I2758" t="str">
        <f>IF(Table1[[#This Row],[Profit %]]&gt;20,"Excellent",IF(H2758&gt;10.1,"Good","Low"))</f>
        <v>Good</v>
      </c>
    </row>
    <row r="2759" spans="1:9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 s="2">
        <v>8664</v>
      </c>
      <c r="G2759">
        <v>2349.6799999999998</v>
      </c>
      <c r="H2759" s="2">
        <f>Table1[[#This Row],[Profit]]/Table1[[#This Row],[Sales]]*100</f>
        <v>27.120036934441366</v>
      </c>
      <c r="I2759" t="str">
        <f>IF(Table1[[#This Row],[Profit %]]&gt;20,"Excellent",IF(H2759&gt;10.1,"Good","Low"))</f>
        <v>Excellent</v>
      </c>
    </row>
    <row r="2760" spans="1:9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 s="2">
        <v>918</v>
      </c>
      <c r="G2760">
        <v>116.87</v>
      </c>
      <c r="H2760" s="2">
        <f>Table1[[#This Row],[Profit]]/Table1[[#This Row],[Sales]]*100</f>
        <v>12.730936819172115</v>
      </c>
      <c r="I2760" t="str">
        <f>IF(Table1[[#This Row],[Profit %]]&gt;20,"Excellent",IF(H2760&gt;10.1,"Good","Low"))</f>
        <v>Good</v>
      </c>
    </row>
    <row r="2761" spans="1:9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 s="2">
        <v>5625</v>
      </c>
      <c r="G2761">
        <v>1006.95</v>
      </c>
      <c r="H2761" s="2">
        <f>Table1[[#This Row],[Profit]]/Table1[[#This Row],[Sales]]*100</f>
        <v>17.901333333333334</v>
      </c>
      <c r="I2761" t="str">
        <f>IF(Table1[[#This Row],[Profit %]]&gt;20,"Excellent",IF(H2761&gt;10.1,"Good","Low"))</f>
        <v>Good</v>
      </c>
    </row>
    <row r="2762" spans="1:9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 s="2">
        <v>6030</v>
      </c>
      <c r="G2762">
        <v>511.7</v>
      </c>
      <c r="H2762" s="2">
        <f>Table1[[#This Row],[Profit]]/Table1[[#This Row],[Sales]]*100</f>
        <v>8.4859038142620236</v>
      </c>
      <c r="I2762" t="str">
        <f>IF(Table1[[#This Row],[Profit %]]&gt;20,"Excellent",IF(H2762&gt;10.1,"Good","Low"))</f>
        <v>Low</v>
      </c>
    </row>
    <row r="2763" spans="1:9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 s="2">
        <v>432</v>
      </c>
      <c r="G2763">
        <v>98.44</v>
      </c>
      <c r="H2763" s="2">
        <f>Table1[[#This Row],[Profit]]/Table1[[#This Row],[Sales]]*100</f>
        <v>22.787037037037035</v>
      </c>
      <c r="I2763" t="str">
        <f>IF(Table1[[#This Row],[Profit %]]&gt;20,"Excellent",IF(H2763&gt;10.1,"Good","Low"))</f>
        <v>Excellent</v>
      </c>
    </row>
    <row r="2764" spans="1:9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 s="2">
        <v>1884</v>
      </c>
      <c r="G2764">
        <v>190.58</v>
      </c>
      <c r="H2764" s="2">
        <f>Table1[[#This Row],[Profit]]/Table1[[#This Row],[Sales]]*100</f>
        <v>10.115711252653927</v>
      </c>
      <c r="I2764" t="str">
        <f>IF(Table1[[#This Row],[Profit %]]&gt;20,"Excellent",IF(H2764&gt;10.1,"Good","Low"))</f>
        <v>Good</v>
      </c>
    </row>
    <row r="2765" spans="1:9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 s="2">
        <v>9225</v>
      </c>
      <c r="G2765">
        <v>2526.27</v>
      </c>
      <c r="H2765" s="2">
        <f>Table1[[#This Row],[Profit]]/Table1[[#This Row],[Sales]]*100</f>
        <v>27.385040650406506</v>
      </c>
      <c r="I2765" t="str">
        <f>IF(Table1[[#This Row],[Profit %]]&gt;20,"Excellent",IF(H2765&gt;10.1,"Good","Low"))</f>
        <v>Excellent</v>
      </c>
    </row>
    <row r="2766" spans="1:9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 s="2">
        <v>954</v>
      </c>
      <c r="G2766">
        <v>71</v>
      </c>
      <c r="H2766" s="2">
        <f>Table1[[#This Row],[Profit]]/Table1[[#This Row],[Sales]]*100</f>
        <v>7.4423480083857445</v>
      </c>
      <c r="I2766" t="str">
        <f>IF(Table1[[#This Row],[Profit %]]&gt;20,"Excellent",IF(H2766&gt;10.1,"Good","Low"))</f>
        <v>Low</v>
      </c>
    </row>
    <row r="2767" spans="1:9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 s="2">
        <v>7072</v>
      </c>
      <c r="G2767">
        <v>1983.42</v>
      </c>
      <c r="H2767" s="2">
        <f>Table1[[#This Row],[Profit]]/Table1[[#This Row],[Sales]]*100</f>
        <v>28.046097285067873</v>
      </c>
      <c r="I2767" t="str">
        <f>IF(Table1[[#This Row],[Profit %]]&gt;20,"Excellent",IF(H2767&gt;10.1,"Good","Low"))</f>
        <v>Excellent</v>
      </c>
    </row>
    <row r="2768" spans="1:9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 s="2">
        <v>342</v>
      </c>
      <c r="G2768">
        <v>89.67</v>
      </c>
      <c r="H2768" s="2">
        <f>Table1[[#This Row],[Profit]]/Table1[[#This Row],[Sales]]*100</f>
        <v>26.219298245614038</v>
      </c>
      <c r="I2768" t="str">
        <f>IF(Table1[[#This Row],[Profit %]]&gt;20,"Excellent",IF(H2768&gt;10.1,"Good","Low"))</f>
        <v>Excellent</v>
      </c>
    </row>
    <row r="2769" spans="1:9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 s="2">
        <v>2440</v>
      </c>
      <c r="G2769">
        <v>410.86</v>
      </c>
      <c r="H2769" s="2">
        <f>Table1[[#This Row],[Profit]]/Table1[[#This Row],[Sales]]*100</f>
        <v>16.838524590163935</v>
      </c>
      <c r="I2769" t="str">
        <f>IF(Table1[[#This Row],[Profit %]]&gt;20,"Excellent",IF(H2769&gt;10.1,"Good","Low"))</f>
        <v>Good</v>
      </c>
    </row>
    <row r="2770" spans="1:9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 s="2">
        <v>510</v>
      </c>
      <c r="G2770">
        <v>82.47</v>
      </c>
      <c r="H2770" s="2">
        <f>Table1[[#This Row],[Profit]]/Table1[[#This Row],[Sales]]*100</f>
        <v>16.170588235294119</v>
      </c>
      <c r="I2770" t="str">
        <f>IF(Table1[[#This Row],[Profit %]]&gt;20,"Excellent",IF(H2770&gt;10.1,"Good","Low"))</f>
        <v>Good</v>
      </c>
    </row>
    <row r="2771" spans="1:9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 s="2">
        <v>192</v>
      </c>
      <c r="G2771">
        <v>16.47</v>
      </c>
      <c r="H2771" s="2">
        <f>Table1[[#This Row],[Profit]]/Table1[[#This Row],[Sales]]*100</f>
        <v>8.5781249999999982</v>
      </c>
      <c r="I2771" t="str">
        <f>IF(Table1[[#This Row],[Profit %]]&gt;20,"Excellent",IF(H2771&gt;10.1,"Good","Low"))</f>
        <v>Low</v>
      </c>
    </row>
    <row r="2772" spans="1:9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 s="2">
        <v>3600</v>
      </c>
      <c r="G2772">
        <v>712.3</v>
      </c>
      <c r="H2772" s="2">
        <f>Table1[[#This Row],[Profit]]/Table1[[#This Row],[Sales]]*100</f>
        <v>19.786111111111111</v>
      </c>
      <c r="I2772" t="str">
        <f>IF(Table1[[#This Row],[Profit %]]&gt;20,"Excellent",IF(H2772&gt;10.1,"Good","Low"))</f>
        <v>Good</v>
      </c>
    </row>
    <row r="2773" spans="1:9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 s="2">
        <v>2597</v>
      </c>
      <c r="G2773">
        <v>766.32</v>
      </c>
      <c r="H2773" s="2">
        <f>Table1[[#This Row],[Profit]]/Table1[[#This Row],[Sales]]*100</f>
        <v>29.50789372352715</v>
      </c>
      <c r="I2773" t="str">
        <f>IF(Table1[[#This Row],[Profit %]]&gt;20,"Excellent",IF(H2773&gt;10.1,"Good","Low"))</f>
        <v>Excellent</v>
      </c>
    </row>
    <row r="2774" spans="1:9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 s="2">
        <v>772</v>
      </c>
      <c r="G2774">
        <v>215.62</v>
      </c>
      <c r="H2774" s="2">
        <f>Table1[[#This Row],[Profit]]/Table1[[#This Row],[Sales]]*100</f>
        <v>27.930051813471501</v>
      </c>
      <c r="I2774" t="str">
        <f>IF(Table1[[#This Row],[Profit %]]&gt;20,"Excellent",IF(H2774&gt;10.1,"Good","Low"))</f>
        <v>Excellent</v>
      </c>
    </row>
    <row r="2775" spans="1:9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 s="2">
        <v>646</v>
      </c>
      <c r="G2775">
        <v>180.5</v>
      </c>
      <c r="H2775" s="2">
        <f>Table1[[#This Row],[Profit]]/Table1[[#This Row],[Sales]]*100</f>
        <v>27.941176470588236</v>
      </c>
      <c r="I2775" t="str">
        <f>IF(Table1[[#This Row],[Profit %]]&gt;20,"Excellent",IF(H2775&gt;10.1,"Good","Low"))</f>
        <v>Excellent</v>
      </c>
    </row>
    <row r="2776" spans="1:9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 s="2">
        <v>2947</v>
      </c>
      <c r="G2776">
        <v>809.46</v>
      </c>
      <c r="H2776" s="2">
        <f>Table1[[#This Row],[Profit]]/Table1[[#This Row],[Sales]]*100</f>
        <v>27.467254835425859</v>
      </c>
      <c r="I2776" t="str">
        <f>IF(Table1[[#This Row],[Profit %]]&gt;20,"Excellent",IF(H2776&gt;10.1,"Good","Low"))</f>
        <v>Excellent</v>
      </c>
    </row>
    <row r="2777" spans="1:9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 s="2">
        <v>880</v>
      </c>
      <c r="G2777">
        <v>255.9</v>
      </c>
      <c r="H2777" s="2">
        <f>Table1[[#This Row],[Profit]]/Table1[[#This Row],[Sales]]*100</f>
        <v>29.079545454545457</v>
      </c>
      <c r="I2777" t="str">
        <f>IF(Table1[[#This Row],[Profit %]]&gt;20,"Excellent",IF(H2777&gt;10.1,"Good","Low"))</f>
        <v>Excellent</v>
      </c>
    </row>
    <row r="2778" spans="1:9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 s="2">
        <v>1038</v>
      </c>
      <c r="G2778">
        <v>219.69</v>
      </c>
      <c r="H2778" s="2">
        <f>Table1[[#This Row],[Profit]]/Table1[[#This Row],[Sales]]*100</f>
        <v>21.164739884393065</v>
      </c>
      <c r="I2778" t="str">
        <f>IF(Table1[[#This Row],[Profit %]]&gt;20,"Excellent",IF(H2778&gt;10.1,"Good","Low"))</f>
        <v>Excellent</v>
      </c>
    </row>
    <row r="2779" spans="1:9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 s="2">
        <v>714</v>
      </c>
      <c r="G2779">
        <v>209.69</v>
      </c>
      <c r="H2779" s="2">
        <f>Table1[[#This Row],[Profit]]/Table1[[#This Row],[Sales]]*100</f>
        <v>29.368347338935575</v>
      </c>
      <c r="I2779" t="str">
        <f>IF(Table1[[#This Row],[Profit %]]&gt;20,"Excellent",IF(H2779&gt;10.1,"Good","Low"))</f>
        <v>Excellent</v>
      </c>
    </row>
    <row r="2780" spans="1:9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 s="2">
        <v>1792</v>
      </c>
      <c r="G2780">
        <v>506.56</v>
      </c>
      <c r="H2780" s="2">
        <f>Table1[[#This Row],[Profit]]/Table1[[#This Row],[Sales]]*100</f>
        <v>28.267857142857146</v>
      </c>
      <c r="I2780" t="str">
        <f>IF(Table1[[#This Row],[Profit %]]&gt;20,"Excellent",IF(H2780&gt;10.1,"Good","Low"))</f>
        <v>Excellent</v>
      </c>
    </row>
    <row r="2781" spans="1:9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 s="2">
        <v>5874</v>
      </c>
      <c r="G2781">
        <v>1386.51</v>
      </c>
      <c r="H2781" s="2">
        <f>Table1[[#This Row],[Profit]]/Table1[[#This Row],[Sales]]*100</f>
        <v>23.604187946884576</v>
      </c>
      <c r="I2781" t="str">
        <f>IF(Table1[[#This Row],[Profit %]]&gt;20,"Excellent",IF(H2781&gt;10.1,"Good","Low"))</f>
        <v>Excellent</v>
      </c>
    </row>
    <row r="2782" spans="1:9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 s="2">
        <v>2496</v>
      </c>
      <c r="G2782">
        <v>332.08</v>
      </c>
      <c r="H2782" s="2">
        <f>Table1[[#This Row],[Profit]]/Table1[[#This Row],[Sales]]*100</f>
        <v>13.304487179487179</v>
      </c>
      <c r="I2782" t="str">
        <f>IF(Table1[[#This Row],[Profit %]]&gt;20,"Excellent",IF(H2782&gt;10.1,"Good","Low"))</f>
        <v>Good</v>
      </c>
    </row>
    <row r="2783" spans="1:9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 s="2">
        <v>795</v>
      </c>
      <c r="G2783">
        <v>60.34</v>
      </c>
      <c r="H2783" s="2">
        <f>Table1[[#This Row],[Profit]]/Table1[[#This Row],[Sales]]*100</f>
        <v>7.5899371069182386</v>
      </c>
      <c r="I2783" t="str">
        <f>IF(Table1[[#This Row],[Profit %]]&gt;20,"Excellent",IF(H2783&gt;10.1,"Good","Low"))</f>
        <v>Low</v>
      </c>
    </row>
    <row r="2784" spans="1:9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 s="2">
        <v>7238</v>
      </c>
      <c r="G2784">
        <v>1597.03</v>
      </c>
      <c r="H2784" s="2">
        <f>Table1[[#This Row],[Profit]]/Table1[[#This Row],[Sales]]*100</f>
        <v>22.064520585797183</v>
      </c>
      <c r="I2784" t="str">
        <f>IF(Table1[[#This Row],[Profit %]]&gt;20,"Excellent",IF(H2784&gt;10.1,"Good","Low"))</f>
        <v>Excellent</v>
      </c>
    </row>
    <row r="2785" spans="1:9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 s="2">
        <v>430</v>
      </c>
      <c r="G2785">
        <v>83.33</v>
      </c>
      <c r="H2785" s="2">
        <f>Table1[[#This Row],[Profit]]/Table1[[#This Row],[Sales]]*100</f>
        <v>19.379069767441859</v>
      </c>
      <c r="I2785" t="str">
        <f>IF(Table1[[#This Row],[Profit %]]&gt;20,"Excellent",IF(H2785&gt;10.1,"Good","Low"))</f>
        <v>Good</v>
      </c>
    </row>
    <row r="2786" spans="1:9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 s="2">
        <v>1728</v>
      </c>
      <c r="G2786">
        <v>239.64</v>
      </c>
      <c r="H2786" s="2">
        <f>Table1[[#This Row],[Profit]]/Table1[[#This Row],[Sales]]*100</f>
        <v>13.868055555555555</v>
      </c>
      <c r="I2786" t="str">
        <f>IF(Table1[[#This Row],[Profit %]]&gt;20,"Excellent",IF(H2786&gt;10.1,"Good","Low"))</f>
        <v>Good</v>
      </c>
    </row>
    <row r="2787" spans="1:9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 s="2">
        <v>1833</v>
      </c>
      <c r="G2787">
        <v>314.79000000000002</v>
      </c>
      <c r="H2787" s="2">
        <f>Table1[[#This Row],[Profit]]/Table1[[#This Row],[Sales]]*100</f>
        <v>17.173486088379704</v>
      </c>
      <c r="I2787" t="str">
        <f>IF(Table1[[#This Row],[Profit %]]&gt;20,"Excellent",IF(H2787&gt;10.1,"Good","Low"))</f>
        <v>Good</v>
      </c>
    </row>
    <row r="2788" spans="1:9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 s="2">
        <v>7280</v>
      </c>
      <c r="G2788">
        <v>1682.79</v>
      </c>
      <c r="H2788" s="2">
        <f>Table1[[#This Row],[Profit]]/Table1[[#This Row],[Sales]]*100</f>
        <v>23.115247252747253</v>
      </c>
      <c r="I2788" t="str">
        <f>IF(Table1[[#This Row],[Profit %]]&gt;20,"Excellent",IF(H2788&gt;10.1,"Good","Low"))</f>
        <v>Excellent</v>
      </c>
    </row>
    <row r="2789" spans="1:9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 s="2">
        <v>814</v>
      </c>
      <c r="G2789">
        <v>197.91</v>
      </c>
      <c r="H2789" s="2">
        <f>Table1[[#This Row],[Profit]]/Table1[[#This Row],[Sales]]*100</f>
        <v>24.313267813267814</v>
      </c>
      <c r="I2789" t="str">
        <f>IF(Table1[[#This Row],[Profit %]]&gt;20,"Excellent",IF(H2789&gt;10.1,"Good","Low"))</f>
        <v>Excellent</v>
      </c>
    </row>
    <row r="2790" spans="1:9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 s="2">
        <v>4696</v>
      </c>
      <c r="G2790">
        <v>410.03</v>
      </c>
      <c r="H2790" s="2">
        <f>Table1[[#This Row],[Profit]]/Table1[[#This Row],[Sales]]*100</f>
        <v>8.731473594548552</v>
      </c>
      <c r="I2790" t="str">
        <f>IF(Table1[[#This Row],[Profit %]]&gt;20,"Excellent",IF(H2790&gt;10.1,"Good","Low"))</f>
        <v>Low</v>
      </c>
    </row>
    <row r="2791" spans="1:9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 s="2">
        <v>1190</v>
      </c>
      <c r="G2791">
        <v>235.64</v>
      </c>
      <c r="H2791" s="2">
        <f>Table1[[#This Row],[Profit]]/Table1[[#This Row],[Sales]]*100</f>
        <v>19.801680672268908</v>
      </c>
      <c r="I2791" t="str">
        <f>IF(Table1[[#This Row],[Profit %]]&gt;20,"Excellent",IF(H2791&gt;10.1,"Good","Low"))</f>
        <v>Good</v>
      </c>
    </row>
    <row r="2792" spans="1:9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 s="2">
        <v>591</v>
      </c>
      <c r="G2792">
        <v>39.06</v>
      </c>
      <c r="H2792" s="2">
        <f>Table1[[#This Row],[Profit]]/Table1[[#This Row],[Sales]]*100</f>
        <v>6.6091370558375635</v>
      </c>
      <c r="I2792" t="str">
        <f>IF(Table1[[#This Row],[Profit %]]&gt;20,"Excellent",IF(H2792&gt;10.1,"Good","Low"))</f>
        <v>Low</v>
      </c>
    </row>
    <row r="2793" spans="1:9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 s="2">
        <v>8100</v>
      </c>
      <c r="G2793">
        <v>2203.56</v>
      </c>
      <c r="H2793" s="2">
        <f>Table1[[#This Row],[Profit]]/Table1[[#This Row],[Sales]]*100</f>
        <v>27.204444444444441</v>
      </c>
      <c r="I2793" t="str">
        <f>IF(Table1[[#This Row],[Profit %]]&gt;20,"Excellent",IF(H2793&gt;10.1,"Good","Low"))</f>
        <v>Excellent</v>
      </c>
    </row>
    <row r="2794" spans="1:9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 s="2">
        <v>1500</v>
      </c>
      <c r="G2794">
        <v>183.31</v>
      </c>
      <c r="H2794" s="2">
        <f>Table1[[#This Row],[Profit]]/Table1[[#This Row],[Sales]]*100</f>
        <v>12.220666666666666</v>
      </c>
      <c r="I2794" t="str">
        <f>IF(Table1[[#This Row],[Profit %]]&gt;20,"Excellent",IF(H2794&gt;10.1,"Good","Low"))</f>
        <v>Good</v>
      </c>
    </row>
    <row r="2795" spans="1:9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 s="2">
        <v>300</v>
      </c>
      <c r="G2795">
        <v>48.69</v>
      </c>
      <c r="H2795" s="2">
        <f>Table1[[#This Row],[Profit]]/Table1[[#This Row],[Sales]]*100</f>
        <v>16.23</v>
      </c>
      <c r="I2795" t="str">
        <f>IF(Table1[[#This Row],[Profit %]]&gt;20,"Excellent",IF(H2795&gt;10.1,"Good","Low"))</f>
        <v>Good</v>
      </c>
    </row>
    <row r="2796" spans="1:9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 s="2">
        <v>1098</v>
      </c>
      <c r="G2796">
        <v>106.97</v>
      </c>
      <c r="H2796" s="2">
        <f>Table1[[#This Row],[Profit]]/Table1[[#This Row],[Sales]]*100</f>
        <v>9.7422586520947174</v>
      </c>
      <c r="I2796" t="str">
        <f>IF(Table1[[#This Row],[Profit %]]&gt;20,"Excellent",IF(H2796&gt;10.1,"Good","Low"))</f>
        <v>Low</v>
      </c>
    </row>
    <row r="2797" spans="1:9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 s="2">
        <v>2336</v>
      </c>
      <c r="G2797">
        <v>509.49</v>
      </c>
      <c r="H2797" s="2">
        <f>Table1[[#This Row],[Profit]]/Table1[[#This Row],[Sales]]*100</f>
        <v>21.810359589041095</v>
      </c>
      <c r="I2797" t="str">
        <f>IF(Table1[[#This Row],[Profit %]]&gt;20,"Excellent",IF(H2797&gt;10.1,"Good","Low"))</f>
        <v>Excellent</v>
      </c>
    </row>
    <row r="2798" spans="1:9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 s="2">
        <v>410</v>
      </c>
      <c r="G2798">
        <v>40.96</v>
      </c>
      <c r="H2798" s="2">
        <f>Table1[[#This Row],[Profit]]/Table1[[#This Row],[Sales]]*100</f>
        <v>9.9902439024390244</v>
      </c>
      <c r="I2798" t="str">
        <f>IF(Table1[[#This Row],[Profit %]]&gt;20,"Excellent",IF(H2798&gt;10.1,"Good","Low"))</f>
        <v>Low</v>
      </c>
    </row>
    <row r="2799" spans="1:9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 s="2">
        <v>594</v>
      </c>
      <c r="G2799">
        <v>51.49</v>
      </c>
      <c r="H2799" s="2">
        <f>Table1[[#This Row],[Profit]]/Table1[[#This Row],[Sales]]*100</f>
        <v>8.6683501683501678</v>
      </c>
      <c r="I2799" t="str">
        <f>IF(Table1[[#This Row],[Profit %]]&gt;20,"Excellent",IF(H2799&gt;10.1,"Good","Low"))</f>
        <v>Low</v>
      </c>
    </row>
    <row r="2800" spans="1:9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 s="2">
        <v>218</v>
      </c>
      <c r="G2800">
        <v>38.93</v>
      </c>
      <c r="H2800" s="2">
        <f>Table1[[#This Row],[Profit]]/Table1[[#This Row],[Sales]]*100</f>
        <v>17.857798165137613</v>
      </c>
      <c r="I2800" t="str">
        <f>IF(Table1[[#This Row],[Profit %]]&gt;20,"Excellent",IF(H2800&gt;10.1,"Good","Low"))</f>
        <v>Good</v>
      </c>
    </row>
    <row r="2801" spans="1:9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 s="2">
        <v>1298</v>
      </c>
      <c r="G2801">
        <v>123.9</v>
      </c>
      <c r="H2801" s="2">
        <f>Table1[[#This Row],[Profit]]/Table1[[#This Row],[Sales]]*100</f>
        <v>9.5454545454545467</v>
      </c>
      <c r="I2801" t="str">
        <f>IF(Table1[[#This Row],[Profit %]]&gt;20,"Excellent",IF(H2801&gt;10.1,"Good","Low"))</f>
        <v>Low</v>
      </c>
    </row>
    <row r="2802" spans="1:9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 s="2">
        <v>895</v>
      </c>
      <c r="G2802">
        <v>180.64</v>
      </c>
      <c r="H2802" s="2">
        <f>Table1[[#This Row],[Profit]]/Table1[[#This Row],[Sales]]*100</f>
        <v>20.183240223463685</v>
      </c>
      <c r="I2802" t="str">
        <f>IF(Table1[[#This Row],[Profit %]]&gt;20,"Excellent",IF(H2802&gt;10.1,"Good","Low"))</f>
        <v>Excellent</v>
      </c>
    </row>
    <row r="2803" spans="1:9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 s="2">
        <v>2828</v>
      </c>
      <c r="G2803">
        <v>539.42999999999995</v>
      </c>
      <c r="H2803" s="2">
        <f>Table1[[#This Row],[Profit]]/Table1[[#This Row],[Sales]]*100</f>
        <v>19.074611032531823</v>
      </c>
      <c r="I2803" t="str">
        <f>IF(Table1[[#This Row],[Profit %]]&gt;20,"Excellent",IF(H2803&gt;10.1,"Good","Low"))</f>
        <v>Good</v>
      </c>
    </row>
    <row r="2804" spans="1:9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 s="2">
        <v>813</v>
      </c>
      <c r="G2804">
        <v>188.94</v>
      </c>
      <c r="H2804" s="2">
        <f>Table1[[#This Row],[Profit]]/Table1[[#This Row],[Sales]]*100</f>
        <v>23.239852398523986</v>
      </c>
      <c r="I2804" t="str">
        <f>IF(Table1[[#This Row],[Profit %]]&gt;20,"Excellent",IF(H2804&gt;10.1,"Good","Low"))</f>
        <v>Excellent</v>
      </c>
    </row>
    <row r="2805" spans="1:9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 s="2">
        <v>1800</v>
      </c>
      <c r="G2805">
        <v>170.19</v>
      </c>
      <c r="H2805" s="2">
        <f>Table1[[#This Row],[Profit]]/Table1[[#This Row],[Sales]]*100</f>
        <v>9.4550000000000001</v>
      </c>
      <c r="I2805" t="str">
        <f>IF(Table1[[#This Row],[Profit %]]&gt;20,"Excellent",IF(H2805&gt;10.1,"Good","Low"))</f>
        <v>Low</v>
      </c>
    </row>
    <row r="2806" spans="1:9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 s="2">
        <v>99</v>
      </c>
      <c r="G2806">
        <v>12.79</v>
      </c>
      <c r="H2806" s="2">
        <f>Table1[[#This Row],[Profit]]/Table1[[#This Row],[Sales]]*100</f>
        <v>12.919191919191919</v>
      </c>
      <c r="I2806" t="str">
        <f>IF(Table1[[#This Row],[Profit %]]&gt;20,"Excellent",IF(H2806&gt;10.1,"Good","Low"))</f>
        <v>Good</v>
      </c>
    </row>
    <row r="2807" spans="1:9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 s="2">
        <v>7576</v>
      </c>
      <c r="G2807">
        <v>1703.42</v>
      </c>
      <c r="H2807" s="2">
        <f>Table1[[#This Row],[Profit]]/Table1[[#This Row],[Sales]]*100</f>
        <v>22.484424498416054</v>
      </c>
      <c r="I2807" t="str">
        <f>IF(Table1[[#This Row],[Profit %]]&gt;20,"Excellent",IF(H2807&gt;10.1,"Good","Low"))</f>
        <v>Excellent</v>
      </c>
    </row>
    <row r="2808" spans="1:9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 s="2">
        <v>1317</v>
      </c>
      <c r="G2808">
        <v>71.02</v>
      </c>
      <c r="H2808" s="2">
        <f>Table1[[#This Row],[Profit]]/Table1[[#This Row],[Sales]]*100</f>
        <v>5.3925588458618074</v>
      </c>
      <c r="I2808" t="str">
        <f>IF(Table1[[#This Row],[Profit %]]&gt;20,"Excellent",IF(H2808&gt;10.1,"Good","Low"))</f>
        <v>Low</v>
      </c>
    </row>
    <row r="2809" spans="1:9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 s="2">
        <v>957</v>
      </c>
      <c r="G2809">
        <v>120.27</v>
      </c>
      <c r="H2809" s="2">
        <f>Table1[[#This Row],[Profit]]/Table1[[#This Row],[Sales]]*100</f>
        <v>12.567398119122256</v>
      </c>
      <c r="I2809" t="str">
        <f>IF(Table1[[#This Row],[Profit %]]&gt;20,"Excellent",IF(H2809&gt;10.1,"Good","Low"))</f>
        <v>Good</v>
      </c>
    </row>
    <row r="2810" spans="1:9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 s="2">
        <v>1316</v>
      </c>
      <c r="G2810">
        <v>244.13</v>
      </c>
      <c r="H2810" s="2">
        <f>Table1[[#This Row],[Profit]]/Table1[[#This Row],[Sales]]*100</f>
        <v>18.550911854103344</v>
      </c>
      <c r="I2810" t="str">
        <f>IF(Table1[[#This Row],[Profit %]]&gt;20,"Excellent",IF(H2810&gt;10.1,"Good","Low"))</f>
        <v>Good</v>
      </c>
    </row>
    <row r="2811" spans="1:9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 s="2">
        <v>5346</v>
      </c>
      <c r="G2811">
        <v>351.93</v>
      </c>
      <c r="H2811" s="2">
        <f>Table1[[#This Row],[Profit]]/Table1[[#This Row],[Sales]]*100</f>
        <v>6.5830527497194158</v>
      </c>
      <c r="I2811" t="str">
        <f>IF(Table1[[#This Row],[Profit %]]&gt;20,"Excellent",IF(H2811&gt;10.1,"Good","Low"))</f>
        <v>Low</v>
      </c>
    </row>
    <row r="2812" spans="1:9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 s="2">
        <v>464</v>
      </c>
      <c r="G2812">
        <v>66.260000000000005</v>
      </c>
      <c r="H2812" s="2">
        <f>Table1[[#This Row],[Profit]]/Table1[[#This Row],[Sales]]*100</f>
        <v>14.280172413793105</v>
      </c>
      <c r="I2812" t="str">
        <f>IF(Table1[[#This Row],[Profit %]]&gt;20,"Excellent",IF(H2812&gt;10.1,"Good","Low"))</f>
        <v>Good</v>
      </c>
    </row>
    <row r="2813" spans="1:9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 s="2">
        <v>3752</v>
      </c>
      <c r="G2813">
        <v>835.34</v>
      </c>
      <c r="H2813" s="2">
        <f>Table1[[#This Row],[Profit]]/Table1[[#This Row],[Sales]]*100</f>
        <v>22.263859275053306</v>
      </c>
      <c r="I2813" t="str">
        <f>IF(Table1[[#This Row],[Profit %]]&gt;20,"Excellent",IF(H2813&gt;10.1,"Good","Low"))</f>
        <v>Excellent</v>
      </c>
    </row>
    <row r="2814" spans="1:9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 s="2">
        <v>1962</v>
      </c>
      <c r="G2814">
        <v>301.57</v>
      </c>
      <c r="H2814" s="2">
        <f>Table1[[#This Row],[Profit]]/Table1[[#This Row],[Sales]]*100</f>
        <v>15.370540265035679</v>
      </c>
      <c r="I2814" t="str">
        <f>IF(Table1[[#This Row],[Profit %]]&gt;20,"Excellent",IF(H2814&gt;10.1,"Good","Low"))</f>
        <v>Good</v>
      </c>
    </row>
    <row r="2815" spans="1:9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 s="2">
        <v>2310</v>
      </c>
      <c r="G2815">
        <v>202.98</v>
      </c>
      <c r="H2815" s="2">
        <f>Table1[[#This Row],[Profit]]/Table1[[#This Row],[Sales]]*100</f>
        <v>8.7870129870129858</v>
      </c>
      <c r="I2815" t="str">
        <f>IF(Table1[[#This Row],[Profit %]]&gt;20,"Excellent",IF(H2815&gt;10.1,"Good","Low"))</f>
        <v>Low</v>
      </c>
    </row>
    <row r="2816" spans="1:9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 s="2">
        <v>3028</v>
      </c>
      <c r="G2816">
        <v>685.23</v>
      </c>
      <c r="H2816" s="2">
        <f>Table1[[#This Row],[Profit]]/Table1[[#This Row],[Sales]]*100</f>
        <v>22.62978863936592</v>
      </c>
      <c r="I2816" t="str">
        <f>IF(Table1[[#This Row],[Profit %]]&gt;20,"Excellent",IF(H2816&gt;10.1,"Good","Low"))</f>
        <v>Excellent</v>
      </c>
    </row>
    <row r="2817" spans="1:9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 s="2">
        <v>2994</v>
      </c>
      <c r="G2817">
        <v>877.92</v>
      </c>
      <c r="H2817" s="2">
        <f>Table1[[#This Row],[Profit]]/Table1[[#This Row],[Sales]]*100</f>
        <v>29.322645290581161</v>
      </c>
      <c r="I2817" t="str">
        <f>IF(Table1[[#This Row],[Profit %]]&gt;20,"Excellent",IF(H2817&gt;10.1,"Good","Low"))</f>
        <v>Excellent</v>
      </c>
    </row>
    <row r="2818" spans="1:9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 s="2">
        <v>3393</v>
      </c>
      <c r="G2818">
        <v>313.45</v>
      </c>
      <c r="H2818" s="2">
        <f>Table1[[#This Row],[Profit]]/Table1[[#This Row],[Sales]]*100</f>
        <v>9.2381373415856167</v>
      </c>
      <c r="I2818" t="str">
        <f>IF(Table1[[#This Row],[Profit %]]&gt;20,"Excellent",IF(H2818&gt;10.1,"Good","Low"))</f>
        <v>Low</v>
      </c>
    </row>
    <row r="2819" spans="1:9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 s="2">
        <v>1209</v>
      </c>
      <c r="G2819">
        <v>320.61</v>
      </c>
      <c r="H2819" s="2">
        <f>Table1[[#This Row],[Profit]]/Table1[[#This Row],[Sales]]*100</f>
        <v>26.518610421836229</v>
      </c>
      <c r="I2819" t="str">
        <f>IF(Table1[[#This Row],[Profit %]]&gt;20,"Excellent",IF(H2819&gt;10.1,"Good","Low"))</f>
        <v>Excellent</v>
      </c>
    </row>
    <row r="2820" spans="1:9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 s="2">
        <v>5784</v>
      </c>
      <c r="G2820">
        <v>1276.57</v>
      </c>
      <c r="H2820" s="2">
        <f>Table1[[#This Row],[Profit]]/Table1[[#This Row],[Sales]]*100</f>
        <v>22.070712309820191</v>
      </c>
      <c r="I2820" t="str">
        <f>IF(Table1[[#This Row],[Profit %]]&gt;20,"Excellent",IF(H2820&gt;10.1,"Good","Low"))</f>
        <v>Excellent</v>
      </c>
    </row>
    <row r="2821" spans="1:9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 s="2">
        <v>3078</v>
      </c>
      <c r="G2821">
        <v>285.05</v>
      </c>
      <c r="H2821" s="2">
        <f>Table1[[#This Row],[Profit]]/Table1[[#This Row],[Sales]]*100</f>
        <v>9.2608836907082512</v>
      </c>
      <c r="I2821" t="str">
        <f>IF(Table1[[#This Row],[Profit %]]&gt;20,"Excellent",IF(H2821&gt;10.1,"Good","Low"))</f>
        <v>Low</v>
      </c>
    </row>
    <row r="2822" spans="1:9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 s="2">
        <v>2464</v>
      </c>
      <c r="G2822">
        <v>602.29999999999995</v>
      </c>
      <c r="H2822" s="2">
        <f>Table1[[#This Row],[Profit]]/Table1[[#This Row],[Sales]]*100</f>
        <v>24.443993506493506</v>
      </c>
      <c r="I2822" t="str">
        <f>IF(Table1[[#This Row],[Profit %]]&gt;20,"Excellent",IF(H2822&gt;10.1,"Good","Low"))</f>
        <v>Excellent</v>
      </c>
    </row>
    <row r="2823" spans="1:9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 s="2">
        <v>2445</v>
      </c>
      <c r="G2823">
        <v>146.6</v>
      </c>
      <c r="H2823" s="2">
        <f>Table1[[#This Row],[Profit]]/Table1[[#This Row],[Sales]]*100</f>
        <v>5.9959100204498972</v>
      </c>
      <c r="I2823" t="str">
        <f>IF(Table1[[#This Row],[Profit %]]&gt;20,"Excellent",IF(H2823&gt;10.1,"Good","Low"))</f>
        <v>Low</v>
      </c>
    </row>
    <row r="2824" spans="1:9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 s="2">
        <v>5312</v>
      </c>
      <c r="G2824">
        <v>841.13</v>
      </c>
      <c r="H2824" s="2">
        <f>Table1[[#This Row],[Profit]]/Table1[[#This Row],[Sales]]*100</f>
        <v>15.834525602409638</v>
      </c>
      <c r="I2824" t="str">
        <f>IF(Table1[[#This Row],[Profit %]]&gt;20,"Excellent",IF(H2824&gt;10.1,"Good","Low"))</f>
        <v>Good</v>
      </c>
    </row>
    <row r="2825" spans="1:9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 s="2">
        <v>657</v>
      </c>
      <c r="G2825">
        <v>101.85</v>
      </c>
      <c r="H2825" s="2">
        <f>Table1[[#This Row],[Profit]]/Table1[[#This Row],[Sales]]*100</f>
        <v>15.50228310502283</v>
      </c>
      <c r="I2825" t="str">
        <f>IF(Table1[[#This Row],[Profit %]]&gt;20,"Excellent",IF(H2825&gt;10.1,"Good","Low"))</f>
        <v>Good</v>
      </c>
    </row>
    <row r="2826" spans="1:9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 s="2">
        <v>2580</v>
      </c>
      <c r="G2826">
        <v>173.89</v>
      </c>
      <c r="H2826" s="2">
        <f>Table1[[#This Row],[Profit]]/Table1[[#This Row],[Sales]]*100</f>
        <v>6.7399224806201543</v>
      </c>
      <c r="I2826" t="str">
        <f>IF(Table1[[#This Row],[Profit %]]&gt;20,"Excellent",IF(H2826&gt;10.1,"Good","Low"))</f>
        <v>Low</v>
      </c>
    </row>
    <row r="2827" spans="1:9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 s="2">
        <v>4624</v>
      </c>
      <c r="G2827">
        <v>893.74</v>
      </c>
      <c r="H2827" s="2">
        <f>Table1[[#This Row],[Profit]]/Table1[[#This Row],[Sales]]*100</f>
        <v>19.328287197231834</v>
      </c>
      <c r="I2827" t="str">
        <f>IF(Table1[[#This Row],[Profit %]]&gt;20,"Excellent",IF(H2827&gt;10.1,"Good","Low"))</f>
        <v>Good</v>
      </c>
    </row>
    <row r="2828" spans="1:9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 s="2">
        <v>1258</v>
      </c>
      <c r="G2828">
        <v>146.69999999999999</v>
      </c>
      <c r="H2828" s="2">
        <f>Table1[[#This Row],[Profit]]/Table1[[#This Row],[Sales]]*100</f>
        <v>11.661367249602543</v>
      </c>
      <c r="I2828" t="str">
        <f>IF(Table1[[#This Row],[Profit %]]&gt;20,"Excellent",IF(H2828&gt;10.1,"Good","Low"))</f>
        <v>Good</v>
      </c>
    </row>
    <row r="2829" spans="1:9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 s="2">
        <v>6468</v>
      </c>
      <c r="G2829">
        <v>398.23</v>
      </c>
      <c r="H2829" s="2">
        <f>Table1[[#This Row],[Profit]]/Table1[[#This Row],[Sales]]*100</f>
        <v>6.1569264069264076</v>
      </c>
      <c r="I2829" t="str">
        <f>IF(Table1[[#This Row],[Profit %]]&gt;20,"Excellent",IF(H2829&gt;10.1,"Good","Low"))</f>
        <v>Low</v>
      </c>
    </row>
    <row r="2830" spans="1:9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 s="2">
        <v>1359</v>
      </c>
      <c r="G2830">
        <v>152.85</v>
      </c>
      <c r="H2830" s="2">
        <f>Table1[[#This Row],[Profit]]/Table1[[#This Row],[Sales]]*100</f>
        <v>11.247240618101545</v>
      </c>
      <c r="I2830" t="str">
        <f>IF(Table1[[#This Row],[Profit %]]&gt;20,"Excellent",IF(H2830&gt;10.1,"Good","Low"))</f>
        <v>Good</v>
      </c>
    </row>
    <row r="2831" spans="1:9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 s="2">
        <v>104</v>
      </c>
      <c r="G2831">
        <v>18.670000000000002</v>
      </c>
      <c r="H2831" s="2">
        <f>Table1[[#This Row],[Profit]]/Table1[[#This Row],[Sales]]*100</f>
        <v>17.95192307692308</v>
      </c>
      <c r="I2831" t="str">
        <f>IF(Table1[[#This Row],[Profit %]]&gt;20,"Excellent",IF(H2831&gt;10.1,"Good","Low"))</f>
        <v>Good</v>
      </c>
    </row>
    <row r="2832" spans="1:9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 s="2">
        <v>1785</v>
      </c>
      <c r="G2832">
        <v>93.17</v>
      </c>
      <c r="H2832" s="2">
        <f>Table1[[#This Row],[Profit]]/Table1[[#This Row],[Sales]]*100</f>
        <v>5.219607843137255</v>
      </c>
      <c r="I2832" t="str">
        <f>IF(Table1[[#This Row],[Profit %]]&gt;20,"Excellent",IF(H2832&gt;10.1,"Good","Low"))</f>
        <v>Low</v>
      </c>
    </row>
    <row r="2833" spans="1:9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 s="2">
        <v>7728</v>
      </c>
      <c r="G2833">
        <v>1748.26</v>
      </c>
      <c r="H2833" s="2">
        <f>Table1[[#This Row],[Profit]]/Table1[[#This Row],[Sales]]*100</f>
        <v>22.622412008281572</v>
      </c>
      <c r="I2833" t="str">
        <f>IF(Table1[[#This Row],[Profit %]]&gt;20,"Excellent",IF(H2833&gt;10.1,"Good","Low"))</f>
        <v>Excellent</v>
      </c>
    </row>
    <row r="2834" spans="1:9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 s="2">
        <v>4188</v>
      </c>
      <c r="G2834">
        <v>1231.1600000000001</v>
      </c>
      <c r="H2834" s="2">
        <f>Table1[[#This Row],[Profit]]/Table1[[#This Row],[Sales]]*100</f>
        <v>29.397325692454636</v>
      </c>
      <c r="I2834" t="str">
        <f>IF(Table1[[#This Row],[Profit %]]&gt;20,"Excellent",IF(H2834&gt;10.1,"Good","Low"))</f>
        <v>Excellent</v>
      </c>
    </row>
    <row r="2835" spans="1:9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 s="2">
        <v>3520</v>
      </c>
      <c r="G2835">
        <v>359.84</v>
      </c>
      <c r="H2835" s="2">
        <f>Table1[[#This Row],[Profit]]/Table1[[#This Row],[Sales]]*100</f>
        <v>10.222727272727273</v>
      </c>
      <c r="I2835" t="str">
        <f>IF(Table1[[#This Row],[Profit %]]&gt;20,"Excellent",IF(H2835&gt;10.1,"Good","Low"))</f>
        <v>Good</v>
      </c>
    </row>
    <row r="2836" spans="1:9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 s="2">
        <v>2280</v>
      </c>
      <c r="G2836">
        <v>365.17</v>
      </c>
      <c r="H2836" s="2">
        <f>Table1[[#This Row],[Profit]]/Table1[[#This Row],[Sales]]*100</f>
        <v>16.01622807017544</v>
      </c>
      <c r="I2836" t="str">
        <f>IF(Table1[[#This Row],[Profit %]]&gt;20,"Excellent",IF(H2836&gt;10.1,"Good","Low"))</f>
        <v>Good</v>
      </c>
    </row>
    <row r="2837" spans="1:9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 s="2">
        <v>2484</v>
      </c>
      <c r="G2837">
        <v>655.54</v>
      </c>
      <c r="H2837" s="2">
        <f>Table1[[#This Row],[Profit]]/Table1[[#This Row],[Sales]]*100</f>
        <v>26.390499194847017</v>
      </c>
      <c r="I2837" t="str">
        <f>IF(Table1[[#This Row],[Profit %]]&gt;20,"Excellent",IF(H2837&gt;10.1,"Good","Low"))</f>
        <v>Excellent</v>
      </c>
    </row>
    <row r="2838" spans="1:9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 s="2">
        <v>1248</v>
      </c>
      <c r="G2838">
        <v>348.19</v>
      </c>
      <c r="H2838" s="2">
        <f>Table1[[#This Row],[Profit]]/Table1[[#This Row],[Sales]]*100</f>
        <v>27.899839743589745</v>
      </c>
      <c r="I2838" t="str">
        <f>IF(Table1[[#This Row],[Profit %]]&gt;20,"Excellent",IF(H2838&gt;10.1,"Good","Low"))</f>
        <v>Excellent</v>
      </c>
    </row>
    <row r="2839" spans="1:9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 s="2">
        <v>850</v>
      </c>
      <c r="G2839">
        <v>59.92</v>
      </c>
      <c r="H2839" s="2">
        <f>Table1[[#This Row],[Profit]]/Table1[[#This Row],[Sales]]*100</f>
        <v>7.0494117647058836</v>
      </c>
      <c r="I2839" t="str">
        <f>IF(Table1[[#This Row],[Profit %]]&gt;20,"Excellent",IF(H2839&gt;10.1,"Good","Low"))</f>
        <v>Low</v>
      </c>
    </row>
    <row r="2840" spans="1:9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 s="2">
        <v>1412</v>
      </c>
      <c r="G2840">
        <v>150.13</v>
      </c>
      <c r="H2840" s="2">
        <f>Table1[[#This Row],[Profit]]/Table1[[#This Row],[Sales]]*100</f>
        <v>10.63243626062323</v>
      </c>
      <c r="I2840" t="str">
        <f>IF(Table1[[#This Row],[Profit %]]&gt;20,"Excellent",IF(H2840&gt;10.1,"Good","Low"))</f>
        <v>Good</v>
      </c>
    </row>
    <row r="2841" spans="1:9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 s="2">
        <v>465</v>
      </c>
      <c r="G2841">
        <v>26.5</v>
      </c>
      <c r="H2841" s="2">
        <f>Table1[[#This Row],[Profit]]/Table1[[#This Row],[Sales]]*100</f>
        <v>5.698924731182796</v>
      </c>
      <c r="I2841" t="str">
        <f>IF(Table1[[#This Row],[Profit %]]&gt;20,"Excellent",IF(H2841&gt;10.1,"Good","Low"))</f>
        <v>Low</v>
      </c>
    </row>
    <row r="2842" spans="1:9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 s="2">
        <v>293</v>
      </c>
      <c r="G2842">
        <v>29.58</v>
      </c>
      <c r="H2842" s="2">
        <f>Table1[[#This Row],[Profit]]/Table1[[#This Row],[Sales]]*100</f>
        <v>10.095563139931741</v>
      </c>
      <c r="I2842" t="str">
        <f>IF(Table1[[#This Row],[Profit %]]&gt;20,"Excellent",IF(H2842&gt;10.1,"Good","Low"))</f>
        <v>Low</v>
      </c>
    </row>
    <row r="2843" spans="1:9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 s="2">
        <v>9234</v>
      </c>
      <c r="G2843">
        <v>2523.67</v>
      </c>
      <c r="H2843" s="2">
        <f>Table1[[#This Row],[Profit]]/Table1[[#This Row],[Sales]]*100</f>
        <v>27.330192765865281</v>
      </c>
      <c r="I2843" t="str">
        <f>IF(Table1[[#This Row],[Profit %]]&gt;20,"Excellent",IF(H2843&gt;10.1,"Good","Low"))</f>
        <v>Excellent</v>
      </c>
    </row>
    <row r="2844" spans="1:9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 s="2">
        <v>1298</v>
      </c>
      <c r="G2844">
        <v>239.45</v>
      </c>
      <c r="H2844" s="2">
        <f>Table1[[#This Row],[Profit]]/Table1[[#This Row],[Sales]]*100</f>
        <v>18.447611710323574</v>
      </c>
      <c r="I2844" t="str">
        <f>IF(Table1[[#This Row],[Profit %]]&gt;20,"Excellent",IF(H2844&gt;10.1,"Good","Low"))</f>
        <v>Good</v>
      </c>
    </row>
    <row r="2845" spans="1:9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 s="2">
        <v>9477</v>
      </c>
      <c r="G2845">
        <v>2443.62</v>
      </c>
      <c r="H2845" s="2">
        <f>Table1[[#This Row],[Profit]]/Table1[[#This Row],[Sales]]*100</f>
        <v>25.78474200696423</v>
      </c>
      <c r="I2845" t="str">
        <f>IF(Table1[[#This Row],[Profit %]]&gt;20,"Excellent",IF(H2845&gt;10.1,"Good","Low"))</f>
        <v>Excellent</v>
      </c>
    </row>
    <row r="2846" spans="1:9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 s="2">
        <v>6713</v>
      </c>
      <c r="G2846">
        <v>457.99</v>
      </c>
      <c r="H2846" s="2">
        <f>Table1[[#This Row],[Profit]]/Table1[[#This Row],[Sales]]*100</f>
        <v>6.8224340831223005</v>
      </c>
      <c r="I2846" t="str">
        <f>IF(Table1[[#This Row],[Profit %]]&gt;20,"Excellent",IF(H2846&gt;10.1,"Good","Low"))</f>
        <v>Low</v>
      </c>
    </row>
    <row r="2847" spans="1:9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 s="2">
        <v>5700</v>
      </c>
      <c r="G2847">
        <v>999.26</v>
      </c>
      <c r="H2847" s="2">
        <f>Table1[[#This Row],[Profit]]/Table1[[#This Row],[Sales]]*100</f>
        <v>17.530877192982455</v>
      </c>
      <c r="I2847" t="str">
        <f>IF(Table1[[#This Row],[Profit %]]&gt;20,"Excellent",IF(H2847&gt;10.1,"Good","Low"))</f>
        <v>Good</v>
      </c>
    </row>
    <row r="2848" spans="1:9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 s="2">
        <v>4146</v>
      </c>
      <c r="G2848">
        <v>700.46</v>
      </c>
      <c r="H2848" s="2">
        <f>Table1[[#This Row],[Profit]]/Table1[[#This Row],[Sales]]*100</f>
        <v>16.894838398456343</v>
      </c>
      <c r="I2848" t="str">
        <f>IF(Table1[[#This Row],[Profit %]]&gt;20,"Excellent",IF(H2848&gt;10.1,"Good","Low"))</f>
        <v>Good</v>
      </c>
    </row>
    <row r="2849" spans="1:9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 s="2">
        <v>6968</v>
      </c>
      <c r="G2849">
        <v>704.55</v>
      </c>
      <c r="H2849" s="2">
        <f>Table1[[#This Row],[Profit]]/Table1[[#This Row],[Sales]]*100</f>
        <v>10.111222732491388</v>
      </c>
      <c r="I2849" t="str">
        <f>IF(Table1[[#This Row],[Profit %]]&gt;20,"Excellent",IF(H2849&gt;10.1,"Good","Low"))</f>
        <v>Good</v>
      </c>
    </row>
    <row r="2850" spans="1:9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 s="2">
        <v>1054</v>
      </c>
      <c r="G2850">
        <v>243.5</v>
      </c>
      <c r="H2850" s="2">
        <f>Table1[[#This Row],[Profit]]/Table1[[#This Row],[Sales]]*100</f>
        <v>23.10246679316888</v>
      </c>
      <c r="I2850" t="str">
        <f>IF(Table1[[#This Row],[Profit %]]&gt;20,"Excellent",IF(H2850&gt;10.1,"Good","Low"))</f>
        <v>Excellent</v>
      </c>
    </row>
    <row r="2851" spans="1:9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 s="2">
        <v>1983</v>
      </c>
      <c r="G2851">
        <v>453.09</v>
      </c>
      <c r="H2851" s="2">
        <f>Table1[[#This Row],[Profit]]/Table1[[#This Row],[Sales]]*100</f>
        <v>22.848714069591527</v>
      </c>
      <c r="I2851" t="str">
        <f>IF(Table1[[#This Row],[Profit %]]&gt;20,"Excellent",IF(H2851&gt;10.1,"Good","Low"))</f>
        <v>Excellent</v>
      </c>
    </row>
    <row r="2852" spans="1:9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 s="2">
        <v>875</v>
      </c>
      <c r="G2852">
        <v>70.72</v>
      </c>
      <c r="H2852" s="2">
        <f>Table1[[#This Row],[Profit]]/Table1[[#This Row],[Sales]]*100</f>
        <v>8.0822857142857139</v>
      </c>
      <c r="I2852" t="str">
        <f>IF(Table1[[#This Row],[Profit %]]&gt;20,"Excellent",IF(H2852&gt;10.1,"Good","Low"))</f>
        <v>Low</v>
      </c>
    </row>
    <row r="2853" spans="1:9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 s="2">
        <v>268</v>
      </c>
      <c r="G2853">
        <v>63.01</v>
      </c>
      <c r="H2853" s="2">
        <f>Table1[[#This Row],[Profit]]/Table1[[#This Row],[Sales]]*100</f>
        <v>23.511194029850746</v>
      </c>
      <c r="I2853" t="str">
        <f>IF(Table1[[#This Row],[Profit %]]&gt;20,"Excellent",IF(H2853&gt;10.1,"Good","Low"))</f>
        <v>Excellent</v>
      </c>
    </row>
    <row r="2854" spans="1:9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 s="2">
        <v>5370</v>
      </c>
      <c r="G2854">
        <v>1045.0999999999999</v>
      </c>
      <c r="H2854" s="2">
        <f>Table1[[#This Row],[Profit]]/Table1[[#This Row],[Sales]]*100</f>
        <v>19.461824953445063</v>
      </c>
      <c r="I2854" t="str">
        <f>IF(Table1[[#This Row],[Profit %]]&gt;20,"Excellent",IF(H2854&gt;10.1,"Good","Low"))</f>
        <v>Good</v>
      </c>
    </row>
    <row r="2855" spans="1:9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 s="2">
        <v>3624</v>
      </c>
      <c r="G2855">
        <v>1071.43</v>
      </c>
      <c r="H2855" s="2">
        <f>Table1[[#This Row],[Profit]]/Table1[[#This Row],[Sales]]*100</f>
        <v>29.564845474613687</v>
      </c>
      <c r="I2855" t="str">
        <f>IF(Table1[[#This Row],[Profit %]]&gt;20,"Excellent",IF(H2855&gt;10.1,"Good","Low"))</f>
        <v>Excellent</v>
      </c>
    </row>
    <row r="2856" spans="1:9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 s="2">
        <v>1932</v>
      </c>
      <c r="G2856">
        <v>301.16000000000003</v>
      </c>
      <c r="H2856" s="2">
        <f>Table1[[#This Row],[Profit]]/Table1[[#This Row],[Sales]]*100</f>
        <v>15.587991718426503</v>
      </c>
      <c r="I2856" t="str">
        <f>IF(Table1[[#This Row],[Profit %]]&gt;20,"Excellent",IF(H2856&gt;10.1,"Good","Low"))</f>
        <v>Good</v>
      </c>
    </row>
    <row r="2857" spans="1:9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 s="2">
        <v>6020</v>
      </c>
      <c r="G2857">
        <v>384.74</v>
      </c>
      <c r="H2857" s="2">
        <f>Table1[[#This Row],[Profit]]/Table1[[#This Row],[Sales]]*100</f>
        <v>6.3910299003322262</v>
      </c>
      <c r="I2857" t="str">
        <f>IF(Table1[[#This Row],[Profit %]]&gt;20,"Excellent",IF(H2857&gt;10.1,"Good","Low"))</f>
        <v>Low</v>
      </c>
    </row>
    <row r="2858" spans="1:9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 s="2">
        <v>1775</v>
      </c>
      <c r="G2858">
        <v>234.67</v>
      </c>
      <c r="H2858" s="2">
        <f>Table1[[#This Row],[Profit]]/Table1[[#This Row],[Sales]]*100</f>
        <v>13.220845070422534</v>
      </c>
      <c r="I2858" t="str">
        <f>IF(Table1[[#This Row],[Profit %]]&gt;20,"Excellent",IF(H2858&gt;10.1,"Good","Low"))</f>
        <v>Good</v>
      </c>
    </row>
    <row r="2859" spans="1:9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 s="2">
        <v>1488</v>
      </c>
      <c r="G2859">
        <v>382.09</v>
      </c>
      <c r="H2859" s="2">
        <f>Table1[[#This Row],[Profit]]/Table1[[#This Row],[Sales]]*100</f>
        <v>25.67809139784946</v>
      </c>
      <c r="I2859" t="str">
        <f>IF(Table1[[#This Row],[Profit %]]&gt;20,"Excellent",IF(H2859&gt;10.1,"Good","Low"))</f>
        <v>Excellent</v>
      </c>
    </row>
    <row r="2860" spans="1:9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 s="2">
        <v>6720</v>
      </c>
      <c r="G2860">
        <v>1113.56</v>
      </c>
      <c r="H2860" s="2">
        <f>Table1[[#This Row],[Profit]]/Table1[[#This Row],[Sales]]*100</f>
        <v>16.570833333333333</v>
      </c>
      <c r="I2860" t="str">
        <f>IF(Table1[[#This Row],[Profit %]]&gt;20,"Excellent",IF(H2860&gt;10.1,"Good","Low"))</f>
        <v>Good</v>
      </c>
    </row>
    <row r="2861" spans="1:9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 s="2">
        <v>5047</v>
      </c>
      <c r="G2861">
        <v>1356.23</v>
      </c>
      <c r="H2861" s="2">
        <f>Table1[[#This Row],[Profit]]/Table1[[#This Row],[Sales]]*100</f>
        <v>26.87200317020012</v>
      </c>
      <c r="I2861" t="str">
        <f>IF(Table1[[#This Row],[Profit %]]&gt;20,"Excellent",IF(H2861&gt;10.1,"Good","Low"))</f>
        <v>Excellent</v>
      </c>
    </row>
    <row r="2862" spans="1:9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 s="2">
        <v>3735</v>
      </c>
      <c r="G2862">
        <v>957.13</v>
      </c>
      <c r="H2862" s="2">
        <f>Table1[[#This Row],[Profit]]/Table1[[#This Row],[Sales]]*100</f>
        <v>25.625970548862114</v>
      </c>
      <c r="I2862" t="str">
        <f>IF(Table1[[#This Row],[Profit %]]&gt;20,"Excellent",IF(H2862&gt;10.1,"Good","Low"))</f>
        <v>Excellent</v>
      </c>
    </row>
    <row r="2863" spans="1:9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 s="2">
        <v>1250</v>
      </c>
      <c r="G2863">
        <v>120.74</v>
      </c>
      <c r="H2863" s="2">
        <f>Table1[[#This Row],[Profit]]/Table1[[#This Row],[Sales]]*100</f>
        <v>9.6592000000000002</v>
      </c>
      <c r="I2863" t="str">
        <f>IF(Table1[[#This Row],[Profit %]]&gt;20,"Excellent",IF(H2863&gt;10.1,"Good","Low"))</f>
        <v>Low</v>
      </c>
    </row>
    <row r="2864" spans="1:9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 s="2">
        <v>2751</v>
      </c>
      <c r="G2864">
        <v>548.04999999999995</v>
      </c>
      <c r="H2864" s="2">
        <f>Table1[[#This Row],[Profit]]/Table1[[#This Row],[Sales]]*100</f>
        <v>19.921846601235913</v>
      </c>
      <c r="I2864" t="str">
        <f>IF(Table1[[#This Row],[Profit %]]&gt;20,"Excellent",IF(H2864&gt;10.1,"Good","Low"))</f>
        <v>Good</v>
      </c>
    </row>
    <row r="2865" spans="1:9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 s="2">
        <v>468</v>
      </c>
      <c r="G2865">
        <v>58.98</v>
      </c>
      <c r="H2865" s="2">
        <f>Table1[[#This Row],[Profit]]/Table1[[#This Row],[Sales]]*100</f>
        <v>12.6025641025641</v>
      </c>
      <c r="I2865" t="str">
        <f>IF(Table1[[#This Row],[Profit %]]&gt;20,"Excellent",IF(H2865&gt;10.1,"Good","Low"))</f>
        <v>Good</v>
      </c>
    </row>
    <row r="2866" spans="1:9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 s="2">
        <v>632</v>
      </c>
      <c r="G2866">
        <v>114.82</v>
      </c>
      <c r="H2866" s="2">
        <f>Table1[[#This Row],[Profit]]/Table1[[#This Row],[Sales]]*100</f>
        <v>18.167721518987339</v>
      </c>
      <c r="I2866" t="str">
        <f>IF(Table1[[#This Row],[Profit %]]&gt;20,"Excellent",IF(H2866&gt;10.1,"Good","Low"))</f>
        <v>Good</v>
      </c>
    </row>
    <row r="2867" spans="1:9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 s="2">
        <v>798</v>
      </c>
      <c r="G2867">
        <v>219.2</v>
      </c>
      <c r="H2867" s="2">
        <f>Table1[[#This Row],[Profit]]/Table1[[#This Row],[Sales]]*100</f>
        <v>27.468671679197993</v>
      </c>
      <c r="I2867" t="str">
        <f>IF(Table1[[#This Row],[Profit %]]&gt;20,"Excellent",IF(H2867&gt;10.1,"Good","Low"))</f>
        <v>Excellent</v>
      </c>
    </row>
    <row r="2868" spans="1:9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 s="2">
        <v>1295</v>
      </c>
      <c r="G2868">
        <v>104.26</v>
      </c>
      <c r="H2868" s="2">
        <f>Table1[[#This Row],[Profit]]/Table1[[#This Row],[Sales]]*100</f>
        <v>8.0509652509652518</v>
      </c>
      <c r="I2868" t="str">
        <f>IF(Table1[[#This Row],[Profit %]]&gt;20,"Excellent",IF(H2868&gt;10.1,"Good","Low"))</f>
        <v>Low</v>
      </c>
    </row>
    <row r="2869" spans="1:9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 s="2">
        <v>3360</v>
      </c>
      <c r="G2869">
        <v>540.38</v>
      </c>
      <c r="H2869" s="2">
        <f>Table1[[#This Row],[Profit]]/Table1[[#This Row],[Sales]]*100</f>
        <v>16.082738095238096</v>
      </c>
      <c r="I2869" t="str">
        <f>IF(Table1[[#This Row],[Profit %]]&gt;20,"Excellent",IF(H2869&gt;10.1,"Good","Low"))</f>
        <v>Good</v>
      </c>
    </row>
    <row r="2870" spans="1:9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 s="2">
        <v>995</v>
      </c>
      <c r="G2870">
        <v>206.95</v>
      </c>
      <c r="H2870" s="2">
        <f>Table1[[#This Row],[Profit]]/Table1[[#This Row],[Sales]]*100</f>
        <v>20.798994974874372</v>
      </c>
      <c r="I2870" t="str">
        <f>IF(Table1[[#This Row],[Profit %]]&gt;20,"Excellent",IF(H2870&gt;10.1,"Good","Low"))</f>
        <v>Excellent</v>
      </c>
    </row>
    <row r="2871" spans="1:9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 s="2">
        <v>550</v>
      </c>
      <c r="G2871">
        <v>28.72</v>
      </c>
      <c r="H2871" s="2">
        <f>Table1[[#This Row],[Profit]]/Table1[[#This Row],[Sales]]*100</f>
        <v>5.2218181818181817</v>
      </c>
      <c r="I2871" t="str">
        <f>IF(Table1[[#This Row],[Profit %]]&gt;20,"Excellent",IF(H2871&gt;10.1,"Good","Low"))</f>
        <v>Low</v>
      </c>
    </row>
    <row r="2872" spans="1:9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 s="2">
        <v>5384</v>
      </c>
      <c r="G2872">
        <v>724.8</v>
      </c>
      <c r="H2872" s="2">
        <f>Table1[[#This Row],[Profit]]/Table1[[#This Row],[Sales]]*100</f>
        <v>13.462109955423477</v>
      </c>
      <c r="I2872" t="str">
        <f>IF(Table1[[#This Row],[Profit %]]&gt;20,"Excellent",IF(H2872&gt;10.1,"Good","Low"))</f>
        <v>Good</v>
      </c>
    </row>
    <row r="2873" spans="1:9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 s="2">
        <v>3534</v>
      </c>
      <c r="G2873">
        <v>489.06</v>
      </c>
      <c r="H2873" s="2">
        <f>Table1[[#This Row],[Profit]]/Table1[[#This Row],[Sales]]*100</f>
        <v>13.838709677419356</v>
      </c>
      <c r="I2873" t="str">
        <f>IF(Table1[[#This Row],[Profit %]]&gt;20,"Excellent",IF(H2873&gt;10.1,"Good","Low"))</f>
        <v>Good</v>
      </c>
    </row>
    <row r="2874" spans="1:9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 s="2">
        <v>6813</v>
      </c>
      <c r="G2874">
        <v>890.05</v>
      </c>
      <c r="H2874" s="2">
        <f>Table1[[#This Row],[Profit]]/Table1[[#This Row],[Sales]]*100</f>
        <v>13.06399530309702</v>
      </c>
      <c r="I2874" t="str">
        <f>IF(Table1[[#This Row],[Profit %]]&gt;20,"Excellent",IF(H2874&gt;10.1,"Good","Low"))</f>
        <v>Good</v>
      </c>
    </row>
    <row r="2875" spans="1:9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 s="2">
        <v>5508</v>
      </c>
      <c r="G2875">
        <v>1632.37</v>
      </c>
      <c r="H2875" s="2">
        <f>Table1[[#This Row],[Profit]]/Table1[[#This Row],[Sales]]*100</f>
        <v>29.636347131445167</v>
      </c>
      <c r="I2875" t="str">
        <f>IF(Table1[[#This Row],[Profit %]]&gt;20,"Excellent",IF(H2875&gt;10.1,"Good","Low"))</f>
        <v>Excellent</v>
      </c>
    </row>
    <row r="2876" spans="1:9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 s="2">
        <v>966</v>
      </c>
      <c r="G2876">
        <v>202.53</v>
      </c>
      <c r="H2876" s="2">
        <f>Table1[[#This Row],[Profit]]/Table1[[#This Row],[Sales]]*100</f>
        <v>20.965838509316768</v>
      </c>
      <c r="I2876" t="str">
        <f>IF(Table1[[#This Row],[Profit %]]&gt;20,"Excellent",IF(H2876&gt;10.1,"Good","Low"))</f>
        <v>Excellent</v>
      </c>
    </row>
    <row r="2877" spans="1:9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 s="2">
        <v>460</v>
      </c>
      <c r="G2877">
        <v>92.24</v>
      </c>
      <c r="H2877" s="2">
        <f>Table1[[#This Row],[Profit]]/Table1[[#This Row],[Sales]]*100</f>
        <v>20.052173913043479</v>
      </c>
      <c r="I2877" t="str">
        <f>IF(Table1[[#This Row],[Profit %]]&gt;20,"Excellent",IF(H2877&gt;10.1,"Good","Low"))</f>
        <v>Excellent</v>
      </c>
    </row>
    <row r="2878" spans="1:9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 s="2">
        <v>7026</v>
      </c>
      <c r="G2878">
        <v>459.4</v>
      </c>
      <c r="H2878" s="2">
        <f>Table1[[#This Row],[Profit]]/Table1[[#This Row],[Sales]]*100</f>
        <v>6.538571021918588</v>
      </c>
      <c r="I2878" t="str">
        <f>IF(Table1[[#This Row],[Profit %]]&gt;20,"Excellent",IF(H2878&gt;10.1,"Good","Low"))</f>
        <v>Low</v>
      </c>
    </row>
    <row r="2879" spans="1:9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 s="2">
        <v>910</v>
      </c>
      <c r="G2879">
        <v>116.47</v>
      </c>
      <c r="H2879" s="2">
        <f>Table1[[#This Row],[Profit]]/Table1[[#This Row],[Sales]]*100</f>
        <v>12.7989010989011</v>
      </c>
      <c r="I2879" t="str">
        <f>IF(Table1[[#This Row],[Profit %]]&gt;20,"Excellent",IF(H2879&gt;10.1,"Good","Low"))</f>
        <v>Good</v>
      </c>
    </row>
    <row r="2880" spans="1:9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 s="2">
        <v>5796</v>
      </c>
      <c r="G2880">
        <v>1729.18</v>
      </c>
      <c r="H2880" s="2">
        <f>Table1[[#This Row],[Profit]]/Table1[[#This Row],[Sales]]*100</f>
        <v>29.834023464458248</v>
      </c>
      <c r="I2880" t="str">
        <f>IF(Table1[[#This Row],[Profit %]]&gt;20,"Excellent",IF(H2880&gt;10.1,"Good","Low"))</f>
        <v>Excellent</v>
      </c>
    </row>
    <row r="2881" spans="1:9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 s="2">
        <v>1050</v>
      </c>
      <c r="G2881">
        <v>292.64</v>
      </c>
      <c r="H2881" s="2">
        <f>Table1[[#This Row],[Profit]]/Table1[[#This Row],[Sales]]*100</f>
        <v>27.87047619047619</v>
      </c>
      <c r="I2881" t="str">
        <f>IF(Table1[[#This Row],[Profit %]]&gt;20,"Excellent",IF(H2881&gt;10.1,"Good","Low"))</f>
        <v>Excellent</v>
      </c>
    </row>
    <row r="2882" spans="1:9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 s="2">
        <v>1043</v>
      </c>
      <c r="G2882">
        <v>151.13</v>
      </c>
      <c r="H2882" s="2">
        <f>Table1[[#This Row],[Profit]]/Table1[[#This Row],[Sales]]*100</f>
        <v>14.48993288590604</v>
      </c>
      <c r="I2882" t="str">
        <f>IF(Table1[[#This Row],[Profit %]]&gt;20,"Excellent",IF(H2882&gt;10.1,"Good","Low"))</f>
        <v>Good</v>
      </c>
    </row>
    <row r="2883" spans="1:9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 s="2">
        <v>3330</v>
      </c>
      <c r="G2883">
        <v>503.85</v>
      </c>
      <c r="H2883" s="2">
        <f>Table1[[#This Row],[Profit]]/Table1[[#This Row],[Sales]]*100</f>
        <v>15.130630630630632</v>
      </c>
      <c r="I2883" t="str">
        <f>IF(Table1[[#This Row],[Profit %]]&gt;20,"Excellent",IF(H2883&gt;10.1,"Good","Low"))</f>
        <v>Good</v>
      </c>
    </row>
    <row r="2884" spans="1:9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 s="2">
        <v>1896</v>
      </c>
      <c r="G2884">
        <v>448.53</v>
      </c>
      <c r="H2884" s="2">
        <f>Table1[[#This Row],[Profit]]/Table1[[#This Row],[Sales]]*100</f>
        <v>23.656645569620252</v>
      </c>
      <c r="I2884" t="str">
        <f>IF(Table1[[#This Row],[Profit %]]&gt;20,"Excellent",IF(H2884&gt;10.1,"Good","Low"))</f>
        <v>Excellent</v>
      </c>
    </row>
    <row r="2885" spans="1:9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 s="2">
        <v>5170</v>
      </c>
      <c r="G2885">
        <v>1248.6600000000001</v>
      </c>
      <c r="H2885" s="2">
        <f>Table1[[#This Row],[Profit]]/Table1[[#This Row],[Sales]]*100</f>
        <v>24.152030947775629</v>
      </c>
      <c r="I2885" t="str">
        <f>IF(Table1[[#This Row],[Profit %]]&gt;20,"Excellent",IF(H2885&gt;10.1,"Good","Low"))</f>
        <v>Excellent</v>
      </c>
    </row>
    <row r="2886" spans="1:9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 s="2">
        <v>466</v>
      </c>
      <c r="G2886">
        <v>25.04</v>
      </c>
      <c r="H2886" s="2">
        <f>Table1[[#This Row],[Profit]]/Table1[[#This Row],[Sales]]*100</f>
        <v>5.3733905579399135</v>
      </c>
      <c r="I2886" t="str">
        <f>IF(Table1[[#This Row],[Profit %]]&gt;20,"Excellent",IF(H2886&gt;10.1,"Good","Low"))</f>
        <v>Low</v>
      </c>
    </row>
    <row r="2887" spans="1:9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 s="2">
        <v>6032</v>
      </c>
      <c r="G2887">
        <v>1636.61</v>
      </c>
      <c r="H2887" s="2">
        <f>Table1[[#This Row],[Profit]]/Table1[[#This Row],[Sales]]*100</f>
        <v>27.132128647214852</v>
      </c>
      <c r="I2887" t="str">
        <f>IF(Table1[[#This Row],[Profit %]]&gt;20,"Excellent",IF(H2887&gt;10.1,"Good","Low"))</f>
        <v>Excellent</v>
      </c>
    </row>
    <row r="2888" spans="1:9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 s="2">
        <v>1084</v>
      </c>
      <c r="G2888">
        <v>103.06</v>
      </c>
      <c r="H2888" s="2">
        <f>Table1[[#This Row],[Profit]]/Table1[[#This Row],[Sales]]*100</f>
        <v>9.5073800738007375</v>
      </c>
      <c r="I2888" t="str">
        <f>IF(Table1[[#This Row],[Profit %]]&gt;20,"Excellent",IF(H2888&gt;10.1,"Good","Low"))</f>
        <v>Low</v>
      </c>
    </row>
    <row r="2889" spans="1:9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 s="2">
        <v>490</v>
      </c>
      <c r="G2889">
        <v>45.34</v>
      </c>
      <c r="H2889" s="2">
        <f>Table1[[#This Row],[Profit]]/Table1[[#This Row],[Sales]]*100</f>
        <v>9.2530612244897963</v>
      </c>
      <c r="I2889" t="str">
        <f>IF(Table1[[#This Row],[Profit %]]&gt;20,"Excellent",IF(H2889&gt;10.1,"Good","Low"))</f>
        <v>Low</v>
      </c>
    </row>
    <row r="2890" spans="1:9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 s="2">
        <v>558</v>
      </c>
      <c r="G2890">
        <v>57.01</v>
      </c>
      <c r="H2890" s="2">
        <f>Table1[[#This Row],[Profit]]/Table1[[#This Row],[Sales]]*100</f>
        <v>10.216845878136201</v>
      </c>
      <c r="I2890" t="str">
        <f>IF(Table1[[#This Row],[Profit %]]&gt;20,"Excellent",IF(H2890&gt;10.1,"Good","Low"))</f>
        <v>Good</v>
      </c>
    </row>
    <row r="2891" spans="1:9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 s="2">
        <v>4024</v>
      </c>
      <c r="G2891">
        <v>787.06</v>
      </c>
      <c r="H2891" s="2">
        <f>Table1[[#This Row],[Profit]]/Table1[[#This Row],[Sales]]*100</f>
        <v>19.55914512922465</v>
      </c>
      <c r="I2891" t="str">
        <f>IF(Table1[[#This Row],[Profit %]]&gt;20,"Excellent",IF(H2891&gt;10.1,"Good","Low"))</f>
        <v>Good</v>
      </c>
    </row>
    <row r="2892" spans="1:9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 s="2">
        <v>1560</v>
      </c>
      <c r="G2892">
        <v>461.15</v>
      </c>
      <c r="H2892" s="2">
        <f>Table1[[#This Row],[Profit]]/Table1[[#This Row],[Sales]]*100</f>
        <v>29.560897435897431</v>
      </c>
      <c r="I2892" t="str">
        <f>IF(Table1[[#This Row],[Profit %]]&gt;20,"Excellent",IF(H2892&gt;10.1,"Good","Low"))</f>
        <v>Excellent</v>
      </c>
    </row>
    <row r="2893" spans="1:9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 s="2">
        <v>126</v>
      </c>
      <c r="G2893">
        <v>26.62</v>
      </c>
      <c r="H2893" s="2">
        <f>Table1[[#This Row],[Profit]]/Table1[[#This Row],[Sales]]*100</f>
        <v>21.126984126984127</v>
      </c>
      <c r="I2893" t="str">
        <f>IF(Table1[[#This Row],[Profit %]]&gt;20,"Excellent",IF(H2893&gt;10.1,"Good","Low"))</f>
        <v>Excellent</v>
      </c>
    </row>
    <row r="2894" spans="1:9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 s="2">
        <v>4921</v>
      </c>
      <c r="G2894">
        <v>827.87</v>
      </c>
      <c r="H2894" s="2">
        <f>Table1[[#This Row],[Profit]]/Table1[[#This Row],[Sales]]*100</f>
        <v>16.823206665311929</v>
      </c>
      <c r="I2894" t="str">
        <f>IF(Table1[[#This Row],[Profit %]]&gt;20,"Excellent",IF(H2894&gt;10.1,"Good","Low"))</f>
        <v>Good</v>
      </c>
    </row>
    <row r="2895" spans="1:9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 s="2">
        <v>2665</v>
      </c>
      <c r="G2895">
        <v>532.76</v>
      </c>
      <c r="H2895" s="2">
        <f>Table1[[#This Row],[Profit]]/Table1[[#This Row],[Sales]]*100</f>
        <v>19.990994371482177</v>
      </c>
      <c r="I2895" t="str">
        <f>IF(Table1[[#This Row],[Profit %]]&gt;20,"Excellent",IF(H2895&gt;10.1,"Good","Low"))</f>
        <v>Good</v>
      </c>
    </row>
    <row r="2896" spans="1:9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 s="2">
        <v>200</v>
      </c>
      <c r="G2896">
        <v>58.42</v>
      </c>
      <c r="H2896" s="2">
        <f>Table1[[#This Row],[Profit]]/Table1[[#This Row],[Sales]]*100</f>
        <v>29.21</v>
      </c>
      <c r="I2896" t="str">
        <f>IF(Table1[[#This Row],[Profit %]]&gt;20,"Excellent",IF(H2896&gt;10.1,"Good","Low"))</f>
        <v>Excellent</v>
      </c>
    </row>
    <row r="2897" spans="1:9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 s="2">
        <v>186</v>
      </c>
      <c r="G2897">
        <v>32.479999999999997</v>
      </c>
      <c r="H2897" s="2">
        <f>Table1[[#This Row],[Profit]]/Table1[[#This Row],[Sales]]*100</f>
        <v>17.462365591397848</v>
      </c>
      <c r="I2897" t="str">
        <f>IF(Table1[[#This Row],[Profit %]]&gt;20,"Excellent",IF(H2897&gt;10.1,"Good","Low"))</f>
        <v>Good</v>
      </c>
    </row>
    <row r="2898" spans="1:9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 s="2">
        <v>5456</v>
      </c>
      <c r="G2898">
        <v>898.06</v>
      </c>
      <c r="H2898" s="2">
        <f>Table1[[#This Row],[Profit]]/Table1[[#This Row],[Sales]]*100</f>
        <v>16.460043988269792</v>
      </c>
      <c r="I2898" t="str">
        <f>IF(Table1[[#This Row],[Profit %]]&gt;20,"Excellent",IF(H2898&gt;10.1,"Good","Low"))</f>
        <v>Good</v>
      </c>
    </row>
    <row r="2899" spans="1:9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 s="2">
        <v>3321</v>
      </c>
      <c r="G2899">
        <v>540.66999999999996</v>
      </c>
      <c r="H2899" s="2">
        <f>Table1[[#This Row],[Profit]]/Table1[[#This Row],[Sales]]*100</f>
        <v>16.28033724781692</v>
      </c>
      <c r="I2899" t="str">
        <f>IF(Table1[[#This Row],[Profit %]]&gt;20,"Excellent",IF(H2899&gt;10.1,"Good","Low"))</f>
        <v>Good</v>
      </c>
    </row>
    <row r="2900" spans="1:9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 s="2">
        <v>3766</v>
      </c>
      <c r="G2900">
        <v>914.49</v>
      </c>
      <c r="H2900" s="2">
        <f>Table1[[#This Row],[Profit]]/Table1[[#This Row],[Sales]]*100</f>
        <v>24.282793414763677</v>
      </c>
      <c r="I2900" t="str">
        <f>IF(Table1[[#This Row],[Profit %]]&gt;20,"Excellent",IF(H2900&gt;10.1,"Good","Low"))</f>
        <v>Excellent</v>
      </c>
    </row>
    <row r="2901" spans="1:9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 s="2">
        <v>3150</v>
      </c>
      <c r="G2901">
        <v>498.63</v>
      </c>
      <c r="H2901" s="2">
        <f>Table1[[#This Row],[Profit]]/Table1[[#This Row],[Sales]]*100</f>
        <v>15.82952380952381</v>
      </c>
      <c r="I2901" t="str">
        <f>IF(Table1[[#This Row],[Profit %]]&gt;20,"Excellent",IF(H2901&gt;10.1,"Good","Low"))</f>
        <v>Good</v>
      </c>
    </row>
    <row r="2902" spans="1:9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 s="2">
        <v>646</v>
      </c>
      <c r="G2902">
        <v>110.13</v>
      </c>
      <c r="H2902" s="2">
        <f>Table1[[#This Row],[Profit]]/Table1[[#This Row],[Sales]]*100</f>
        <v>17.047987616099071</v>
      </c>
      <c r="I2902" t="str">
        <f>IF(Table1[[#This Row],[Profit %]]&gt;20,"Excellent",IF(H2902&gt;10.1,"Good","Low"))</f>
        <v>Good</v>
      </c>
    </row>
    <row r="2903" spans="1:9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 s="2">
        <v>2665</v>
      </c>
      <c r="G2903">
        <v>369.73</v>
      </c>
      <c r="H2903" s="2">
        <f>Table1[[#This Row],[Profit]]/Table1[[#This Row],[Sales]]*100</f>
        <v>13.873545966228892</v>
      </c>
      <c r="I2903" t="str">
        <f>IF(Table1[[#This Row],[Profit %]]&gt;20,"Excellent",IF(H2903&gt;10.1,"Good","Low"))</f>
        <v>Good</v>
      </c>
    </row>
    <row r="2904" spans="1:9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 s="2">
        <v>1467</v>
      </c>
      <c r="G2904">
        <v>384.22</v>
      </c>
      <c r="H2904" s="2">
        <f>Table1[[#This Row],[Profit]]/Table1[[#This Row],[Sales]]*100</f>
        <v>26.190865712338109</v>
      </c>
      <c r="I2904" t="str">
        <f>IF(Table1[[#This Row],[Profit %]]&gt;20,"Excellent",IF(H2904&gt;10.1,"Good","Low"))</f>
        <v>Excellent</v>
      </c>
    </row>
    <row r="2905" spans="1:9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 s="2">
        <v>4620</v>
      </c>
      <c r="G2905">
        <v>990.79</v>
      </c>
      <c r="H2905" s="2">
        <f>Table1[[#This Row],[Profit]]/Table1[[#This Row],[Sales]]*100</f>
        <v>21.445670995670994</v>
      </c>
      <c r="I2905" t="str">
        <f>IF(Table1[[#This Row],[Profit %]]&gt;20,"Excellent",IF(H2905&gt;10.1,"Good","Low"))</f>
        <v>Excellent</v>
      </c>
    </row>
    <row r="2906" spans="1:9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 s="2">
        <v>1184</v>
      </c>
      <c r="G2906">
        <v>148.69</v>
      </c>
      <c r="H2906" s="2">
        <f>Table1[[#This Row],[Profit]]/Table1[[#This Row],[Sales]]*100</f>
        <v>12.558277027027026</v>
      </c>
      <c r="I2906" t="str">
        <f>IF(Table1[[#This Row],[Profit %]]&gt;20,"Excellent",IF(H2906&gt;10.1,"Good","Low"))</f>
        <v>Good</v>
      </c>
    </row>
    <row r="2907" spans="1:9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 s="2">
        <v>113</v>
      </c>
      <c r="G2907">
        <v>20.07</v>
      </c>
      <c r="H2907" s="2">
        <f>Table1[[#This Row],[Profit]]/Table1[[#This Row],[Sales]]*100</f>
        <v>17.761061946902657</v>
      </c>
      <c r="I2907" t="str">
        <f>IF(Table1[[#This Row],[Profit %]]&gt;20,"Excellent",IF(H2907&gt;10.1,"Good","Low"))</f>
        <v>Good</v>
      </c>
    </row>
    <row r="2908" spans="1:9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 s="2">
        <v>3336</v>
      </c>
      <c r="G2908">
        <v>492.76</v>
      </c>
      <c r="H2908" s="2">
        <f>Table1[[#This Row],[Profit]]/Table1[[#This Row],[Sales]]*100</f>
        <v>14.770983213429256</v>
      </c>
      <c r="I2908" t="str">
        <f>IF(Table1[[#This Row],[Profit %]]&gt;20,"Excellent",IF(H2908&gt;10.1,"Good","Low"))</f>
        <v>Good</v>
      </c>
    </row>
    <row r="2909" spans="1:9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 s="2">
        <v>4224</v>
      </c>
      <c r="G2909">
        <v>477.33</v>
      </c>
      <c r="H2909" s="2">
        <f>Table1[[#This Row],[Profit]]/Table1[[#This Row],[Sales]]*100</f>
        <v>11.300426136363637</v>
      </c>
      <c r="I2909" t="str">
        <f>IF(Table1[[#This Row],[Profit %]]&gt;20,"Excellent",IF(H2909&gt;10.1,"Good","Low"))</f>
        <v>Good</v>
      </c>
    </row>
    <row r="2910" spans="1:9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 s="2">
        <v>1098</v>
      </c>
      <c r="G2910">
        <v>144.24</v>
      </c>
      <c r="H2910" s="2">
        <f>Table1[[#This Row],[Profit]]/Table1[[#This Row],[Sales]]*100</f>
        <v>13.136612021857925</v>
      </c>
      <c r="I2910" t="str">
        <f>IF(Table1[[#This Row],[Profit %]]&gt;20,"Excellent",IF(H2910&gt;10.1,"Good","Low"))</f>
        <v>Good</v>
      </c>
    </row>
    <row r="2911" spans="1:9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 s="2">
        <v>4400</v>
      </c>
      <c r="G2911">
        <v>351.82</v>
      </c>
      <c r="H2911" s="2">
        <f>Table1[[#This Row],[Profit]]/Table1[[#This Row],[Sales]]*100</f>
        <v>7.9959090909090911</v>
      </c>
      <c r="I2911" t="str">
        <f>IF(Table1[[#This Row],[Profit %]]&gt;20,"Excellent",IF(H2911&gt;10.1,"Good","Low"))</f>
        <v>Low</v>
      </c>
    </row>
    <row r="2912" spans="1:9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 s="2">
        <v>5616</v>
      </c>
      <c r="G2912">
        <v>723.42</v>
      </c>
      <c r="H2912" s="2">
        <f>Table1[[#This Row],[Profit]]/Table1[[#This Row],[Sales]]*100</f>
        <v>12.881410256410255</v>
      </c>
      <c r="I2912" t="str">
        <f>IF(Table1[[#This Row],[Profit %]]&gt;20,"Excellent",IF(H2912&gt;10.1,"Good","Low"))</f>
        <v>Good</v>
      </c>
    </row>
    <row r="2913" spans="1:9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 s="2">
        <v>4676</v>
      </c>
      <c r="G2913">
        <v>520.38</v>
      </c>
      <c r="H2913" s="2">
        <f>Table1[[#This Row],[Profit]]/Table1[[#This Row],[Sales]]*100</f>
        <v>11.12874251497006</v>
      </c>
      <c r="I2913" t="str">
        <f>IF(Table1[[#This Row],[Profit %]]&gt;20,"Excellent",IF(H2913&gt;10.1,"Good","Low"))</f>
        <v>Good</v>
      </c>
    </row>
    <row r="2914" spans="1:9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 s="2">
        <v>2370</v>
      </c>
      <c r="G2914">
        <v>641.23</v>
      </c>
      <c r="H2914" s="2">
        <f>Table1[[#This Row],[Profit]]/Table1[[#This Row],[Sales]]*100</f>
        <v>27.056118143459919</v>
      </c>
      <c r="I2914" t="str">
        <f>IF(Table1[[#This Row],[Profit %]]&gt;20,"Excellent",IF(H2914&gt;10.1,"Good","Low"))</f>
        <v>Excellent</v>
      </c>
    </row>
    <row r="2915" spans="1:9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 s="2">
        <v>4487</v>
      </c>
      <c r="G2915">
        <v>688.76</v>
      </c>
      <c r="H2915" s="2">
        <f>Table1[[#This Row],[Profit]]/Table1[[#This Row],[Sales]]*100</f>
        <v>15.350122576331623</v>
      </c>
      <c r="I2915" t="str">
        <f>IF(Table1[[#This Row],[Profit %]]&gt;20,"Excellent",IF(H2915&gt;10.1,"Good","Low"))</f>
        <v>Good</v>
      </c>
    </row>
    <row r="2916" spans="1:9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 s="2">
        <v>6384</v>
      </c>
      <c r="G2916">
        <v>1754.15</v>
      </c>
      <c r="H2916" s="2">
        <f>Table1[[#This Row],[Profit]]/Table1[[#This Row],[Sales]]*100</f>
        <v>27.477286967418546</v>
      </c>
      <c r="I2916" t="str">
        <f>IF(Table1[[#This Row],[Profit %]]&gt;20,"Excellent",IF(H2916&gt;10.1,"Good","Low"))</f>
        <v>Excellent</v>
      </c>
    </row>
    <row r="2917" spans="1:9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 s="2">
        <v>2960</v>
      </c>
      <c r="G2917">
        <v>878.11</v>
      </c>
      <c r="H2917" s="2">
        <f>Table1[[#This Row],[Profit]]/Table1[[#This Row],[Sales]]*100</f>
        <v>29.66587837837838</v>
      </c>
      <c r="I2917" t="str">
        <f>IF(Table1[[#This Row],[Profit %]]&gt;20,"Excellent",IF(H2917&gt;10.1,"Good","Low"))</f>
        <v>Excellent</v>
      </c>
    </row>
    <row r="2918" spans="1:9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 s="2">
        <v>897</v>
      </c>
      <c r="G2918">
        <v>250.78</v>
      </c>
      <c r="H2918" s="2">
        <f>Table1[[#This Row],[Profit]]/Table1[[#This Row],[Sales]]*100</f>
        <v>27.957636566332216</v>
      </c>
      <c r="I2918" t="str">
        <f>IF(Table1[[#This Row],[Profit %]]&gt;20,"Excellent",IF(H2918&gt;10.1,"Good","Low"))</f>
        <v>Excellent</v>
      </c>
    </row>
    <row r="2919" spans="1:9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 s="2">
        <v>1178</v>
      </c>
      <c r="G2919">
        <v>120.51</v>
      </c>
      <c r="H2919" s="2">
        <f>Table1[[#This Row],[Profit]]/Table1[[#This Row],[Sales]]*100</f>
        <v>10.230050933786078</v>
      </c>
      <c r="I2919" t="str">
        <f>IF(Table1[[#This Row],[Profit %]]&gt;20,"Excellent",IF(H2919&gt;10.1,"Good","Low"))</f>
        <v>Good</v>
      </c>
    </row>
    <row r="2920" spans="1:9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 s="2">
        <v>1026</v>
      </c>
      <c r="G2920">
        <v>64.510000000000005</v>
      </c>
      <c r="H2920" s="2">
        <f>Table1[[#This Row],[Profit]]/Table1[[#This Row],[Sales]]*100</f>
        <v>6.2875243664717351</v>
      </c>
      <c r="I2920" t="str">
        <f>IF(Table1[[#This Row],[Profit %]]&gt;20,"Excellent",IF(H2920&gt;10.1,"Good","Low"))</f>
        <v>Low</v>
      </c>
    </row>
    <row r="2921" spans="1:9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 s="2">
        <v>1148</v>
      </c>
      <c r="G2921">
        <v>89.04</v>
      </c>
      <c r="H2921" s="2">
        <f>Table1[[#This Row],[Profit]]/Table1[[#This Row],[Sales]]*100</f>
        <v>7.7560975609756095</v>
      </c>
      <c r="I2921" t="str">
        <f>IF(Table1[[#This Row],[Profit %]]&gt;20,"Excellent",IF(H2921&gt;10.1,"Good","Low"))</f>
        <v>Low</v>
      </c>
    </row>
    <row r="2922" spans="1:9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 s="2">
        <v>3185</v>
      </c>
      <c r="G2922">
        <v>765.41</v>
      </c>
      <c r="H2922" s="2">
        <f>Table1[[#This Row],[Profit]]/Table1[[#This Row],[Sales]]*100</f>
        <v>24.031711145996859</v>
      </c>
      <c r="I2922" t="str">
        <f>IF(Table1[[#This Row],[Profit %]]&gt;20,"Excellent",IF(H2922&gt;10.1,"Good","Low"))</f>
        <v>Excellent</v>
      </c>
    </row>
    <row r="2923" spans="1:9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 s="2">
        <v>5180</v>
      </c>
      <c r="G2923">
        <v>463.35</v>
      </c>
      <c r="H2923" s="2">
        <f>Table1[[#This Row],[Profit]]/Table1[[#This Row],[Sales]]*100</f>
        <v>8.9449806949806945</v>
      </c>
      <c r="I2923" t="str">
        <f>IF(Table1[[#This Row],[Profit %]]&gt;20,"Excellent",IF(H2923&gt;10.1,"Good","Low"))</f>
        <v>Low</v>
      </c>
    </row>
    <row r="2924" spans="1:9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 s="2">
        <v>2025</v>
      </c>
      <c r="G2924">
        <v>295.13</v>
      </c>
      <c r="H2924" s="2">
        <f>Table1[[#This Row],[Profit]]/Table1[[#This Row],[Sales]]*100</f>
        <v>14.574320987654321</v>
      </c>
      <c r="I2924" t="str">
        <f>IF(Table1[[#This Row],[Profit %]]&gt;20,"Excellent",IF(H2924&gt;10.1,"Good","Low"))</f>
        <v>Good</v>
      </c>
    </row>
    <row r="2925" spans="1:9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 s="2">
        <v>1359</v>
      </c>
      <c r="G2925">
        <v>187.72</v>
      </c>
      <c r="H2925" s="2">
        <f>Table1[[#This Row],[Profit]]/Table1[[#This Row],[Sales]]*100</f>
        <v>13.813097866077998</v>
      </c>
      <c r="I2925" t="str">
        <f>IF(Table1[[#This Row],[Profit %]]&gt;20,"Excellent",IF(H2925&gt;10.1,"Good","Low"))</f>
        <v>Good</v>
      </c>
    </row>
    <row r="2926" spans="1:9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 s="2">
        <v>1836</v>
      </c>
      <c r="G2926">
        <v>462.52</v>
      </c>
      <c r="H2926" s="2">
        <f>Table1[[#This Row],[Profit]]/Table1[[#This Row],[Sales]]*100</f>
        <v>25.191721132897605</v>
      </c>
      <c r="I2926" t="str">
        <f>IF(Table1[[#This Row],[Profit %]]&gt;20,"Excellent",IF(H2926&gt;10.1,"Good","Low"))</f>
        <v>Excellent</v>
      </c>
    </row>
    <row r="2927" spans="1:9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 s="2">
        <v>702</v>
      </c>
      <c r="G2927">
        <v>112.04</v>
      </c>
      <c r="H2927" s="2">
        <f>Table1[[#This Row],[Profit]]/Table1[[#This Row],[Sales]]*100</f>
        <v>15.960113960113961</v>
      </c>
      <c r="I2927" t="str">
        <f>IF(Table1[[#This Row],[Profit %]]&gt;20,"Excellent",IF(H2927&gt;10.1,"Good","Low"))</f>
        <v>Good</v>
      </c>
    </row>
    <row r="2928" spans="1:9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 s="2">
        <v>6576</v>
      </c>
      <c r="G2928">
        <v>1337.38</v>
      </c>
      <c r="H2928" s="2">
        <f>Table1[[#This Row],[Profit]]/Table1[[#This Row],[Sales]]*100</f>
        <v>20.337287104622874</v>
      </c>
      <c r="I2928" t="str">
        <f>IF(Table1[[#This Row],[Profit %]]&gt;20,"Excellent",IF(H2928&gt;10.1,"Good","Low"))</f>
        <v>Excellent</v>
      </c>
    </row>
    <row r="2929" spans="1:9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 s="2">
        <v>1428</v>
      </c>
      <c r="G2929">
        <v>398.24</v>
      </c>
      <c r="H2929" s="2">
        <f>Table1[[#This Row],[Profit]]/Table1[[#This Row],[Sales]]*100</f>
        <v>27.887955182072833</v>
      </c>
      <c r="I2929" t="str">
        <f>IF(Table1[[#This Row],[Profit %]]&gt;20,"Excellent",IF(H2929&gt;10.1,"Good","Low"))</f>
        <v>Excellent</v>
      </c>
    </row>
    <row r="2930" spans="1:9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 s="2">
        <v>6853</v>
      </c>
      <c r="G2930">
        <v>1259.03</v>
      </c>
      <c r="H2930" s="2">
        <f>Table1[[#This Row],[Profit]]/Table1[[#This Row],[Sales]]*100</f>
        <v>18.37195388880782</v>
      </c>
      <c r="I2930" t="str">
        <f>IF(Table1[[#This Row],[Profit %]]&gt;20,"Excellent",IF(H2930&gt;10.1,"Good","Low"))</f>
        <v>Good</v>
      </c>
    </row>
    <row r="2931" spans="1:9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 s="2">
        <v>1492</v>
      </c>
      <c r="G2931">
        <v>276.56</v>
      </c>
      <c r="H2931" s="2">
        <f>Table1[[#This Row],[Profit]]/Table1[[#This Row],[Sales]]*100</f>
        <v>18.536193029490615</v>
      </c>
      <c r="I2931" t="str">
        <f>IF(Table1[[#This Row],[Profit %]]&gt;20,"Excellent",IF(H2931&gt;10.1,"Good","Low"))</f>
        <v>Good</v>
      </c>
    </row>
    <row r="2932" spans="1:9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 s="2">
        <v>1938</v>
      </c>
      <c r="G2932">
        <v>146.72999999999999</v>
      </c>
      <c r="H2932" s="2">
        <f>Table1[[#This Row],[Profit]]/Table1[[#This Row],[Sales]]*100</f>
        <v>7.5712074303405572</v>
      </c>
      <c r="I2932" t="str">
        <f>IF(Table1[[#This Row],[Profit %]]&gt;20,"Excellent",IF(H2932&gt;10.1,"Good","Low"))</f>
        <v>Low</v>
      </c>
    </row>
    <row r="2933" spans="1:9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 s="2">
        <v>905</v>
      </c>
      <c r="G2933">
        <v>70.91</v>
      </c>
      <c r="H2933" s="2">
        <f>Table1[[#This Row],[Profit]]/Table1[[#This Row],[Sales]]*100</f>
        <v>7.835359116022099</v>
      </c>
      <c r="I2933" t="str">
        <f>IF(Table1[[#This Row],[Profit %]]&gt;20,"Excellent",IF(H2933&gt;10.1,"Good","Low"))</f>
        <v>Low</v>
      </c>
    </row>
    <row r="2934" spans="1:9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 s="2">
        <v>2571</v>
      </c>
      <c r="G2934">
        <v>510.01</v>
      </c>
      <c r="H2934" s="2">
        <f>Table1[[#This Row],[Profit]]/Table1[[#This Row],[Sales]]*100</f>
        <v>19.837028393621161</v>
      </c>
      <c r="I2934" t="str">
        <f>IF(Table1[[#This Row],[Profit %]]&gt;20,"Excellent",IF(H2934&gt;10.1,"Good","Low"))</f>
        <v>Good</v>
      </c>
    </row>
    <row r="2935" spans="1:9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 s="2">
        <v>1500</v>
      </c>
      <c r="G2935">
        <v>127.81</v>
      </c>
      <c r="H2935" s="2">
        <f>Table1[[#This Row],[Profit]]/Table1[[#This Row],[Sales]]*100</f>
        <v>8.5206666666666671</v>
      </c>
      <c r="I2935" t="str">
        <f>IF(Table1[[#This Row],[Profit %]]&gt;20,"Excellent",IF(H2935&gt;10.1,"Good","Low"))</f>
        <v>Low</v>
      </c>
    </row>
    <row r="2936" spans="1:9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 s="2">
        <v>8712</v>
      </c>
      <c r="G2936">
        <v>1034.27</v>
      </c>
      <c r="H2936" s="2">
        <f>Table1[[#This Row],[Profit]]/Table1[[#This Row],[Sales]]*100</f>
        <v>11.871786042240586</v>
      </c>
      <c r="I2936" t="str">
        <f>IF(Table1[[#This Row],[Profit %]]&gt;20,"Excellent",IF(H2936&gt;10.1,"Good","Low"))</f>
        <v>Good</v>
      </c>
    </row>
    <row r="2937" spans="1:9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 s="2">
        <v>1308</v>
      </c>
      <c r="G2937">
        <v>368.28</v>
      </c>
      <c r="H2937" s="2">
        <f>Table1[[#This Row],[Profit]]/Table1[[#This Row],[Sales]]*100</f>
        <v>28.155963302752291</v>
      </c>
      <c r="I2937" t="str">
        <f>IF(Table1[[#This Row],[Profit %]]&gt;20,"Excellent",IF(H2937&gt;10.1,"Good","Low"))</f>
        <v>Excellent</v>
      </c>
    </row>
    <row r="2938" spans="1:9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 s="2">
        <v>2648</v>
      </c>
      <c r="G2938">
        <v>707.32</v>
      </c>
      <c r="H2938" s="2">
        <f>Table1[[#This Row],[Profit]]/Table1[[#This Row],[Sales]]*100</f>
        <v>26.711480362537763</v>
      </c>
      <c r="I2938" t="str">
        <f>IF(Table1[[#This Row],[Profit %]]&gt;20,"Excellent",IF(H2938&gt;10.1,"Good","Low"))</f>
        <v>Excellent</v>
      </c>
    </row>
    <row r="2939" spans="1:9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 s="2">
        <v>9810</v>
      </c>
      <c r="G2939">
        <v>1666.96</v>
      </c>
      <c r="H2939" s="2">
        <f>Table1[[#This Row],[Profit]]/Table1[[#This Row],[Sales]]*100</f>
        <v>16.992456676860346</v>
      </c>
      <c r="I2939" t="str">
        <f>IF(Table1[[#This Row],[Profit %]]&gt;20,"Excellent",IF(H2939&gt;10.1,"Good","Low"))</f>
        <v>Good</v>
      </c>
    </row>
    <row r="2940" spans="1:9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 s="2">
        <v>3291</v>
      </c>
      <c r="G2940">
        <v>274.10000000000002</v>
      </c>
      <c r="H2940" s="2">
        <f>Table1[[#This Row],[Profit]]/Table1[[#This Row],[Sales]]*100</f>
        <v>8.3287754481920402</v>
      </c>
      <c r="I2940" t="str">
        <f>IF(Table1[[#This Row],[Profit %]]&gt;20,"Excellent",IF(H2940&gt;10.1,"Good","Low"))</f>
        <v>Low</v>
      </c>
    </row>
    <row r="2941" spans="1:9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 s="2">
        <v>758</v>
      </c>
      <c r="G2941">
        <v>96.44</v>
      </c>
      <c r="H2941" s="2">
        <f>Table1[[#This Row],[Profit]]/Table1[[#This Row],[Sales]]*100</f>
        <v>12.722955145118734</v>
      </c>
      <c r="I2941" t="str">
        <f>IF(Table1[[#This Row],[Profit %]]&gt;20,"Excellent",IF(H2941&gt;10.1,"Good","Low"))</f>
        <v>Good</v>
      </c>
    </row>
    <row r="2942" spans="1:9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 s="2">
        <v>2436</v>
      </c>
      <c r="G2942">
        <v>715.14</v>
      </c>
      <c r="H2942" s="2">
        <f>Table1[[#This Row],[Profit]]/Table1[[#This Row],[Sales]]*100</f>
        <v>29.357142857142854</v>
      </c>
      <c r="I2942" t="str">
        <f>IF(Table1[[#This Row],[Profit %]]&gt;20,"Excellent",IF(H2942&gt;10.1,"Good","Low"))</f>
        <v>Excellent</v>
      </c>
    </row>
    <row r="2943" spans="1:9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 s="2">
        <v>560</v>
      </c>
      <c r="G2943">
        <v>163.16</v>
      </c>
      <c r="H2943" s="2">
        <f>Table1[[#This Row],[Profit]]/Table1[[#This Row],[Sales]]*100</f>
        <v>29.135714285714286</v>
      </c>
      <c r="I2943" t="str">
        <f>IF(Table1[[#This Row],[Profit %]]&gt;20,"Excellent",IF(H2943&gt;10.1,"Good","Low"))</f>
        <v>Excellent</v>
      </c>
    </row>
    <row r="2944" spans="1:9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 s="2">
        <v>4240</v>
      </c>
      <c r="G2944">
        <v>519.72</v>
      </c>
      <c r="H2944" s="2">
        <f>Table1[[#This Row],[Profit]]/Table1[[#This Row],[Sales]]*100</f>
        <v>12.257547169811321</v>
      </c>
      <c r="I2944" t="str">
        <f>IF(Table1[[#This Row],[Profit %]]&gt;20,"Excellent",IF(H2944&gt;10.1,"Good","Low"))</f>
        <v>Good</v>
      </c>
    </row>
    <row r="2945" spans="1:9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 s="2">
        <v>5416</v>
      </c>
      <c r="G2945">
        <v>403.52</v>
      </c>
      <c r="H2945" s="2">
        <f>Table1[[#This Row],[Profit]]/Table1[[#This Row],[Sales]]*100</f>
        <v>7.4505169867060559</v>
      </c>
      <c r="I2945" t="str">
        <f>IF(Table1[[#This Row],[Profit %]]&gt;20,"Excellent",IF(H2945&gt;10.1,"Good","Low"))</f>
        <v>Low</v>
      </c>
    </row>
    <row r="2946" spans="1:9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 s="2">
        <v>1728</v>
      </c>
      <c r="G2946">
        <v>477.7</v>
      </c>
      <c r="H2946" s="2">
        <f>Table1[[#This Row],[Profit]]/Table1[[#This Row],[Sales]]*100</f>
        <v>27.644675925925927</v>
      </c>
      <c r="I2946" t="str">
        <f>IF(Table1[[#This Row],[Profit %]]&gt;20,"Excellent",IF(H2946&gt;10.1,"Good","Low"))</f>
        <v>Excellent</v>
      </c>
    </row>
    <row r="2947" spans="1:9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 s="2">
        <v>6309</v>
      </c>
      <c r="G2947">
        <v>801.15</v>
      </c>
      <c r="H2947" s="2">
        <f>Table1[[#This Row],[Profit]]/Table1[[#This Row],[Sales]]*100</f>
        <v>12.69852591535901</v>
      </c>
      <c r="I2947" t="str">
        <f>IF(Table1[[#This Row],[Profit %]]&gt;20,"Excellent",IF(H2947&gt;10.1,"Good","Low"))</f>
        <v>Good</v>
      </c>
    </row>
    <row r="2948" spans="1:9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 s="2">
        <v>3400</v>
      </c>
      <c r="G2948">
        <v>758.57</v>
      </c>
      <c r="H2948" s="2">
        <f>Table1[[#This Row],[Profit]]/Table1[[#This Row],[Sales]]*100</f>
        <v>22.310882352941178</v>
      </c>
      <c r="I2948" t="str">
        <f>IF(Table1[[#This Row],[Profit %]]&gt;20,"Excellent",IF(H2948&gt;10.1,"Good","Low"))</f>
        <v>Excellent</v>
      </c>
    </row>
    <row r="2949" spans="1:9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 s="2">
        <v>403</v>
      </c>
      <c r="G2949">
        <v>72.45</v>
      </c>
      <c r="H2949" s="2">
        <f>Table1[[#This Row],[Profit]]/Table1[[#This Row],[Sales]]*100</f>
        <v>17.977667493796528</v>
      </c>
      <c r="I2949" t="str">
        <f>IF(Table1[[#This Row],[Profit %]]&gt;20,"Excellent",IF(H2949&gt;10.1,"Good","Low"))</f>
        <v>Good</v>
      </c>
    </row>
    <row r="2950" spans="1:9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 s="2">
        <v>2108</v>
      </c>
      <c r="G2950">
        <v>375.62</v>
      </c>
      <c r="H2950" s="2">
        <f>Table1[[#This Row],[Profit]]/Table1[[#This Row],[Sales]]*100</f>
        <v>17.818785578747629</v>
      </c>
      <c r="I2950" t="str">
        <f>IF(Table1[[#This Row],[Profit %]]&gt;20,"Excellent",IF(H2950&gt;10.1,"Good","Low"))</f>
        <v>Good</v>
      </c>
    </row>
    <row r="2951" spans="1:9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 s="2">
        <v>1090</v>
      </c>
      <c r="G2951">
        <v>296.12</v>
      </c>
      <c r="H2951" s="2">
        <f>Table1[[#This Row],[Profit]]/Table1[[#This Row],[Sales]]*100</f>
        <v>27.16697247706422</v>
      </c>
      <c r="I2951" t="str">
        <f>IF(Table1[[#This Row],[Profit %]]&gt;20,"Excellent",IF(H2951&gt;10.1,"Good","Low"))</f>
        <v>Excellent</v>
      </c>
    </row>
    <row r="2952" spans="1:9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 s="2">
        <v>1274</v>
      </c>
      <c r="G2952">
        <v>317.92</v>
      </c>
      <c r="H2952" s="2">
        <f>Table1[[#This Row],[Profit]]/Table1[[#This Row],[Sales]]*100</f>
        <v>24.954474097331243</v>
      </c>
      <c r="I2952" t="str">
        <f>IF(Table1[[#This Row],[Profit %]]&gt;20,"Excellent",IF(H2952&gt;10.1,"Good","Low"))</f>
        <v>Excellent</v>
      </c>
    </row>
    <row r="2953" spans="1:9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 s="2">
        <v>1056</v>
      </c>
      <c r="G2953">
        <v>70.540000000000006</v>
      </c>
      <c r="H2953" s="2">
        <f>Table1[[#This Row],[Profit]]/Table1[[#This Row],[Sales]]*100</f>
        <v>6.6799242424242431</v>
      </c>
      <c r="I2953" t="str">
        <f>IF(Table1[[#This Row],[Profit %]]&gt;20,"Excellent",IF(H2953&gt;10.1,"Good","Low"))</f>
        <v>Low</v>
      </c>
    </row>
    <row r="2954" spans="1:9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 s="2">
        <v>5247</v>
      </c>
      <c r="G2954">
        <v>921.09</v>
      </c>
      <c r="H2954" s="2">
        <f>Table1[[#This Row],[Profit]]/Table1[[#This Row],[Sales]]*100</f>
        <v>17.554602630074328</v>
      </c>
      <c r="I2954" t="str">
        <f>IF(Table1[[#This Row],[Profit %]]&gt;20,"Excellent",IF(H2954&gt;10.1,"Good","Low"))</f>
        <v>Good</v>
      </c>
    </row>
    <row r="2955" spans="1:9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 s="2">
        <v>6006</v>
      </c>
      <c r="G2955">
        <v>1595.22</v>
      </c>
      <c r="H2955" s="2">
        <f>Table1[[#This Row],[Profit]]/Table1[[#This Row],[Sales]]*100</f>
        <v>26.560439560439558</v>
      </c>
      <c r="I2955" t="str">
        <f>IF(Table1[[#This Row],[Profit %]]&gt;20,"Excellent",IF(H2955&gt;10.1,"Good","Low"))</f>
        <v>Excellent</v>
      </c>
    </row>
    <row r="2956" spans="1:9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 s="2">
        <v>5415</v>
      </c>
      <c r="G2956">
        <v>1261.6500000000001</v>
      </c>
      <c r="H2956" s="2">
        <f>Table1[[#This Row],[Profit]]/Table1[[#This Row],[Sales]]*100</f>
        <v>23.299168975069254</v>
      </c>
      <c r="I2956" t="str">
        <f>IF(Table1[[#This Row],[Profit %]]&gt;20,"Excellent",IF(H2956&gt;10.1,"Good","Low"))</f>
        <v>Excellent</v>
      </c>
    </row>
    <row r="2957" spans="1:9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 s="2">
        <v>632</v>
      </c>
      <c r="G2957">
        <v>81.540000000000006</v>
      </c>
      <c r="H2957" s="2">
        <f>Table1[[#This Row],[Profit]]/Table1[[#This Row],[Sales]]*100</f>
        <v>12.901898734177216</v>
      </c>
      <c r="I2957" t="str">
        <f>IF(Table1[[#This Row],[Profit %]]&gt;20,"Excellent",IF(H2957&gt;10.1,"Good","Low"))</f>
        <v>Good</v>
      </c>
    </row>
    <row r="2958" spans="1:9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 s="2">
        <v>6160</v>
      </c>
      <c r="G2958">
        <v>947.96</v>
      </c>
      <c r="H2958" s="2">
        <f>Table1[[#This Row],[Profit]]/Table1[[#This Row],[Sales]]*100</f>
        <v>15.388961038961039</v>
      </c>
      <c r="I2958" t="str">
        <f>IF(Table1[[#This Row],[Profit %]]&gt;20,"Excellent",IF(H2958&gt;10.1,"Good","Low"))</f>
        <v>Good</v>
      </c>
    </row>
    <row r="2959" spans="1:9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 s="2">
        <v>857</v>
      </c>
      <c r="G2959">
        <v>172.91</v>
      </c>
      <c r="H2959" s="2">
        <f>Table1[[#This Row],[Profit]]/Table1[[#This Row],[Sales]]*100</f>
        <v>20.176196032672109</v>
      </c>
      <c r="I2959" t="str">
        <f>IF(Table1[[#This Row],[Profit %]]&gt;20,"Excellent",IF(H2959&gt;10.1,"Good","Low"))</f>
        <v>Excellent</v>
      </c>
    </row>
    <row r="2960" spans="1:9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 s="2">
        <v>169</v>
      </c>
      <c r="G2960">
        <v>22.99</v>
      </c>
      <c r="H2960" s="2">
        <f>Table1[[#This Row],[Profit]]/Table1[[#This Row],[Sales]]*100</f>
        <v>13.603550295857989</v>
      </c>
      <c r="I2960" t="str">
        <f>IF(Table1[[#This Row],[Profit %]]&gt;20,"Excellent",IF(H2960&gt;10.1,"Good","Low"))</f>
        <v>Good</v>
      </c>
    </row>
    <row r="2961" spans="1:9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 s="2">
        <v>1463</v>
      </c>
      <c r="G2961">
        <v>175.13</v>
      </c>
      <c r="H2961" s="2">
        <f>Table1[[#This Row],[Profit]]/Table1[[#This Row],[Sales]]*100</f>
        <v>11.970608339029392</v>
      </c>
      <c r="I2961" t="str">
        <f>IF(Table1[[#This Row],[Profit %]]&gt;20,"Excellent",IF(H2961&gt;10.1,"Good","Low"))</f>
        <v>Good</v>
      </c>
    </row>
    <row r="2962" spans="1:9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 s="2">
        <v>7528</v>
      </c>
      <c r="G2962">
        <v>1283.07</v>
      </c>
      <c r="H2962" s="2">
        <f>Table1[[#This Row],[Profit]]/Table1[[#This Row],[Sales]]*100</f>
        <v>17.043969181721572</v>
      </c>
      <c r="I2962" t="str">
        <f>IF(Table1[[#This Row],[Profit %]]&gt;20,"Excellent",IF(H2962&gt;10.1,"Good","Low"))</f>
        <v>Good</v>
      </c>
    </row>
    <row r="2963" spans="1:9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 s="2">
        <v>1158</v>
      </c>
      <c r="G2963">
        <v>227.61</v>
      </c>
      <c r="H2963" s="2">
        <f>Table1[[#This Row],[Profit]]/Table1[[#This Row],[Sales]]*100</f>
        <v>19.655440414507773</v>
      </c>
      <c r="I2963" t="str">
        <f>IF(Table1[[#This Row],[Profit %]]&gt;20,"Excellent",IF(H2963&gt;10.1,"Good","Low"))</f>
        <v>Good</v>
      </c>
    </row>
    <row r="2964" spans="1:9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 s="2">
        <v>200</v>
      </c>
      <c r="G2964">
        <v>20.25</v>
      </c>
      <c r="H2964" s="2">
        <f>Table1[[#This Row],[Profit]]/Table1[[#This Row],[Sales]]*100</f>
        <v>10.125</v>
      </c>
      <c r="I2964" t="str">
        <f>IF(Table1[[#This Row],[Profit %]]&gt;20,"Excellent",IF(H2964&gt;10.1,"Good","Low"))</f>
        <v>Good</v>
      </c>
    </row>
    <row r="2965" spans="1:9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 s="2">
        <v>1514</v>
      </c>
      <c r="G2965">
        <v>180.67</v>
      </c>
      <c r="H2965" s="2">
        <f>Table1[[#This Row],[Profit]]/Table1[[#This Row],[Sales]]*100</f>
        <v>11.933289299867898</v>
      </c>
      <c r="I2965" t="str">
        <f>IF(Table1[[#This Row],[Profit %]]&gt;20,"Excellent",IF(H2965&gt;10.1,"Good","Low"))</f>
        <v>Good</v>
      </c>
    </row>
    <row r="2966" spans="1:9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 s="2">
        <v>2632</v>
      </c>
      <c r="G2966">
        <v>738.93</v>
      </c>
      <c r="H2966" s="2">
        <f>Table1[[#This Row],[Profit]]/Table1[[#This Row],[Sales]]*100</f>
        <v>28.074848024316108</v>
      </c>
      <c r="I2966" t="str">
        <f>IF(Table1[[#This Row],[Profit %]]&gt;20,"Excellent",IF(H2966&gt;10.1,"Good","Low"))</f>
        <v>Excellent</v>
      </c>
    </row>
    <row r="2967" spans="1:9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 s="2">
        <v>358</v>
      </c>
      <c r="G2967">
        <v>77.84</v>
      </c>
      <c r="H2967" s="2">
        <f>Table1[[#This Row],[Profit]]/Table1[[#This Row],[Sales]]*100</f>
        <v>21.743016759776538</v>
      </c>
      <c r="I2967" t="str">
        <f>IF(Table1[[#This Row],[Profit %]]&gt;20,"Excellent",IF(H2967&gt;10.1,"Good","Low"))</f>
        <v>Excellent</v>
      </c>
    </row>
    <row r="2968" spans="1:9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 s="2">
        <v>2360</v>
      </c>
      <c r="G2968">
        <v>653.29999999999995</v>
      </c>
      <c r="H2968" s="2">
        <f>Table1[[#This Row],[Profit]]/Table1[[#This Row],[Sales]]*100</f>
        <v>27.682203389830505</v>
      </c>
      <c r="I2968" t="str">
        <f>IF(Table1[[#This Row],[Profit %]]&gt;20,"Excellent",IF(H2968&gt;10.1,"Good","Low"))</f>
        <v>Excellent</v>
      </c>
    </row>
    <row r="2969" spans="1:9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 s="2">
        <v>5275</v>
      </c>
      <c r="G2969">
        <v>594.29</v>
      </c>
      <c r="H2969" s="2">
        <f>Table1[[#This Row],[Profit]]/Table1[[#This Row],[Sales]]*100</f>
        <v>11.266161137440758</v>
      </c>
      <c r="I2969" t="str">
        <f>IF(Table1[[#This Row],[Profit %]]&gt;20,"Excellent",IF(H2969&gt;10.1,"Good","Low"))</f>
        <v>Good</v>
      </c>
    </row>
    <row r="2970" spans="1:9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 s="2">
        <v>1719</v>
      </c>
      <c r="G2970">
        <v>251.85</v>
      </c>
      <c r="H2970" s="2">
        <f>Table1[[#This Row],[Profit]]/Table1[[#This Row],[Sales]]*100</f>
        <v>14.650959860383944</v>
      </c>
      <c r="I2970" t="str">
        <f>IF(Table1[[#This Row],[Profit %]]&gt;20,"Excellent",IF(H2970&gt;10.1,"Good","Low"))</f>
        <v>Good</v>
      </c>
    </row>
    <row r="2971" spans="1:9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 s="2">
        <v>1956</v>
      </c>
      <c r="G2971">
        <v>434.03</v>
      </c>
      <c r="H2971" s="2">
        <f>Table1[[#This Row],[Profit]]/Table1[[#This Row],[Sales]]*100</f>
        <v>22.189672801635989</v>
      </c>
      <c r="I2971" t="str">
        <f>IF(Table1[[#This Row],[Profit %]]&gt;20,"Excellent",IF(H2971&gt;10.1,"Good","Low"))</f>
        <v>Excellent</v>
      </c>
    </row>
    <row r="2972" spans="1:9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 s="2">
        <v>1875</v>
      </c>
      <c r="G2972">
        <v>152.07</v>
      </c>
      <c r="H2972" s="2">
        <f>Table1[[#This Row],[Profit]]/Table1[[#This Row],[Sales]]*100</f>
        <v>8.1104000000000003</v>
      </c>
      <c r="I2972" t="str">
        <f>IF(Table1[[#This Row],[Profit %]]&gt;20,"Excellent",IF(H2972&gt;10.1,"Good","Low"))</f>
        <v>Low</v>
      </c>
    </row>
    <row r="2973" spans="1:9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 s="2">
        <v>984</v>
      </c>
      <c r="G2973">
        <v>157.72</v>
      </c>
      <c r="H2973" s="2">
        <f>Table1[[#This Row],[Profit]]/Table1[[#This Row],[Sales]]*100</f>
        <v>16.028455284552845</v>
      </c>
      <c r="I2973" t="str">
        <f>IF(Table1[[#This Row],[Profit %]]&gt;20,"Excellent",IF(H2973&gt;10.1,"Good","Low"))</f>
        <v>Good</v>
      </c>
    </row>
    <row r="2974" spans="1:9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 s="2">
        <v>3616</v>
      </c>
      <c r="G2974">
        <v>789.63</v>
      </c>
      <c r="H2974" s="2">
        <f>Table1[[#This Row],[Profit]]/Table1[[#This Row],[Sales]]*100</f>
        <v>21.837112831858406</v>
      </c>
      <c r="I2974" t="str">
        <f>IF(Table1[[#This Row],[Profit %]]&gt;20,"Excellent",IF(H2974&gt;10.1,"Good","Low"))</f>
        <v>Excellent</v>
      </c>
    </row>
    <row r="2975" spans="1:9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 s="2">
        <v>4560</v>
      </c>
      <c r="G2975">
        <v>1180.8</v>
      </c>
      <c r="H2975" s="2">
        <f>Table1[[#This Row],[Profit]]/Table1[[#This Row],[Sales]]*100</f>
        <v>25.894736842105264</v>
      </c>
      <c r="I2975" t="str">
        <f>IF(Table1[[#This Row],[Profit %]]&gt;20,"Excellent",IF(H2975&gt;10.1,"Good","Low"))</f>
        <v>Excellent</v>
      </c>
    </row>
    <row r="2976" spans="1:9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 s="2">
        <v>7496</v>
      </c>
      <c r="G2976">
        <v>2019.32</v>
      </c>
      <c r="H2976" s="2">
        <f>Table1[[#This Row],[Profit]]/Table1[[#This Row],[Sales]]*100</f>
        <v>26.93863393810032</v>
      </c>
      <c r="I2976" t="str">
        <f>IF(Table1[[#This Row],[Profit %]]&gt;20,"Excellent",IF(H2976&gt;10.1,"Good","Low"))</f>
        <v>Excellent</v>
      </c>
    </row>
    <row r="2977" spans="1:9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 s="2">
        <v>5070</v>
      </c>
      <c r="G2977">
        <v>889.97</v>
      </c>
      <c r="H2977" s="2">
        <f>Table1[[#This Row],[Profit]]/Table1[[#This Row],[Sales]]*100</f>
        <v>17.553648915187377</v>
      </c>
      <c r="I2977" t="str">
        <f>IF(Table1[[#This Row],[Profit %]]&gt;20,"Excellent",IF(H2977&gt;10.1,"Good","Low"))</f>
        <v>Good</v>
      </c>
    </row>
    <row r="2978" spans="1:9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 s="2">
        <v>4505</v>
      </c>
      <c r="G2978">
        <v>1351.28</v>
      </c>
      <c r="H2978" s="2">
        <f>Table1[[#This Row],[Profit]]/Table1[[#This Row],[Sales]]*100</f>
        <v>29.995116537180909</v>
      </c>
      <c r="I2978" t="str">
        <f>IF(Table1[[#This Row],[Profit %]]&gt;20,"Excellent",IF(H2978&gt;10.1,"Good","Low"))</f>
        <v>Excellent</v>
      </c>
    </row>
    <row r="2979" spans="1:9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 s="2">
        <v>1916</v>
      </c>
      <c r="G2979">
        <v>503.83</v>
      </c>
      <c r="H2979" s="2">
        <f>Table1[[#This Row],[Profit]]/Table1[[#This Row],[Sales]]*100</f>
        <v>26.295929018789145</v>
      </c>
      <c r="I2979" t="str">
        <f>IF(Table1[[#This Row],[Profit %]]&gt;20,"Excellent",IF(H2979&gt;10.1,"Good","Low"))</f>
        <v>Excellent</v>
      </c>
    </row>
    <row r="2980" spans="1:9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 s="2">
        <v>8113</v>
      </c>
      <c r="G2980">
        <v>1103.57</v>
      </c>
      <c r="H2980" s="2">
        <f>Table1[[#This Row],[Profit]]/Table1[[#This Row],[Sales]]*100</f>
        <v>13.602489831135214</v>
      </c>
      <c r="I2980" t="str">
        <f>IF(Table1[[#This Row],[Profit %]]&gt;20,"Excellent",IF(H2980&gt;10.1,"Good","Low"))</f>
        <v>Good</v>
      </c>
    </row>
    <row r="2981" spans="1:9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 s="2">
        <v>1809</v>
      </c>
      <c r="G2981">
        <v>392.44</v>
      </c>
      <c r="H2981" s="2">
        <f>Table1[[#This Row],[Profit]]/Table1[[#This Row],[Sales]]*100</f>
        <v>21.693753454947483</v>
      </c>
      <c r="I2981" t="str">
        <f>IF(Table1[[#This Row],[Profit %]]&gt;20,"Excellent",IF(H2981&gt;10.1,"Good","Low"))</f>
        <v>Excellent</v>
      </c>
    </row>
    <row r="2982" spans="1:9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 s="2">
        <v>1227</v>
      </c>
      <c r="G2982">
        <v>229.75</v>
      </c>
      <c r="H2982" s="2">
        <f>Table1[[#This Row],[Profit]]/Table1[[#This Row],[Sales]]*100</f>
        <v>18.724531377343112</v>
      </c>
      <c r="I2982" t="str">
        <f>IF(Table1[[#This Row],[Profit %]]&gt;20,"Excellent",IF(H2982&gt;10.1,"Good","Low"))</f>
        <v>Good</v>
      </c>
    </row>
    <row r="2983" spans="1:9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 s="2">
        <v>2040</v>
      </c>
      <c r="G2983">
        <v>124.65</v>
      </c>
      <c r="H2983" s="2">
        <f>Table1[[#This Row],[Profit]]/Table1[[#This Row],[Sales]]*100</f>
        <v>6.1102941176470589</v>
      </c>
      <c r="I2983" t="str">
        <f>IF(Table1[[#This Row],[Profit %]]&gt;20,"Excellent",IF(H2983&gt;10.1,"Good","Low"))</f>
        <v>Low</v>
      </c>
    </row>
    <row r="2984" spans="1:9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 s="2">
        <v>6324</v>
      </c>
      <c r="G2984">
        <v>629.20000000000005</v>
      </c>
      <c r="H2984" s="2">
        <f>Table1[[#This Row],[Profit]]/Table1[[#This Row],[Sales]]*100</f>
        <v>9.9493991144845051</v>
      </c>
      <c r="I2984" t="str">
        <f>IF(Table1[[#This Row],[Profit %]]&gt;20,"Excellent",IF(H2984&gt;10.1,"Good","Low"))</f>
        <v>Low</v>
      </c>
    </row>
    <row r="2985" spans="1:9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 s="2">
        <v>2724</v>
      </c>
      <c r="G2985">
        <v>521.24</v>
      </c>
      <c r="H2985" s="2">
        <f>Table1[[#This Row],[Profit]]/Table1[[#This Row],[Sales]]*100</f>
        <v>19.135095447870778</v>
      </c>
      <c r="I2985" t="str">
        <f>IF(Table1[[#This Row],[Profit %]]&gt;20,"Excellent",IF(H2985&gt;10.1,"Good","Low"))</f>
        <v>Good</v>
      </c>
    </row>
    <row r="2986" spans="1:9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 s="2">
        <v>1188</v>
      </c>
      <c r="G2986">
        <v>110.32</v>
      </c>
      <c r="H2986" s="2">
        <f>Table1[[#This Row],[Profit]]/Table1[[#This Row],[Sales]]*100</f>
        <v>9.2861952861952854</v>
      </c>
      <c r="I2986" t="str">
        <f>IF(Table1[[#This Row],[Profit %]]&gt;20,"Excellent",IF(H2986&gt;10.1,"Good","Low"))</f>
        <v>Low</v>
      </c>
    </row>
    <row r="2987" spans="1:9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 s="2">
        <v>8776</v>
      </c>
      <c r="G2987">
        <v>1561.07</v>
      </c>
      <c r="H2987" s="2">
        <f>Table1[[#This Row],[Profit]]/Table1[[#This Row],[Sales]]*100</f>
        <v>17.787944393801276</v>
      </c>
      <c r="I2987" t="str">
        <f>IF(Table1[[#This Row],[Profit %]]&gt;20,"Excellent",IF(H2987&gt;10.1,"Good","Low"))</f>
        <v>Good</v>
      </c>
    </row>
    <row r="2988" spans="1:9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 s="2">
        <v>5553</v>
      </c>
      <c r="G2988">
        <v>1432.76</v>
      </c>
      <c r="H2988" s="2">
        <f>Table1[[#This Row],[Profit]]/Table1[[#This Row],[Sales]]*100</f>
        <v>25.801548712407708</v>
      </c>
      <c r="I2988" t="str">
        <f>IF(Table1[[#This Row],[Profit %]]&gt;20,"Excellent",IF(H2988&gt;10.1,"Good","Low"))</f>
        <v>Excellent</v>
      </c>
    </row>
    <row r="2989" spans="1:9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 s="2">
        <v>970</v>
      </c>
      <c r="G2989">
        <v>262.19</v>
      </c>
      <c r="H2989" s="2">
        <f>Table1[[#This Row],[Profit]]/Table1[[#This Row],[Sales]]*100</f>
        <v>27.029896907216493</v>
      </c>
      <c r="I2989" t="str">
        <f>IF(Table1[[#This Row],[Profit %]]&gt;20,"Excellent",IF(H2989&gt;10.1,"Good","Low"))</f>
        <v>Excellent</v>
      </c>
    </row>
    <row r="2990" spans="1:9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 s="2">
        <v>940</v>
      </c>
      <c r="G2990">
        <v>56.7</v>
      </c>
      <c r="H2990" s="2">
        <f>Table1[[#This Row],[Profit]]/Table1[[#This Row],[Sales]]*100</f>
        <v>6.0319148936170217</v>
      </c>
      <c r="I2990" t="str">
        <f>IF(Table1[[#This Row],[Profit %]]&gt;20,"Excellent",IF(H2990&gt;10.1,"Good","Low"))</f>
        <v>Low</v>
      </c>
    </row>
    <row r="2991" spans="1:9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 s="2">
        <v>1175</v>
      </c>
      <c r="G2991">
        <v>171.51</v>
      </c>
      <c r="H2991" s="2">
        <f>Table1[[#This Row],[Profit]]/Table1[[#This Row],[Sales]]*100</f>
        <v>14.596595744680851</v>
      </c>
      <c r="I2991" t="str">
        <f>IF(Table1[[#This Row],[Profit %]]&gt;20,"Excellent",IF(H2991&gt;10.1,"Good","Low"))</f>
        <v>Good</v>
      </c>
    </row>
    <row r="2992" spans="1:9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 s="2">
        <v>4860</v>
      </c>
      <c r="G2992">
        <v>1425.54</v>
      </c>
      <c r="H2992" s="2">
        <f>Table1[[#This Row],[Profit]]/Table1[[#This Row],[Sales]]*100</f>
        <v>29.332098765432097</v>
      </c>
      <c r="I2992" t="str">
        <f>IF(Table1[[#This Row],[Profit %]]&gt;20,"Excellent",IF(H2992&gt;10.1,"Good","Low"))</f>
        <v>Excellent</v>
      </c>
    </row>
    <row r="2993" spans="1:9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 s="2">
        <v>987</v>
      </c>
      <c r="G2993">
        <v>207.69</v>
      </c>
      <c r="H2993" s="2">
        <f>Table1[[#This Row],[Profit]]/Table1[[#This Row],[Sales]]*100</f>
        <v>21.042553191489361</v>
      </c>
      <c r="I2993" t="str">
        <f>IF(Table1[[#This Row],[Profit %]]&gt;20,"Excellent",IF(H2993&gt;10.1,"Good","Low"))</f>
        <v>Excellent</v>
      </c>
    </row>
    <row r="2994" spans="1:9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 s="2">
        <v>2968</v>
      </c>
      <c r="G2994">
        <v>485.13</v>
      </c>
      <c r="H2994" s="2">
        <f>Table1[[#This Row],[Profit]]/Table1[[#This Row],[Sales]]*100</f>
        <v>16.345350404312669</v>
      </c>
      <c r="I2994" t="str">
        <f>IF(Table1[[#This Row],[Profit %]]&gt;20,"Excellent",IF(H2994&gt;10.1,"Good","Low"))</f>
        <v>Good</v>
      </c>
    </row>
    <row r="2995" spans="1:9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 s="2">
        <v>2172</v>
      </c>
      <c r="G2995">
        <v>364.77</v>
      </c>
      <c r="H2995" s="2">
        <f>Table1[[#This Row],[Profit]]/Table1[[#This Row],[Sales]]*100</f>
        <v>16.794198895027623</v>
      </c>
      <c r="I2995" t="str">
        <f>IF(Table1[[#This Row],[Profit %]]&gt;20,"Excellent",IF(H2995&gt;10.1,"Good","Low"))</f>
        <v>Good</v>
      </c>
    </row>
    <row r="2996" spans="1:9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 s="2">
        <v>3941</v>
      </c>
      <c r="G2996">
        <v>628.96</v>
      </c>
      <c r="H2996" s="2">
        <f>Table1[[#This Row],[Profit]]/Table1[[#This Row],[Sales]]*100</f>
        <v>15.959401167216445</v>
      </c>
      <c r="I2996" t="str">
        <f>IF(Table1[[#This Row],[Profit %]]&gt;20,"Excellent",IF(H2996&gt;10.1,"Good","Low"))</f>
        <v>Good</v>
      </c>
    </row>
    <row r="2997" spans="1:9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 s="2">
        <v>2261</v>
      </c>
      <c r="G2997">
        <v>566.36</v>
      </c>
      <c r="H2997" s="2">
        <f>Table1[[#This Row],[Profit]]/Table1[[#This Row],[Sales]]*100</f>
        <v>25.049093321539139</v>
      </c>
      <c r="I2997" t="str">
        <f>IF(Table1[[#This Row],[Profit %]]&gt;20,"Excellent",IF(H2997&gt;10.1,"Good","Low"))</f>
        <v>Excellent</v>
      </c>
    </row>
    <row r="2998" spans="1:9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 s="2">
        <v>8802</v>
      </c>
      <c r="G2998">
        <v>2519.9299999999998</v>
      </c>
      <c r="H2998" s="2">
        <f>Table1[[#This Row],[Profit]]/Table1[[#This Row],[Sales]]*100</f>
        <v>28.629061576914332</v>
      </c>
      <c r="I2998" t="str">
        <f>IF(Table1[[#This Row],[Profit %]]&gt;20,"Excellent",IF(H2998&gt;10.1,"Good","Low"))</f>
        <v>Excellent</v>
      </c>
    </row>
    <row r="2999" spans="1:9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 s="2">
        <v>3025</v>
      </c>
      <c r="G2999">
        <v>172.43</v>
      </c>
      <c r="H2999" s="2">
        <f>Table1[[#This Row],[Profit]]/Table1[[#This Row],[Sales]]*100</f>
        <v>5.7001652892561978</v>
      </c>
      <c r="I2999" t="str">
        <f>IF(Table1[[#This Row],[Profit %]]&gt;20,"Excellent",IF(H2999&gt;10.1,"Good","Low"))</f>
        <v>Low</v>
      </c>
    </row>
    <row r="3000" spans="1:9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 s="2">
        <v>4428</v>
      </c>
      <c r="G3000">
        <v>600.54999999999995</v>
      </c>
      <c r="H3000" s="2">
        <f>Table1[[#This Row],[Profit]]/Table1[[#This Row],[Sales]]*100</f>
        <v>13.562556458897919</v>
      </c>
      <c r="I3000" t="str">
        <f>IF(Table1[[#This Row],[Profit %]]&gt;20,"Excellent",IF(H3000&gt;10.1,"Good","Low"))</f>
        <v>Good</v>
      </c>
    </row>
    <row r="3001" spans="1:9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 s="2">
        <v>7344</v>
      </c>
      <c r="G3001">
        <v>1417.84</v>
      </c>
      <c r="H3001" s="2">
        <f>Table1[[#This Row],[Profit]]/Table1[[#This Row],[Sales]]*100</f>
        <v>19.306100217864923</v>
      </c>
      <c r="I3001" t="str">
        <f>IF(Table1[[#This Row],[Profit %]]&gt;20,"Excellent",IF(H3001&gt;10.1,"Good","Low"))</f>
        <v>Good</v>
      </c>
    </row>
    <row r="3002" spans="1:9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 s="2">
        <v>2236</v>
      </c>
      <c r="G3002">
        <v>167.78</v>
      </c>
      <c r="H3002" s="2">
        <f>Table1[[#This Row],[Profit]]/Table1[[#This Row],[Sales]]*100</f>
        <v>7.5035778175313057</v>
      </c>
      <c r="I3002" t="str">
        <f>IF(Table1[[#This Row],[Profit %]]&gt;20,"Excellent",IF(H3002&gt;10.1,"Good","Low"))</f>
        <v>Low</v>
      </c>
    </row>
    <row r="3003" spans="1:9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 s="2">
        <v>536</v>
      </c>
      <c r="G3003">
        <v>57.08</v>
      </c>
      <c r="H3003" s="2">
        <f>Table1[[#This Row],[Profit]]/Table1[[#This Row],[Sales]]*100</f>
        <v>10.649253731343283</v>
      </c>
      <c r="I3003" t="str">
        <f>IF(Table1[[#This Row],[Profit %]]&gt;20,"Excellent",IF(H3003&gt;10.1,"Good","Low"))</f>
        <v>Good</v>
      </c>
    </row>
    <row r="3004" spans="1:9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 s="2">
        <v>1980</v>
      </c>
      <c r="G3004">
        <v>249.22</v>
      </c>
      <c r="H3004" s="2">
        <f>Table1[[#This Row],[Profit]]/Table1[[#This Row],[Sales]]*100</f>
        <v>12.586868686868687</v>
      </c>
      <c r="I3004" t="str">
        <f>IF(Table1[[#This Row],[Profit %]]&gt;20,"Excellent",IF(H3004&gt;10.1,"Good","Low"))</f>
        <v>Good</v>
      </c>
    </row>
    <row r="3005" spans="1:9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 s="2">
        <v>2100</v>
      </c>
      <c r="G3005">
        <v>202.86</v>
      </c>
      <c r="H3005" s="2">
        <f>Table1[[#This Row],[Profit]]/Table1[[#This Row],[Sales]]*100</f>
        <v>9.66</v>
      </c>
      <c r="I3005" t="str">
        <f>IF(Table1[[#This Row],[Profit %]]&gt;20,"Excellent",IF(H3005&gt;10.1,"Good","Low"))</f>
        <v>Low</v>
      </c>
    </row>
    <row r="3006" spans="1:9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 s="2">
        <v>1497</v>
      </c>
      <c r="G3006">
        <v>122.76</v>
      </c>
      <c r="H3006" s="2">
        <f>Table1[[#This Row],[Profit]]/Table1[[#This Row],[Sales]]*100</f>
        <v>8.2004008016032071</v>
      </c>
      <c r="I3006" t="str">
        <f>IF(Table1[[#This Row],[Profit %]]&gt;20,"Excellent",IF(H3006&gt;10.1,"Good","Low"))</f>
        <v>Low</v>
      </c>
    </row>
    <row r="3007" spans="1:9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 s="2">
        <v>4200</v>
      </c>
      <c r="G3007">
        <v>1013.7</v>
      </c>
      <c r="H3007" s="2">
        <f>Table1[[#This Row],[Profit]]/Table1[[#This Row],[Sales]]*100</f>
        <v>24.13571428571429</v>
      </c>
      <c r="I3007" t="str">
        <f>IF(Table1[[#This Row],[Profit %]]&gt;20,"Excellent",IF(H3007&gt;10.1,"Good","Low"))</f>
        <v>Excellent</v>
      </c>
    </row>
    <row r="3008" spans="1:9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 s="2">
        <v>1242</v>
      </c>
      <c r="G3008">
        <v>191.82</v>
      </c>
      <c r="H3008" s="2">
        <f>Table1[[#This Row],[Profit]]/Table1[[#This Row],[Sales]]*100</f>
        <v>15.444444444444445</v>
      </c>
      <c r="I3008" t="str">
        <f>IF(Table1[[#This Row],[Profit %]]&gt;20,"Excellent",IF(H3008&gt;10.1,"Good","Low"))</f>
        <v>Good</v>
      </c>
    </row>
    <row r="3009" spans="1:9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 s="2">
        <v>1570</v>
      </c>
      <c r="G3009">
        <v>312.81</v>
      </c>
      <c r="H3009" s="2">
        <f>Table1[[#This Row],[Profit]]/Table1[[#This Row],[Sales]]*100</f>
        <v>19.92420382165605</v>
      </c>
      <c r="I3009" t="str">
        <f>IF(Table1[[#This Row],[Profit %]]&gt;20,"Excellent",IF(H3009&gt;10.1,"Good","Low"))</f>
        <v>Good</v>
      </c>
    </row>
    <row r="3010" spans="1:9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 s="2">
        <v>428</v>
      </c>
      <c r="G3010">
        <v>86.62</v>
      </c>
      <c r="H3010" s="2">
        <f>Table1[[#This Row],[Profit]]/Table1[[#This Row],[Sales]]*100</f>
        <v>20.238317757009348</v>
      </c>
      <c r="I3010" t="str">
        <f>IF(Table1[[#This Row],[Profit %]]&gt;20,"Excellent",IF(H3010&gt;10.1,"Good","Low"))</f>
        <v>Excellent</v>
      </c>
    </row>
    <row r="3011" spans="1:9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 s="2">
        <v>914</v>
      </c>
      <c r="G3011">
        <v>270.74</v>
      </c>
      <c r="H3011" s="2">
        <f>Table1[[#This Row],[Profit]]/Table1[[#This Row],[Sales]]*100</f>
        <v>29.621444201312912</v>
      </c>
      <c r="I3011" t="str">
        <f>IF(Table1[[#This Row],[Profit %]]&gt;20,"Excellent",IF(H3011&gt;10.1,"Good","Low"))</f>
        <v>Excellent</v>
      </c>
    </row>
    <row r="3012" spans="1:9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 s="2">
        <v>465</v>
      </c>
      <c r="G3012">
        <v>98.93</v>
      </c>
      <c r="H3012" s="2">
        <f>Table1[[#This Row],[Profit]]/Table1[[#This Row],[Sales]]*100</f>
        <v>21.275268817204303</v>
      </c>
      <c r="I3012" t="str">
        <f>IF(Table1[[#This Row],[Profit %]]&gt;20,"Excellent",IF(H3012&gt;10.1,"Good","Low"))</f>
        <v>Excellent</v>
      </c>
    </row>
    <row r="3013" spans="1:9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 s="2">
        <v>1062</v>
      </c>
      <c r="G3013">
        <v>83.49</v>
      </c>
      <c r="H3013" s="2">
        <f>Table1[[#This Row],[Profit]]/Table1[[#This Row],[Sales]]*100</f>
        <v>7.8615819209039541</v>
      </c>
      <c r="I3013" t="str">
        <f>IF(Table1[[#This Row],[Profit %]]&gt;20,"Excellent",IF(H3013&gt;10.1,"Good","Low"))</f>
        <v>Low</v>
      </c>
    </row>
    <row r="3014" spans="1:9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 s="2">
        <v>8720</v>
      </c>
      <c r="G3014">
        <v>1984.11</v>
      </c>
      <c r="H3014" s="2">
        <f>Table1[[#This Row],[Profit]]/Table1[[#This Row],[Sales]]*100</f>
        <v>22.753555045871561</v>
      </c>
      <c r="I3014" t="str">
        <f>IF(Table1[[#This Row],[Profit %]]&gt;20,"Excellent",IF(H3014&gt;10.1,"Good","Low"))</f>
        <v>Excellent</v>
      </c>
    </row>
    <row r="3015" spans="1:9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 s="2">
        <v>1308</v>
      </c>
      <c r="G3015">
        <v>343.61</v>
      </c>
      <c r="H3015" s="2">
        <f>Table1[[#This Row],[Profit]]/Table1[[#This Row],[Sales]]*100</f>
        <v>26.269877675840981</v>
      </c>
      <c r="I3015" t="str">
        <f>IF(Table1[[#This Row],[Profit %]]&gt;20,"Excellent",IF(H3015&gt;10.1,"Good","Low"))</f>
        <v>Excellent</v>
      </c>
    </row>
    <row r="3016" spans="1:9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 s="2">
        <v>8514</v>
      </c>
      <c r="G3016">
        <v>1291.97</v>
      </c>
      <c r="H3016" s="2">
        <f>Table1[[#This Row],[Profit]]/Table1[[#This Row],[Sales]]*100</f>
        <v>15.174653511862815</v>
      </c>
      <c r="I3016" t="str">
        <f>IF(Table1[[#This Row],[Profit %]]&gt;20,"Excellent",IF(H3016&gt;10.1,"Good","Low"))</f>
        <v>Good</v>
      </c>
    </row>
    <row r="3017" spans="1:9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 s="2">
        <v>1212</v>
      </c>
      <c r="G3017">
        <v>151.07</v>
      </c>
      <c r="H3017" s="2">
        <f>Table1[[#This Row],[Profit]]/Table1[[#This Row],[Sales]]*100</f>
        <v>12.464521452145213</v>
      </c>
      <c r="I3017" t="str">
        <f>IF(Table1[[#This Row],[Profit %]]&gt;20,"Excellent",IF(H3017&gt;10.1,"Good","Low"))</f>
        <v>Good</v>
      </c>
    </row>
    <row r="3018" spans="1:9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 s="2">
        <v>2576</v>
      </c>
      <c r="G3018">
        <v>503.57</v>
      </c>
      <c r="H3018" s="2">
        <f>Table1[[#This Row],[Profit]]/Table1[[#This Row],[Sales]]*100</f>
        <v>19.548524844720497</v>
      </c>
      <c r="I3018" t="str">
        <f>IF(Table1[[#This Row],[Profit %]]&gt;20,"Excellent",IF(H3018&gt;10.1,"Good","Low"))</f>
        <v>Good</v>
      </c>
    </row>
    <row r="3019" spans="1:9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 s="2">
        <v>4800</v>
      </c>
      <c r="G3019">
        <v>606.19000000000005</v>
      </c>
      <c r="H3019" s="2">
        <f>Table1[[#This Row],[Profit]]/Table1[[#This Row],[Sales]]*100</f>
        <v>12.628958333333335</v>
      </c>
      <c r="I3019" t="str">
        <f>IF(Table1[[#This Row],[Profit %]]&gt;20,"Excellent",IF(H3019&gt;10.1,"Good","Low"))</f>
        <v>Good</v>
      </c>
    </row>
    <row r="3020" spans="1:9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 s="2">
        <v>1440</v>
      </c>
      <c r="G3020">
        <v>274.54000000000002</v>
      </c>
      <c r="H3020" s="2">
        <f>Table1[[#This Row],[Profit]]/Table1[[#This Row],[Sales]]*100</f>
        <v>19.06527777777778</v>
      </c>
      <c r="I3020" t="str">
        <f>IF(Table1[[#This Row],[Profit %]]&gt;20,"Excellent",IF(H3020&gt;10.1,"Good","Low"))</f>
        <v>Good</v>
      </c>
    </row>
    <row r="3021" spans="1:9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 s="2">
        <v>10251</v>
      </c>
      <c r="G3021">
        <v>737.45</v>
      </c>
      <c r="H3021" s="2">
        <f>Table1[[#This Row],[Profit]]/Table1[[#This Row],[Sales]]*100</f>
        <v>7.1939322992878747</v>
      </c>
      <c r="I3021" t="str">
        <f>IF(Table1[[#This Row],[Profit %]]&gt;20,"Excellent",IF(H3021&gt;10.1,"Good","Low"))</f>
        <v>Low</v>
      </c>
    </row>
    <row r="3022" spans="1:9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 s="2">
        <v>3038</v>
      </c>
      <c r="G3022">
        <v>570.98</v>
      </c>
      <c r="H3022" s="2">
        <f>Table1[[#This Row],[Profit]]/Table1[[#This Row],[Sales]]*100</f>
        <v>18.794601711652405</v>
      </c>
      <c r="I3022" t="str">
        <f>IF(Table1[[#This Row],[Profit %]]&gt;20,"Excellent",IF(H3022&gt;10.1,"Good","Low"))</f>
        <v>Good</v>
      </c>
    </row>
    <row r="3023" spans="1:9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 s="2">
        <v>6993</v>
      </c>
      <c r="G3023">
        <v>1945.56</v>
      </c>
      <c r="H3023" s="2">
        <f>Table1[[#This Row],[Profit]]/Table1[[#This Row],[Sales]]*100</f>
        <v>27.821535821535821</v>
      </c>
      <c r="I3023" t="str">
        <f>IF(Table1[[#This Row],[Profit %]]&gt;20,"Excellent",IF(H3023&gt;10.1,"Good","Low"))</f>
        <v>Excellent</v>
      </c>
    </row>
    <row r="3024" spans="1:9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 s="2">
        <v>1632</v>
      </c>
      <c r="G3024">
        <v>247.88</v>
      </c>
      <c r="H3024" s="2">
        <f>Table1[[#This Row],[Profit]]/Table1[[#This Row],[Sales]]*100</f>
        <v>15.188725490196079</v>
      </c>
      <c r="I3024" t="str">
        <f>IF(Table1[[#This Row],[Profit %]]&gt;20,"Excellent",IF(H3024&gt;10.1,"Good","Low"))</f>
        <v>Good</v>
      </c>
    </row>
    <row r="3025" spans="1:9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 s="2">
        <v>5706</v>
      </c>
      <c r="G3025">
        <v>1704.8</v>
      </c>
      <c r="H3025" s="2">
        <f>Table1[[#This Row],[Profit]]/Table1[[#This Row],[Sales]]*100</f>
        <v>29.877322117069749</v>
      </c>
      <c r="I3025" t="str">
        <f>IF(Table1[[#This Row],[Profit %]]&gt;20,"Excellent",IF(H3025&gt;10.1,"Good","Low"))</f>
        <v>Excellent</v>
      </c>
    </row>
    <row r="3026" spans="1:9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 s="2">
        <v>9657</v>
      </c>
      <c r="G3026">
        <v>1187.22</v>
      </c>
      <c r="H3026" s="2">
        <f>Table1[[#This Row],[Profit]]/Table1[[#This Row],[Sales]]*100</f>
        <v>12.293880086983537</v>
      </c>
      <c r="I3026" t="str">
        <f>IF(Table1[[#This Row],[Profit %]]&gt;20,"Excellent",IF(H3026&gt;10.1,"Good","Low"))</f>
        <v>Good</v>
      </c>
    </row>
    <row r="3027" spans="1:9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 s="2">
        <v>4405</v>
      </c>
      <c r="G3027">
        <v>450.83</v>
      </c>
      <c r="H3027" s="2">
        <f>Table1[[#This Row],[Profit]]/Table1[[#This Row],[Sales]]*100</f>
        <v>10.234506242905789</v>
      </c>
      <c r="I3027" t="str">
        <f>IF(Table1[[#This Row],[Profit %]]&gt;20,"Excellent",IF(H3027&gt;10.1,"Good","Low"))</f>
        <v>Good</v>
      </c>
    </row>
    <row r="3028" spans="1:9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 s="2">
        <v>1720</v>
      </c>
      <c r="G3028">
        <v>360.78</v>
      </c>
      <c r="H3028" s="2">
        <f>Table1[[#This Row],[Profit]]/Table1[[#This Row],[Sales]]*100</f>
        <v>20.975581395348836</v>
      </c>
      <c r="I3028" t="str">
        <f>IF(Table1[[#This Row],[Profit %]]&gt;20,"Excellent",IF(H3028&gt;10.1,"Good","Low"))</f>
        <v>Excellent</v>
      </c>
    </row>
    <row r="3029" spans="1:9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 s="2">
        <v>4557</v>
      </c>
      <c r="G3029">
        <v>234.62</v>
      </c>
      <c r="H3029" s="2">
        <f>Table1[[#This Row],[Profit]]/Table1[[#This Row],[Sales]]*100</f>
        <v>5.1485626508667979</v>
      </c>
      <c r="I3029" t="str">
        <f>IF(Table1[[#This Row],[Profit %]]&gt;20,"Excellent",IF(H3029&gt;10.1,"Good","Low"))</f>
        <v>Low</v>
      </c>
    </row>
    <row r="3030" spans="1:9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 s="2">
        <v>2380</v>
      </c>
      <c r="G3030">
        <v>431.43</v>
      </c>
      <c r="H3030" s="2">
        <f>Table1[[#This Row],[Profit]]/Table1[[#This Row],[Sales]]*100</f>
        <v>18.127310924369748</v>
      </c>
      <c r="I3030" t="str">
        <f>IF(Table1[[#This Row],[Profit %]]&gt;20,"Excellent",IF(H3030&gt;10.1,"Good","Low"))</f>
        <v>Good</v>
      </c>
    </row>
    <row r="3031" spans="1:9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 s="2">
        <v>456</v>
      </c>
      <c r="G3031">
        <v>74.989999999999995</v>
      </c>
      <c r="H3031" s="2">
        <f>Table1[[#This Row],[Profit]]/Table1[[#This Row],[Sales]]*100</f>
        <v>16.44517543859649</v>
      </c>
      <c r="I3031" t="str">
        <f>IF(Table1[[#This Row],[Profit %]]&gt;20,"Excellent",IF(H3031&gt;10.1,"Good","Low"))</f>
        <v>Good</v>
      </c>
    </row>
    <row r="3032" spans="1:9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 s="2">
        <v>6534</v>
      </c>
      <c r="G3032">
        <v>355.03</v>
      </c>
      <c r="H3032" s="2">
        <f>Table1[[#This Row],[Profit]]/Table1[[#This Row],[Sales]]*100</f>
        <v>5.4335782063054783</v>
      </c>
      <c r="I3032" t="str">
        <f>IF(Table1[[#This Row],[Profit %]]&gt;20,"Excellent",IF(H3032&gt;10.1,"Good","Low"))</f>
        <v>Low</v>
      </c>
    </row>
    <row r="3033" spans="1:9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 s="2">
        <v>3456</v>
      </c>
      <c r="G3033">
        <v>307.45999999999998</v>
      </c>
      <c r="H3033" s="2">
        <f>Table1[[#This Row],[Profit]]/Table1[[#This Row],[Sales]]*100</f>
        <v>8.8964120370370363</v>
      </c>
      <c r="I3033" t="str">
        <f>IF(Table1[[#This Row],[Profit %]]&gt;20,"Excellent",IF(H3033&gt;10.1,"Good","Low"))</f>
        <v>Low</v>
      </c>
    </row>
    <row r="3034" spans="1:9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 s="2">
        <v>8163</v>
      </c>
      <c r="G3034">
        <v>2352.46</v>
      </c>
      <c r="H3034" s="2">
        <f>Table1[[#This Row],[Profit]]/Table1[[#This Row],[Sales]]*100</f>
        <v>28.818571603577116</v>
      </c>
      <c r="I3034" t="str">
        <f>IF(Table1[[#This Row],[Profit %]]&gt;20,"Excellent",IF(H3034&gt;10.1,"Good","Low"))</f>
        <v>Excellent</v>
      </c>
    </row>
    <row r="3035" spans="1:9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 s="2">
        <v>4656</v>
      </c>
      <c r="G3035">
        <v>601.71</v>
      </c>
      <c r="H3035" s="2">
        <f>Table1[[#This Row],[Profit]]/Table1[[#This Row],[Sales]]*100</f>
        <v>12.923324742268042</v>
      </c>
      <c r="I3035" t="str">
        <f>IF(Table1[[#This Row],[Profit %]]&gt;20,"Excellent",IF(H3035&gt;10.1,"Good","Low"))</f>
        <v>Good</v>
      </c>
    </row>
    <row r="3036" spans="1:9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 s="2">
        <v>966</v>
      </c>
      <c r="G3036">
        <v>241.54</v>
      </c>
      <c r="H3036" s="2">
        <f>Table1[[#This Row],[Profit]]/Table1[[#This Row],[Sales]]*100</f>
        <v>25.004140786749478</v>
      </c>
      <c r="I3036" t="str">
        <f>IF(Table1[[#This Row],[Profit %]]&gt;20,"Excellent",IF(H3036&gt;10.1,"Good","Low"))</f>
        <v>Excellent</v>
      </c>
    </row>
    <row r="3037" spans="1:9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 s="2">
        <v>2580</v>
      </c>
      <c r="G3037">
        <v>669.67</v>
      </c>
      <c r="H3037" s="2">
        <f>Table1[[#This Row],[Profit]]/Table1[[#This Row],[Sales]]*100</f>
        <v>25.956201550387597</v>
      </c>
      <c r="I3037" t="str">
        <f>IF(Table1[[#This Row],[Profit %]]&gt;20,"Excellent",IF(H3037&gt;10.1,"Good","Low"))</f>
        <v>Excellent</v>
      </c>
    </row>
    <row r="3038" spans="1:9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 s="2">
        <v>8127</v>
      </c>
      <c r="G3038">
        <v>1906.5</v>
      </c>
      <c r="H3038" s="2">
        <f>Table1[[#This Row],[Profit]]/Table1[[#This Row],[Sales]]*100</f>
        <v>23.458840900701368</v>
      </c>
      <c r="I3038" t="str">
        <f>IF(Table1[[#This Row],[Profit %]]&gt;20,"Excellent",IF(H3038&gt;10.1,"Good","Low"))</f>
        <v>Excellent</v>
      </c>
    </row>
    <row r="3039" spans="1:9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 s="2">
        <v>2128</v>
      </c>
      <c r="G3039">
        <v>614.04999999999995</v>
      </c>
      <c r="H3039" s="2">
        <f>Table1[[#This Row],[Profit]]/Table1[[#This Row],[Sales]]*100</f>
        <v>28.855733082706763</v>
      </c>
      <c r="I3039" t="str">
        <f>IF(Table1[[#This Row],[Profit %]]&gt;20,"Excellent",IF(H3039&gt;10.1,"Good","Low"))</f>
        <v>Excellent</v>
      </c>
    </row>
    <row r="3040" spans="1:9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 s="2">
        <v>6417</v>
      </c>
      <c r="G3040">
        <v>1100.52</v>
      </c>
      <c r="H3040" s="2">
        <f>Table1[[#This Row],[Profit]]/Table1[[#This Row],[Sales]]*100</f>
        <v>17.150070126227209</v>
      </c>
      <c r="I3040" t="str">
        <f>IF(Table1[[#This Row],[Profit %]]&gt;20,"Excellent",IF(H3040&gt;10.1,"Good","Low"))</f>
        <v>Good</v>
      </c>
    </row>
    <row r="3041" spans="1:9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 s="2">
        <v>3997</v>
      </c>
      <c r="G3041">
        <v>494.78</v>
      </c>
      <c r="H3041" s="2">
        <f>Table1[[#This Row],[Profit]]/Table1[[#This Row],[Sales]]*100</f>
        <v>12.378784088066048</v>
      </c>
      <c r="I3041" t="str">
        <f>IF(Table1[[#This Row],[Profit %]]&gt;20,"Excellent",IF(H3041&gt;10.1,"Good","Low"))</f>
        <v>Good</v>
      </c>
    </row>
    <row r="3042" spans="1:9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 s="2">
        <v>879</v>
      </c>
      <c r="G3042">
        <v>149.52000000000001</v>
      </c>
      <c r="H3042" s="2">
        <f>Table1[[#This Row],[Profit]]/Table1[[#This Row],[Sales]]*100</f>
        <v>17.010238907849832</v>
      </c>
      <c r="I3042" t="str">
        <f>IF(Table1[[#This Row],[Profit %]]&gt;20,"Excellent",IF(H3042&gt;10.1,"Good","Low"))</f>
        <v>Good</v>
      </c>
    </row>
    <row r="3043" spans="1:9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 s="2">
        <v>2415</v>
      </c>
      <c r="G3043">
        <v>538.39</v>
      </c>
      <c r="H3043" s="2">
        <f>Table1[[#This Row],[Profit]]/Table1[[#This Row],[Sales]]*100</f>
        <v>22.2935817805383</v>
      </c>
      <c r="I3043" t="str">
        <f>IF(Table1[[#This Row],[Profit %]]&gt;20,"Excellent",IF(H3043&gt;10.1,"Good","Low"))</f>
        <v>Excellent</v>
      </c>
    </row>
    <row r="3044" spans="1:9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 s="2">
        <v>1064</v>
      </c>
      <c r="G3044">
        <v>314.83999999999997</v>
      </c>
      <c r="H3044" s="2">
        <f>Table1[[#This Row],[Profit]]/Table1[[#This Row],[Sales]]*100</f>
        <v>29.590225563909772</v>
      </c>
      <c r="I3044" t="str">
        <f>IF(Table1[[#This Row],[Profit %]]&gt;20,"Excellent",IF(H3044&gt;10.1,"Good","Low"))</f>
        <v>Excellent</v>
      </c>
    </row>
    <row r="3045" spans="1:9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 s="2">
        <v>1156</v>
      </c>
      <c r="G3045">
        <v>326.92</v>
      </c>
      <c r="H3045" s="2">
        <f>Table1[[#This Row],[Profit]]/Table1[[#This Row],[Sales]]*100</f>
        <v>28.280276816608996</v>
      </c>
      <c r="I3045" t="str">
        <f>IF(Table1[[#This Row],[Profit %]]&gt;20,"Excellent",IF(H3045&gt;10.1,"Good","Low"))</f>
        <v>Excellent</v>
      </c>
    </row>
    <row r="3046" spans="1:9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 s="2">
        <v>1184</v>
      </c>
      <c r="G3046">
        <v>218.27</v>
      </c>
      <c r="H3046" s="2">
        <f>Table1[[#This Row],[Profit]]/Table1[[#This Row],[Sales]]*100</f>
        <v>18.434966216216218</v>
      </c>
      <c r="I3046" t="str">
        <f>IF(Table1[[#This Row],[Profit %]]&gt;20,"Excellent",IF(H3046&gt;10.1,"Good","Low"))</f>
        <v>Good</v>
      </c>
    </row>
    <row r="3047" spans="1:9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 s="2">
        <v>1950</v>
      </c>
      <c r="G3047">
        <v>211.16</v>
      </c>
      <c r="H3047" s="2">
        <f>Table1[[#This Row],[Profit]]/Table1[[#This Row],[Sales]]*100</f>
        <v>10.82871794871795</v>
      </c>
      <c r="I3047" t="str">
        <f>IF(Table1[[#This Row],[Profit %]]&gt;20,"Excellent",IF(H3047&gt;10.1,"Good","Low"))</f>
        <v>Good</v>
      </c>
    </row>
    <row r="3048" spans="1:9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 s="2">
        <v>1088</v>
      </c>
      <c r="G3048">
        <v>295.08999999999997</v>
      </c>
      <c r="H3048" s="2">
        <f>Table1[[#This Row],[Profit]]/Table1[[#This Row],[Sales]]*100</f>
        <v>27.122242647058819</v>
      </c>
      <c r="I3048" t="str">
        <f>IF(Table1[[#This Row],[Profit %]]&gt;20,"Excellent",IF(H3048&gt;10.1,"Good","Low"))</f>
        <v>Excellent</v>
      </c>
    </row>
    <row r="3049" spans="1:9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 s="2">
        <v>4380</v>
      </c>
      <c r="G3049">
        <v>522.29999999999995</v>
      </c>
      <c r="H3049" s="2">
        <f>Table1[[#This Row],[Profit]]/Table1[[#This Row],[Sales]]*100</f>
        <v>11.924657534246574</v>
      </c>
      <c r="I3049" t="str">
        <f>IF(Table1[[#This Row],[Profit %]]&gt;20,"Excellent",IF(H3049&gt;10.1,"Good","Low"))</f>
        <v>Good</v>
      </c>
    </row>
    <row r="3050" spans="1:9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 s="2">
        <v>998</v>
      </c>
      <c r="G3050">
        <v>196.17</v>
      </c>
      <c r="H3050" s="2">
        <f>Table1[[#This Row],[Profit]]/Table1[[#This Row],[Sales]]*100</f>
        <v>19.6563126252505</v>
      </c>
      <c r="I3050" t="str">
        <f>IF(Table1[[#This Row],[Profit %]]&gt;20,"Excellent",IF(H3050&gt;10.1,"Good","Low"))</f>
        <v>Good</v>
      </c>
    </row>
    <row r="3051" spans="1:9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 s="2">
        <v>5766</v>
      </c>
      <c r="G3051">
        <v>675.17</v>
      </c>
      <c r="H3051" s="2">
        <f>Table1[[#This Row],[Profit]]/Table1[[#This Row],[Sales]]*100</f>
        <v>11.709503988900451</v>
      </c>
      <c r="I3051" t="str">
        <f>IF(Table1[[#This Row],[Profit %]]&gt;20,"Excellent",IF(H3051&gt;10.1,"Good","Low"))</f>
        <v>Good</v>
      </c>
    </row>
    <row r="3052" spans="1:9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 s="2">
        <v>3120</v>
      </c>
      <c r="G3052">
        <v>274.64999999999998</v>
      </c>
      <c r="H3052" s="2">
        <f>Table1[[#This Row],[Profit]]/Table1[[#This Row],[Sales]]*100</f>
        <v>8.802884615384615</v>
      </c>
      <c r="I3052" t="str">
        <f>IF(Table1[[#This Row],[Profit %]]&gt;20,"Excellent",IF(H3052&gt;10.1,"Good","Low"))</f>
        <v>Low</v>
      </c>
    </row>
    <row r="3053" spans="1:9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 s="2">
        <v>637</v>
      </c>
      <c r="G3053">
        <v>68.11</v>
      </c>
      <c r="H3053" s="2">
        <f>Table1[[#This Row],[Profit]]/Table1[[#This Row],[Sales]]*100</f>
        <v>10.692307692307693</v>
      </c>
      <c r="I3053" t="str">
        <f>IF(Table1[[#This Row],[Profit %]]&gt;20,"Excellent",IF(H3053&gt;10.1,"Good","Low"))</f>
        <v>Good</v>
      </c>
    </row>
    <row r="3054" spans="1:9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 s="2">
        <v>3306</v>
      </c>
      <c r="G3054">
        <v>697.74</v>
      </c>
      <c r="H3054" s="2">
        <f>Table1[[#This Row],[Profit]]/Table1[[#This Row],[Sales]]*100</f>
        <v>21.10526315789474</v>
      </c>
      <c r="I3054" t="str">
        <f>IF(Table1[[#This Row],[Profit %]]&gt;20,"Excellent",IF(H3054&gt;10.1,"Good","Low"))</f>
        <v>Excellent</v>
      </c>
    </row>
    <row r="3055" spans="1:9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 s="2">
        <v>7020</v>
      </c>
      <c r="G3055">
        <v>726.72</v>
      </c>
      <c r="H3055" s="2">
        <f>Table1[[#This Row],[Profit]]/Table1[[#This Row],[Sales]]*100</f>
        <v>10.352136752136753</v>
      </c>
      <c r="I3055" t="str">
        <f>IF(Table1[[#This Row],[Profit %]]&gt;20,"Excellent",IF(H3055&gt;10.1,"Good","Low"))</f>
        <v>Good</v>
      </c>
    </row>
    <row r="3056" spans="1:9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 s="2">
        <v>5971</v>
      </c>
      <c r="G3056">
        <v>502.14</v>
      </c>
      <c r="H3056" s="2">
        <f>Table1[[#This Row],[Profit]]/Table1[[#This Row],[Sales]]*100</f>
        <v>8.4096466253558866</v>
      </c>
      <c r="I3056" t="str">
        <f>IF(Table1[[#This Row],[Profit %]]&gt;20,"Excellent",IF(H3056&gt;10.1,"Good","Low"))</f>
        <v>Low</v>
      </c>
    </row>
    <row r="3057" spans="1:9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 s="2">
        <v>750</v>
      </c>
      <c r="G3057">
        <v>77.680000000000007</v>
      </c>
      <c r="H3057" s="2">
        <f>Table1[[#This Row],[Profit]]/Table1[[#This Row],[Sales]]*100</f>
        <v>10.357333333333333</v>
      </c>
      <c r="I3057" t="str">
        <f>IF(Table1[[#This Row],[Profit %]]&gt;20,"Excellent",IF(H3057&gt;10.1,"Good","Low"))</f>
        <v>Good</v>
      </c>
    </row>
    <row r="3058" spans="1:9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 s="2">
        <v>2379</v>
      </c>
      <c r="G3058">
        <v>523</v>
      </c>
      <c r="H3058" s="2">
        <f>Table1[[#This Row],[Profit]]/Table1[[#This Row],[Sales]]*100</f>
        <v>21.984026902059689</v>
      </c>
      <c r="I3058" t="str">
        <f>IF(Table1[[#This Row],[Profit %]]&gt;20,"Excellent",IF(H3058&gt;10.1,"Good","Low"))</f>
        <v>Excellent</v>
      </c>
    </row>
    <row r="3059" spans="1:9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 s="2">
        <v>699</v>
      </c>
      <c r="G3059">
        <v>108.94</v>
      </c>
      <c r="H3059" s="2">
        <f>Table1[[#This Row],[Profit]]/Table1[[#This Row],[Sales]]*100</f>
        <v>15.585121602288984</v>
      </c>
      <c r="I3059" t="str">
        <f>IF(Table1[[#This Row],[Profit %]]&gt;20,"Excellent",IF(H3059&gt;10.1,"Good","Low"))</f>
        <v>Good</v>
      </c>
    </row>
    <row r="3060" spans="1:9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 s="2">
        <v>6876</v>
      </c>
      <c r="G3060">
        <v>1895.24</v>
      </c>
      <c r="H3060" s="2">
        <f>Table1[[#This Row],[Profit]]/Table1[[#This Row],[Sales]]*100</f>
        <v>27.563118091913903</v>
      </c>
      <c r="I3060" t="str">
        <f>IF(Table1[[#This Row],[Profit %]]&gt;20,"Excellent",IF(H3060&gt;10.1,"Good","Low"))</f>
        <v>Excellent</v>
      </c>
    </row>
    <row r="3061" spans="1:9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 s="2">
        <v>1800</v>
      </c>
      <c r="G3061">
        <v>494.02</v>
      </c>
      <c r="H3061" s="2">
        <f>Table1[[#This Row],[Profit]]/Table1[[#This Row],[Sales]]*100</f>
        <v>27.445555555555558</v>
      </c>
      <c r="I3061" t="str">
        <f>IF(Table1[[#This Row],[Profit %]]&gt;20,"Excellent",IF(H3061&gt;10.1,"Good","Low"))</f>
        <v>Excellent</v>
      </c>
    </row>
    <row r="3062" spans="1:9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 s="2">
        <v>1255</v>
      </c>
      <c r="G3062">
        <v>236.25</v>
      </c>
      <c r="H3062" s="2">
        <f>Table1[[#This Row],[Profit]]/Table1[[#This Row],[Sales]]*100</f>
        <v>18.824701195219124</v>
      </c>
      <c r="I3062" t="str">
        <f>IF(Table1[[#This Row],[Profit %]]&gt;20,"Excellent",IF(H3062&gt;10.1,"Good","Low"))</f>
        <v>Good</v>
      </c>
    </row>
    <row r="3063" spans="1:9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 s="2">
        <v>1998</v>
      </c>
      <c r="G3063">
        <v>343.58</v>
      </c>
      <c r="H3063" s="2">
        <f>Table1[[#This Row],[Profit]]/Table1[[#This Row],[Sales]]*100</f>
        <v>17.196196196196194</v>
      </c>
      <c r="I3063" t="str">
        <f>IF(Table1[[#This Row],[Profit %]]&gt;20,"Excellent",IF(H3063&gt;10.1,"Good","Low"))</f>
        <v>Good</v>
      </c>
    </row>
    <row r="3064" spans="1:9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 s="2">
        <v>307</v>
      </c>
      <c r="G3064">
        <v>80.19</v>
      </c>
      <c r="H3064" s="2">
        <f>Table1[[#This Row],[Profit]]/Table1[[#This Row],[Sales]]*100</f>
        <v>26.120521172638433</v>
      </c>
      <c r="I3064" t="str">
        <f>IF(Table1[[#This Row],[Profit %]]&gt;20,"Excellent",IF(H3064&gt;10.1,"Good","Low"))</f>
        <v>Excellent</v>
      </c>
    </row>
    <row r="3065" spans="1:9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 s="2">
        <v>235</v>
      </c>
      <c r="G3065">
        <v>54.87</v>
      </c>
      <c r="H3065" s="2">
        <f>Table1[[#This Row],[Profit]]/Table1[[#This Row],[Sales]]*100</f>
        <v>23.348936170212763</v>
      </c>
      <c r="I3065" t="str">
        <f>IF(Table1[[#This Row],[Profit %]]&gt;20,"Excellent",IF(H3065&gt;10.1,"Good","Low"))</f>
        <v>Excellent</v>
      </c>
    </row>
    <row r="3066" spans="1:9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 s="2">
        <v>1506</v>
      </c>
      <c r="G3066">
        <v>407.73</v>
      </c>
      <c r="H3066" s="2">
        <f>Table1[[#This Row],[Profit]]/Table1[[#This Row],[Sales]]*100</f>
        <v>27.073705179282868</v>
      </c>
      <c r="I3066" t="str">
        <f>IF(Table1[[#This Row],[Profit %]]&gt;20,"Excellent",IF(H3066&gt;10.1,"Good","Low"))</f>
        <v>Excellent</v>
      </c>
    </row>
    <row r="3067" spans="1:9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 s="2">
        <v>2464</v>
      </c>
      <c r="G3067">
        <v>216.51</v>
      </c>
      <c r="H3067" s="2">
        <f>Table1[[#This Row],[Profit]]/Table1[[#This Row],[Sales]]*100</f>
        <v>8.7869318181818166</v>
      </c>
      <c r="I3067" t="str">
        <f>IF(Table1[[#This Row],[Profit %]]&gt;20,"Excellent",IF(H3067&gt;10.1,"Good","Low"))</f>
        <v>Low</v>
      </c>
    </row>
    <row r="3068" spans="1:9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 s="2">
        <v>322</v>
      </c>
      <c r="G3068">
        <v>42.03</v>
      </c>
      <c r="H3068" s="2">
        <f>Table1[[#This Row],[Profit]]/Table1[[#This Row],[Sales]]*100</f>
        <v>13.052795031055901</v>
      </c>
      <c r="I3068" t="str">
        <f>IF(Table1[[#This Row],[Profit %]]&gt;20,"Excellent",IF(H3068&gt;10.1,"Good","Low"))</f>
        <v>Good</v>
      </c>
    </row>
    <row r="3069" spans="1:9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 s="2">
        <v>1100</v>
      </c>
      <c r="G3069">
        <v>100.02</v>
      </c>
      <c r="H3069" s="2">
        <f>Table1[[#This Row],[Profit]]/Table1[[#This Row],[Sales]]*100</f>
        <v>9.0927272727272719</v>
      </c>
      <c r="I3069" t="str">
        <f>IF(Table1[[#This Row],[Profit %]]&gt;20,"Excellent",IF(H3069&gt;10.1,"Good","Low"))</f>
        <v>Low</v>
      </c>
    </row>
    <row r="3070" spans="1:9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 s="2">
        <v>2188</v>
      </c>
      <c r="G3070">
        <v>265.54000000000002</v>
      </c>
      <c r="H3070" s="2">
        <f>Table1[[#This Row],[Profit]]/Table1[[#This Row],[Sales]]*100</f>
        <v>12.136197440585009</v>
      </c>
      <c r="I3070" t="str">
        <f>IF(Table1[[#This Row],[Profit %]]&gt;20,"Excellent",IF(H3070&gt;10.1,"Good","Low"))</f>
        <v>Good</v>
      </c>
    </row>
    <row r="3071" spans="1:9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 s="2">
        <v>2934</v>
      </c>
      <c r="G3071">
        <v>473.34</v>
      </c>
      <c r="H3071" s="2">
        <f>Table1[[#This Row],[Profit]]/Table1[[#This Row],[Sales]]*100</f>
        <v>16.132924335378323</v>
      </c>
      <c r="I3071" t="str">
        <f>IF(Table1[[#This Row],[Profit %]]&gt;20,"Excellent",IF(H3071&gt;10.1,"Good","Low"))</f>
        <v>Good</v>
      </c>
    </row>
    <row r="3072" spans="1:9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 s="2">
        <v>9224</v>
      </c>
      <c r="G3072">
        <v>514.05999999999995</v>
      </c>
      <c r="H3072" s="2">
        <f>Table1[[#This Row],[Profit]]/Table1[[#This Row],[Sales]]*100</f>
        <v>5.5730702515177786</v>
      </c>
      <c r="I3072" t="str">
        <f>IF(Table1[[#This Row],[Profit %]]&gt;20,"Excellent",IF(H3072&gt;10.1,"Good","Low"))</f>
        <v>Low</v>
      </c>
    </row>
    <row r="3073" spans="1:9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 s="2">
        <v>2436</v>
      </c>
      <c r="G3073">
        <v>142.81</v>
      </c>
      <c r="H3073" s="2">
        <f>Table1[[#This Row],[Profit]]/Table1[[#This Row],[Sales]]*100</f>
        <v>5.8624794745484401</v>
      </c>
      <c r="I3073" t="str">
        <f>IF(Table1[[#This Row],[Profit %]]&gt;20,"Excellent",IF(H3073&gt;10.1,"Good","Low"))</f>
        <v>Low</v>
      </c>
    </row>
    <row r="3074" spans="1:9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 s="2">
        <v>972</v>
      </c>
      <c r="G3074">
        <v>97.55</v>
      </c>
      <c r="H3074" s="2">
        <f>Table1[[#This Row],[Profit]]/Table1[[#This Row],[Sales]]*100</f>
        <v>10.036008230452675</v>
      </c>
      <c r="I3074" t="str">
        <f>IF(Table1[[#This Row],[Profit %]]&gt;20,"Excellent",IF(H3074&gt;10.1,"Good","Low"))</f>
        <v>Low</v>
      </c>
    </row>
    <row r="3075" spans="1:9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 s="2">
        <v>5484</v>
      </c>
      <c r="G3075">
        <v>540.4</v>
      </c>
      <c r="H3075" s="2">
        <f>Table1[[#This Row],[Profit]]/Table1[[#This Row],[Sales]]*100</f>
        <v>9.8541210795040115</v>
      </c>
      <c r="I3075" t="str">
        <f>IF(Table1[[#This Row],[Profit %]]&gt;20,"Excellent",IF(H3075&gt;10.1,"Good","Low"))</f>
        <v>Low</v>
      </c>
    </row>
    <row r="3076" spans="1:9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 s="2">
        <v>3152</v>
      </c>
      <c r="G3076">
        <v>337.36</v>
      </c>
      <c r="H3076" s="2">
        <f>Table1[[#This Row],[Profit]]/Table1[[#This Row],[Sales]]*100</f>
        <v>10.703045685279189</v>
      </c>
      <c r="I3076" t="str">
        <f>IF(Table1[[#This Row],[Profit %]]&gt;20,"Excellent",IF(H3076&gt;10.1,"Good","Low"))</f>
        <v>Good</v>
      </c>
    </row>
    <row r="3077" spans="1:9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 s="2">
        <v>6032</v>
      </c>
      <c r="G3077">
        <v>870.17</v>
      </c>
      <c r="H3077" s="2">
        <f>Table1[[#This Row],[Profit]]/Table1[[#This Row],[Sales]]*100</f>
        <v>14.425895225464192</v>
      </c>
      <c r="I3077" t="str">
        <f>IF(Table1[[#This Row],[Profit %]]&gt;20,"Excellent",IF(H3077&gt;10.1,"Good","Low"))</f>
        <v>Good</v>
      </c>
    </row>
    <row r="3078" spans="1:9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 s="2">
        <v>6384</v>
      </c>
      <c r="G3078">
        <v>1324.49</v>
      </c>
      <c r="H3078" s="2">
        <f>Table1[[#This Row],[Profit]]/Table1[[#This Row],[Sales]]*100</f>
        <v>20.74702380952381</v>
      </c>
      <c r="I3078" t="str">
        <f>IF(Table1[[#This Row],[Profit %]]&gt;20,"Excellent",IF(H3078&gt;10.1,"Good","Low"))</f>
        <v>Excellent</v>
      </c>
    </row>
    <row r="3079" spans="1:9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 s="2">
        <v>3705</v>
      </c>
      <c r="G3079">
        <v>707.08</v>
      </c>
      <c r="H3079" s="2">
        <f>Table1[[#This Row],[Profit]]/Table1[[#This Row],[Sales]]*100</f>
        <v>19.084480431848856</v>
      </c>
      <c r="I3079" t="str">
        <f>IF(Table1[[#This Row],[Profit %]]&gt;20,"Excellent",IF(H3079&gt;10.1,"Good","Low"))</f>
        <v>Good</v>
      </c>
    </row>
    <row r="3080" spans="1:9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 s="2">
        <v>5580</v>
      </c>
      <c r="G3080">
        <v>394.03</v>
      </c>
      <c r="H3080" s="2">
        <f>Table1[[#This Row],[Profit]]/Table1[[#This Row],[Sales]]*100</f>
        <v>7.0614695340501781</v>
      </c>
      <c r="I3080" t="str">
        <f>IF(Table1[[#This Row],[Profit %]]&gt;20,"Excellent",IF(H3080&gt;10.1,"Good","Low"))</f>
        <v>Low</v>
      </c>
    </row>
    <row r="3081" spans="1:9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 s="2">
        <v>1236</v>
      </c>
      <c r="G3081">
        <v>120.74</v>
      </c>
      <c r="H3081" s="2">
        <f>Table1[[#This Row],[Profit]]/Table1[[#This Row],[Sales]]*100</f>
        <v>9.7686084142394822</v>
      </c>
      <c r="I3081" t="str">
        <f>IF(Table1[[#This Row],[Profit %]]&gt;20,"Excellent",IF(H3081&gt;10.1,"Good","Low"))</f>
        <v>Low</v>
      </c>
    </row>
    <row r="3082" spans="1:9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 s="2">
        <v>7040</v>
      </c>
      <c r="G3082">
        <v>1969.93</v>
      </c>
      <c r="H3082" s="2">
        <f>Table1[[#This Row],[Profit]]/Table1[[#This Row],[Sales]]*100</f>
        <v>27.981960227272729</v>
      </c>
      <c r="I3082" t="str">
        <f>IF(Table1[[#This Row],[Profit %]]&gt;20,"Excellent",IF(H3082&gt;10.1,"Good","Low"))</f>
        <v>Excellent</v>
      </c>
    </row>
    <row r="3083" spans="1:9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 s="2">
        <v>909</v>
      </c>
      <c r="G3083">
        <v>138.04</v>
      </c>
      <c r="H3083" s="2">
        <f>Table1[[#This Row],[Profit]]/Table1[[#This Row],[Sales]]*100</f>
        <v>15.185918591859185</v>
      </c>
      <c r="I3083" t="str">
        <f>IF(Table1[[#This Row],[Profit %]]&gt;20,"Excellent",IF(H3083&gt;10.1,"Good","Low"))</f>
        <v>Good</v>
      </c>
    </row>
    <row r="3084" spans="1:9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 s="2">
        <v>106</v>
      </c>
      <c r="G3084">
        <v>7.24</v>
      </c>
      <c r="H3084" s="2">
        <f>Table1[[#This Row],[Profit]]/Table1[[#This Row],[Sales]]*100</f>
        <v>6.8301886792452828</v>
      </c>
      <c r="I3084" t="str">
        <f>IF(Table1[[#This Row],[Profit %]]&gt;20,"Excellent",IF(H3084&gt;10.1,"Good","Low"))</f>
        <v>Low</v>
      </c>
    </row>
    <row r="3085" spans="1:9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 s="2">
        <v>281</v>
      </c>
      <c r="G3085">
        <v>67.849999999999994</v>
      </c>
      <c r="H3085" s="2">
        <f>Table1[[#This Row],[Profit]]/Table1[[#This Row],[Sales]]*100</f>
        <v>24.145907473309606</v>
      </c>
      <c r="I3085" t="str">
        <f>IF(Table1[[#This Row],[Profit %]]&gt;20,"Excellent",IF(H3085&gt;10.1,"Good","Low"))</f>
        <v>Excellent</v>
      </c>
    </row>
    <row r="3086" spans="1:9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 s="2">
        <v>6768</v>
      </c>
      <c r="G3086">
        <v>1851.01</v>
      </c>
      <c r="H3086" s="2">
        <f>Table1[[#This Row],[Profit]]/Table1[[#This Row],[Sales]]*100</f>
        <v>27.34943853427896</v>
      </c>
      <c r="I3086" t="str">
        <f>IF(Table1[[#This Row],[Profit %]]&gt;20,"Excellent",IF(H3086&gt;10.1,"Good","Low"))</f>
        <v>Excellent</v>
      </c>
    </row>
    <row r="3087" spans="1:9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 s="2">
        <v>4302</v>
      </c>
      <c r="G3087">
        <v>276.35000000000002</v>
      </c>
      <c r="H3087" s="2">
        <f>Table1[[#This Row],[Profit]]/Table1[[#This Row],[Sales]]*100</f>
        <v>6.4237563923756404</v>
      </c>
      <c r="I3087" t="str">
        <f>IF(Table1[[#This Row],[Profit %]]&gt;20,"Excellent",IF(H3087&gt;10.1,"Good","Low"))</f>
        <v>Low</v>
      </c>
    </row>
    <row r="3088" spans="1:9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 s="2">
        <v>7146</v>
      </c>
      <c r="G3088">
        <v>2125.44</v>
      </c>
      <c r="H3088" s="2">
        <f>Table1[[#This Row],[Profit]]/Table1[[#This Row],[Sales]]*100</f>
        <v>29.743073047858942</v>
      </c>
      <c r="I3088" t="str">
        <f>IF(Table1[[#This Row],[Profit %]]&gt;20,"Excellent",IF(H3088&gt;10.1,"Good","Low"))</f>
        <v>Excellent</v>
      </c>
    </row>
    <row r="3089" spans="1:9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 s="2">
        <v>582</v>
      </c>
      <c r="G3089">
        <v>48.08</v>
      </c>
      <c r="H3089" s="2">
        <f>Table1[[#This Row],[Profit]]/Table1[[#This Row],[Sales]]*100</f>
        <v>8.2611683848797242</v>
      </c>
      <c r="I3089" t="str">
        <f>IF(Table1[[#This Row],[Profit %]]&gt;20,"Excellent",IF(H3089&gt;10.1,"Good","Low"))</f>
        <v>Low</v>
      </c>
    </row>
    <row r="3090" spans="1:9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 s="2">
        <v>576</v>
      </c>
      <c r="G3090">
        <v>162.75</v>
      </c>
      <c r="H3090" s="2">
        <f>Table1[[#This Row],[Profit]]/Table1[[#This Row],[Sales]]*100</f>
        <v>28.255208333333332</v>
      </c>
      <c r="I3090" t="str">
        <f>IF(Table1[[#This Row],[Profit %]]&gt;20,"Excellent",IF(H3090&gt;10.1,"Good","Low"))</f>
        <v>Excellent</v>
      </c>
    </row>
    <row r="3091" spans="1:9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 s="2">
        <v>4265</v>
      </c>
      <c r="G3091">
        <v>796.12</v>
      </c>
      <c r="H3091" s="2">
        <f>Table1[[#This Row],[Profit]]/Table1[[#This Row],[Sales]]*100</f>
        <v>18.666354044548651</v>
      </c>
      <c r="I3091" t="str">
        <f>IF(Table1[[#This Row],[Profit %]]&gt;20,"Excellent",IF(H3091&gt;10.1,"Good","Low"))</f>
        <v>Good</v>
      </c>
    </row>
    <row r="3092" spans="1:9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 s="2">
        <v>5368</v>
      </c>
      <c r="G3092">
        <v>333.53</v>
      </c>
      <c r="H3092" s="2">
        <f>Table1[[#This Row],[Profit]]/Table1[[#This Row],[Sales]]*100</f>
        <v>6.2133010432190758</v>
      </c>
      <c r="I3092" t="str">
        <f>IF(Table1[[#This Row],[Profit %]]&gt;20,"Excellent",IF(H3092&gt;10.1,"Good","Low"))</f>
        <v>Low</v>
      </c>
    </row>
    <row r="3093" spans="1:9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 s="2">
        <v>314</v>
      </c>
      <c r="G3093">
        <v>66.23</v>
      </c>
      <c r="H3093" s="2">
        <f>Table1[[#This Row],[Profit]]/Table1[[#This Row],[Sales]]*100</f>
        <v>21.092356687898089</v>
      </c>
      <c r="I3093" t="str">
        <f>IF(Table1[[#This Row],[Profit %]]&gt;20,"Excellent",IF(H3093&gt;10.1,"Good","Low"))</f>
        <v>Excellent</v>
      </c>
    </row>
    <row r="3094" spans="1:9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 s="2">
        <v>2676</v>
      </c>
      <c r="G3094">
        <v>646.70000000000005</v>
      </c>
      <c r="H3094" s="2">
        <f>Table1[[#This Row],[Profit]]/Table1[[#This Row],[Sales]]*100</f>
        <v>24.166666666666671</v>
      </c>
      <c r="I3094" t="str">
        <f>IF(Table1[[#This Row],[Profit %]]&gt;20,"Excellent",IF(H3094&gt;10.1,"Good","Low"))</f>
        <v>Excellent</v>
      </c>
    </row>
    <row r="3095" spans="1:9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 s="2">
        <v>3384</v>
      </c>
      <c r="G3095">
        <v>947.52</v>
      </c>
      <c r="H3095" s="2">
        <f>Table1[[#This Row],[Profit]]/Table1[[#This Row],[Sales]]*100</f>
        <v>27.999999999999996</v>
      </c>
      <c r="I3095" t="str">
        <f>IF(Table1[[#This Row],[Profit %]]&gt;20,"Excellent",IF(H3095&gt;10.1,"Good","Low"))</f>
        <v>Excellent</v>
      </c>
    </row>
    <row r="3096" spans="1:9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 s="2">
        <v>3186</v>
      </c>
      <c r="G3096">
        <v>794.94</v>
      </c>
      <c r="H3096" s="2">
        <f>Table1[[#This Row],[Profit]]/Table1[[#This Row],[Sales]]*100</f>
        <v>24.95103578154426</v>
      </c>
      <c r="I3096" t="str">
        <f>IF(Table1[[#This Row],[Profit %]]&gt;20,"Excellent",IF(H3096&gt;10.1,"Good","Low"))</f>
        <v>Excellent</v>
      </c>
    </row>
    <row r="3097" spans="1:9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 s="2">
        <v>1832</v>
      </c>
      <c r="G3097">
        <v>528.69000000000005</v>
      </c>
      <c r="H3097" s="2">
        <f>Table1[[#This Row],[Profit]]/Table1[[#This Row],[Sales]]*100</f>
        <v>28.858624454148472</v>
      </c>
      <c r="I3097" t="str">
        <f>IF(Table1[[#This Row],[Profit %]]&gt;20,"Excellent",IF(H3097&gt;10.1,"Good","Low"))</f>
        <v>Excellent</v>
      </c>
    </row>
    <row r="3098" spans="1:9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 s="2">
        <v>4784</v>
      </c>
      <c r="G3098">
        <v>769.91</v>
      </c>
      <c r="H3098" s="2">
        <f>Table1[[#This Row],[Profit]]/Table1[[#This Row],[Sales]]*100</f>
        <v>16.093436454849495</v>
      </c>
      <c r="I3098" t="str">
        <f>IF(Table1[[#This Row],[Profit %]]&gt;20,"Excellent",IF(H3098&gt;10.1,"Good","Low"))</f>
        <v>Good</v>
      </c>
    </row>
    <row r="3099" spans="1:9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 s="2">
        <v>381</v>
      </c>
      <c r="G3099">
        <v>63.18</v>
      </c>
      <c r="H3099" s="2">
        <f>Table1[[#This Row],[Profit]]/Table1[[#This Row],[Sales]]*100</f>
        <v>16.582677165354333</v>
      </c>
      <c r="I3099" t="str">
        <f>IF(Table1[[#This Row],[Profit %]]&gt;20,"Excellent",IF(H3099&gt;10.1,"Good","Low"))</f>
        <v>Good</v>
      </c>
    </row>
    <row r="3100" spans="1:9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 s="2">
        <v>4527</v>
      </c>
      <c r="G3100">
        <v>677.34</v>
      </c>
      <c r="H3100" s="2">
        <f>Table1[[#This Row],[Profit]]/Table1[[#This Row],[Sales]]*100</f>
        <v>14.962226640159045</v>
      </c>
      <c r="I3100" t="str">
        <f>IF(Table1[[#This Row],[Profit %]]&gt;20,"Excellent",IF(H3100&gt;10.1,"Good","Low"))</f>
        <v>Good</v>
      </c>
    </row>
    <row r="3101" spans="1:9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 s="2">
        <v>1612</v>
      </c>
      <c r="G3101">
        <v>240.42</v>
      </c>
      <c r="H3101" s="2">
        <f>Table1[[#This Row],[Profit]]/Table1[[#This Row],[Sales]]*100</f>
        <v>14.91439205955335</v>
      </c>
      <c r="I3101" t="str">
        <f>IF(Table1[[#This Row],[Profit %]]&gt;20,"Excellent",IF(H3101&gt;10.1,"Good","Low"))</f>
        <v>Good</v>
      </c>
    </row>
    <row r="3102" spans="1:9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 s="2">
        <v>1918</v>
      </c>
      <c r="G3102">
        <v>435.56</v>
      </c>
      <c r="H3102" s="2">
        <f>Table1[[#This Row],[Profit]]/Table1[[#This Row],[Sales]]*100</f>
        <v>22.709071949947862</v>
      </c>
      <c r="I3102" t="str">
        <f>IF(Table1[[#This Row],[Profit %]]&gt;20,"Excellent",IF(H3102&gt;10.1,"Good","Low"))</f>
        <v>Excellent</v>
      </c>
    </row>
    <row r="3103" spans="1:9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 s="2">
        <v>179</v>
      </c>
      <c r="G3103">
        <v>42.37</v>
      </c>
      <c r="H3103" s="2">
        <f>Table1[[#This Row],[Profit]]/Table1[[#This Row],[Sales]]*100</f>
        <v>23.670391061452513</v>
      </c>
      <c r="I3103" t="str">
        <f>IF(Table1[[#This Row],[Profit %]]&gt;20,"Excellent",IF(H3103&gt;10.1,"Good","Low"))</f>
        <v>Excellent</v>
      </c>
    </row>
    <row r="3104" spans="1:9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 s="2">
        <v>3153</v>
      </c>
      <c r="G3104">
        <v>224.29</v>
      </c>
      <c r="H3104" s="2">
        <f>Table1[[#This Row],[Profit]]/Table1[[#This Row],[Sales]]*100</f>
        <v>7.113542657786236</v>
      </c>
      <c r="I3104" t="str">
        <f>IF(Table1[[#This Row],[Profit %]]&gt;20,"Excellent",IF(H3104&gt;10.1,"Good","Low"))</f>
        <v>Low</v>
      </c>
    </row>
    <row r="3105" spans="1:9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 s="2">
        <v>3864</v>
      </c>
      <c r="G3105">
        <v>855.75</v>
      </c>
      <c r="H3105" s="2">
        <f>Table1[[#This Row],[Profit]]/Table1[[#This Row],[Sales]]*100</f>
        <v>22.146739130434785</v>
      </c>
      <c r="I3105" t="str">
        <f>IF(Table1[[#This Row],[Profit %]]&gt;20,"Excellent",IF(H3105&gt;10.1,"Good","Low"))</f>
        <v>Excellent</v>
      </c>
    </row>
    <row r="3106" spans="1:9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 s="2">
        <v>2440</v>
      </c>
      <c r="G3106">
        <v>570.78</v>
      </c>
      <c r="H3106" s="2">
        <f>Table1[[#This Row],[Profit]]/Table1[[#This Row],[Sales]]*100</f>
        <v>23.392622950819671</v>
      </c>
      <c r="I3106" t="str">
        <f>IF(Table1[[#This Row],[Profit %]]&gt;20,"Excellent",IF(H3106&gt;10.1,"Good","Low"))</f>
        <v>Excellent</v>
      </c>
    </row>
    <row r="3107" spans="1:9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 s="2">
        <v>3660</v>
      </c>
      <c r="G3107">
        <v>675.38</v>
      </c>
      <c r="H3107" s="2">
        <f>Table1[[#This Row],[Profit]]/Table1[[#This Row],[Sales]]*100</f>
        <v>18.453005464480874</v>
      </c>
      <c r="I3107" t="str">
        <f>IF(Table1[[#This Row],[Profit %]]&gt;20,"Excellent",IF(H3107&gt;10.1,"Good","Low"))</f>
        <v>Good</v>
      </c>
    </row>
    <row r="3108" spans="1:9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 s="2">
        <v>318</v>
      </c>
      <c r="G3108">
        <v>49.93</v>
      </c>
      <c r="H3108" s="2">
        <f>Table1[[#This Row],[Profit]]/Table1[[#This Row],[Sales]]*100</f>
        <v>15.70125786163522</v>
      </c>
      <c r="I3108" t="str">
        <f>IF(Table1[[#This Row],[Profit %]]&gt;20,"Excellent",IF(H3108&gt;10.1,"Good","Low"))</f>
        <v>Good</v>
      </c>
    </row>
    <row r="3109" spans="1:9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 s="2">
        <v>483</v>
      </c>
      <c r="G3109">
        <v>63.27</v>
      </c>
      <c r="H3109" s="2">
        <f>Table1[[#This Row],[Profit]]/Table1[[#This Row],[Sales]]*100</f>
        <v>13.099378881987578</v>
      </c>
      <c r="I3109" t="str">
        <f>IF(Table1[[#This Row],[Profit %]]&gt;20,"Excellent",IF(H3109&gt;10.1,"Good","Low"))</f>
        <v>Good</v>
      </c>
    </row>
    <row r="3110" spans="1:9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 s="2">
        <v>6774</v>
      </c>
      <c r="G3110">
        <v>960.41</v>
      </c>
      <c r="H3110" s="2">
        <f>Table1[[#This Row],[Profit]]/Table1[[#This Row],[Sales]]*100</f>
        <v>14.177886034839091</v>
      </c>
      <c r="I3110" t="str">
        <f>IF(Table1[[#This Row],[Profit %]]&gt;20,"Excellent",IF(H3110&gt;10.1,"Good","Low"))</f>
        <v>Good</v>
      </c>
    </row>
    <row r="3111" spans="1:9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 s="2">
        <v>5310</v>
      </c>
      <c r="G3111">
        <v>806.12</v>
      </c>
      <c r="H3111" s="2">
        <f>Table1[[#This Row],[Profit]]/Table1[[#This Row],[Sales]]*100</f>
        <v>15.181167608286254</v>
      </c>
      <c r="I3111" t="str">
        <f>IF(Table1[[#This Row],[Profit %]]&gt;20,"Excellent",IF(H3111&gt;10.1,"Good","Low"))</f>
        <v>Good</v>
      </c>
    </row>
    <row r="3112" spans="1:9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 s="2">
        <v>5154</v>
      </c>
      <c r="G3112">
        <v>779.43</v>
      </c>
      <c r="H3112" s="2">
        <f>Table1[[#This Row],[Profit]]/Table1[[#This Row],[Sales]]*100</f>
        <v>15.122817229336436</v>
      </c>
      <c r="I3112" t="str">
        <f>IF(Table1[[#This Row],[Profit %]]&gt;20,"Excellent",IF(H3112&gt;10.1,"Good","Low"))</f>
        <v>Good</v>
      </c>
    </row>
    <row r="3113" spans="1:9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 s="2">
        <v>6741</v>
      </c>
      <c r="G3113">
        <v>823.17</v>
      </c>
      <c r="H3113" s="2">
        <f>Table1[[#This Row],[Profit]]/Table1[[#This Row],[Sales]]*100</f>
        <v>12.211392968402315</v>
      </c>
      <c r="I3113" t="str">
        <f>IF(Table1[[#This Row],[Profit %]]&gt;20,"Excellent",IF(H3113&gt;10.1,"Good","Low"))</f>
        <v>Good</v>
      </c>
    </row>
    <row r="3114" spans="1:9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 s="2">
        <v>520</v>
      </c>
      <c r="G3114">
        <v>61.33</v>
      </c>
      <c r="H3114" s="2">
        <f>Table1[[#This Row],[Profit]]/Table1[[#This Row],[Sales]]*100</f>
        <v>11.794230769230769</v>
      </c>
      <c r="I3114" t="str">
        <f>IF(Table1[[#This Row],[Profit %]]&gt;20,"Excellent",IF(H3114&gt;10.1,"Good","Low"))</f>
        <v>Good</v>
      </c>
    </row>
    <row r="3115" spans="1:9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 s="2">
        <v>1120</v>
      </c>
      <c r="G3115">
        <v>111.79</v>
      </c>
      <c r="H3115" s="2">
        <f>Table1[[#This Row],[Profit]]/Table1[[#This Row],[Sales]]*100</f>
        <v>9.9812500000000011</v>
      </c>
      <c r="I3115" t="str">
        <f>IF(Table1[[#This Row],[Profit %]]&gt;20,"Excellent",IF(H3115&gt;10.1,"Good","Low"))</f>
        <v>Low</v>
      </c>
    </row>
    <row r="3116" spans="1:9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 s="2">
        <v>911</v>
      </c>
      <c r="G3116">
        <v>155.30000000000001</v>
      </c>
      <c r="H3116" s="2">
        <f>Table1[[#This Row],[Profit]]/Table1[[#This Row],[Sales]]*100</f>
        <v>17.047200878155873</v>
      </c>
      <c r="I3116" t="str">
        <f>IF(Table1[[#This Row],[Profit %]]&gt;20,"Excellent",IF(H3116&gt;10.1,"Good","Low"))</f>
        <v>Good</v>
      </c>
    </row>
    <row r="3117" spans="1:9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 s="2">
        <v>1064</v>
      </c>
      <c r="G3117">
        <v>190.73</v>
      </c>
      <c r="H3117" s="2">
        <f>Table1[[#This Row],[Profit]]/Table1[[#This Row],[Sales]]*100</f>
        <v>17.925751879699249</v>
      </c>
      <c r="I3117" t="str">
        <f>IF(Table1[[#This Row],[Profit %]]&gt;20,"Excellent",IF(H3117&gt;10.1,"Good","Low"))</f>
        <v>Good</v>
      </c>
    </row>
    <row r="3118" spans="1:9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 s="2">
        <v>1981</v>
      </c>
      <c r="G3118">
        <v>404.3</v>
      </c>
      <c r="H3118" s="2">
        <f>Table1[[#This Row],[Profit]]/Table1[[#This Row],[Sales]]*100</f>
        <v>20.408884401817264</v>
      </c>
      <c r="I3118" t="str">
        <f>IF(Table1[[#This Row],[Profit %]]&gt;20,"Excellent",IF(H3118&gt;10.1,"Good","Low"))</f>
        <v>Excellent</v>
      </c>
    </row>
    <row r="3119" spans="1:9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 s="2">
        <v>4280</v>
      </c>
      <c r="G3119">
        <v>540.47</v>
      </c>
      <c r="H3119" s="2">
        <f>Table1[[#This Row],[Profit]]/Table1[[#This Row],[Sales]]*100</f>
        <v>12.627803738317759</v>
      </c>
      <c r="I3119" t="str">
        <f>IF(Table1[[#This Row],[Profit %]]&gt;20,"Excellent",IF(H3119&gt;10.1,"Good","Low"))</f>
        <v>Good</v>
      </c>
    </row>
    <row r="3120" spans="1:9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 s="2">
        <v>5125</v>
      </c>
      <c r="G3120">
        <v>268.39</v>
      </c>
      <c r="H3120" s="2">
        <f>Table1[[#This Row],[Profit]]/Table1[[#This Row],[Sales]]*100</f>
        <v>5.236878048780488</v>
      </c>
      <c r="I3120" t="str">
        <f>IF(Table1[[#This Row],[Profit %]]&gt;20,"Excellent",IF(H3120&gt;10.1,"Good","Low"))</f>
        <v>Low</v>
      </c>
    </row>
    <row r="3121" spans="1:9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 s="2">
        <v>1575</v>
      </c>
      <c r="G3121">
        <v>313.95999999999998</v>
      </c>
      <c r="H3121" s="2">
        <f>Table1[[#This Row],[Profit]]/Table1[[#This Row],[Sales]]*100</f>
        <v>19.933968253968253</v>
      </c>
      <c r="I3121" t="str">
        <f>IF(Table1[[#This Row],[Profit %]]&gt;20,"Excellent",IF(H3121&gt;10.1,"Good","Low"))</f>
        <v>Good</v>
      </c>
    </row>
    <row r="3122" spans="1:9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 s="2">
        <v>9972</v>
      </c>
      <c r="G3122">
        <v>1868.64</v>
      </c>
      <c r="H3122" s="2">
        <f>Table1[[#This Row],[Profit]]/Table1[[#This Row],[Sales]]*100</f>
        <v>18.738868832731651</v>
      </c>
      <c r="I3122" t="str">
        <f>IF(Table1[[#This Row],[Profit %]]&gt;20,"Excellent",IF(H3122&gt;10.1,"Good","Low"))</f>
        <v>Good</v>
      </c>
    </row>
    <row r="3123" spans="1:9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 s="2">
        <v>4576</v>
      </c>
      <c r="G3123">
        <v>900.04</v>
      </c>
      <c r="H3123" s="2">
        <f>Table1[[#This Row],[Profit]]/Table1[[#This Row],[Sales]]*100</f>
        <v>19.668706293706293</v>
      </c>
      <c r="I3123" t="str">
        <f>IF(Table1[[#This Row],[Profit %]]&gt;20,"Excellent",IF(H3123&gt;10.1,"Good","Low"))</f>
        <v>Good</v>
      </c>
    </row>
    <row r="3124" spans="1:9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 s="2">
        <v>6559</v>
      </c>
      <c r="G3124">
        <v>1141.32</v>
      </c>
      <c r="H3124" s="2">
        <f>Table1[[#This Row],[Profit]]/Table1[[#This Row],[Sales]]*100</f>
        <v>17.400823296234179</v>
      </c>
      <c r="I3124" t="str">
        <f>IF(Table1[[#This Row],[Profit %]]&gt;20,"Excellent",IF(H3124&gt;10.1,"Good","Low"))</f>
        <v>Good</v>
      </c>
    </row>
    <row r="3125" spans="1:9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 s="2">
        <v>619</v>
      </c>
      <c r="G3125">
        <v>35.36</v>
      </c>
      <c r="H3125" s="2">
        <f>Table1[[#This Row],[Profit]]/Table1[[#This Row],[Sales]]*100</f>
        <v>5.7124394184168006</v>
      </c>
      <c r="I3125" t="str">
        <f>IF(Table1[[#This Row],[Profit %]]&gt;20,"Excellent",IF(H3125&gt;10.1,"Good","Low"))</f>
        <v>Low</v>
      </c>
    </row>
    <row r="3126" spans="1:9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 s="2">
        <v>2488</v>
      </c>
      <c r="G3126">
        <v>151.94999999999999</v>
      </c>
      <c r="H3126" s="2">
        <f>Table1[[#This Row],[Profit]]/Table1[[#This Row],[Sales]]*100</f>
        <v>6.1073151125401921</v>
      </c>
      <c r="I3126" t="str">
        <f>IF(Table1[[#This Row],[Profit %]]&gt;20,"Excellent",IF(H3126&gt;10.1,"Good","Low"))</f>
        <v>Low</v>
      </c>
    </row>
    <row r="3127" spans="1:9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 s="2">
        <v>2536</v>
      </c>
      <c r="G3127">
        <v>148.85</v>
      </c>
      <c r="H3127" s="2">
        <f>Table1[[#This Row],[Profit]]/Table1[[#This Row],[Sales]]*100</f>
        <v>5.8694794952681386</v>
      </c>
      <c r="I3127" t="str">
        <f>IF(Table1[[#This Row],[Profit %]]&gt;20,"Excellent",IF(H3127&gt;10.1,"Good","Low"))</f>
        <v>Low</v>
      </c>
    </row>
    <row r="3128" spans="1:9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 s="2">
        <v>5416</v>
      </c>
      <c r="G3128">
        <v>297.5</v>
      </c>
      <c r="H3128" s="2">
        <f>Table1[[#This Row],[Profit]]/Table1[[#This Row],[Sales]]*100</f>
        <v>5.4929837518463813</v>
      </c>
      <c r="I3128" t="str">
        <f>IF(Table1[[#This Row],[Profit %]]&gt;20,"Excellent",IF(H3128&gt;10.1,"Good","Low"))</f>
        <v>Low</v>
      </c>
    </row>
    <row r="3129" spans="1:9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 s="2">
        <v>2334</v>
      </c>
      <c r="G3129">
        <v>158.07</v>
      </c>
      <c r="H3129" s="2">
        <f>Table1[[#This Row],[Profit]]/Table1[[#This Row],[Sales]]*100</f>
        <v>6.7724935732647822</v>
      </c>
      <c r="I3129" t="str">
        <f>IF(Table1[[#This Row],[Profit %]]&gt;20,"Excellent",IF(H3129&gt;10.1,"Good","Low"))</f>
        <v>Low</v>
      </c>
    </row>
    <row r="3130" spans="1:9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 s="2">
        <v>1080</v>
      </c>
      <c r="G3130">
        <v>183.42</v>
      </c>
      <c r="H3130" s="2">
        <f>Table1[[#This Row],[Profit]]/Table1[[#This Row],[Sales]]*100</f>
        <v>16.983333333333331</v>
      </c>
      <c r="I3130" t="str">
        <f>IF(Table1[[#This Row],[Profit %]]&gt;20,"Excellent",IF(H3130&gt;10.1,"Good","Low"))</f>
        <v>Good</v>
      </c>
    </row>
    <row r="3131" spans="1:9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 s="2">
        <v>1324</v>
      </c>
      <c r="G3131">
        <v>127.07</v>
      </c>
      <c r="H3131" s="2">
        <f>Table1[[#This Row],[Profit]]/Table1[[#This Row],[Sales]]*100</f>
        <v>9.5974320241691835</v>
      </c>
      <c r="I3131" t="str">
        <f>IF(Table1[[#This Row],[Profit %]]&gt;20,"Excellent",IF(H3131&gt;10.1,"Good","Low"))</f>
        <v>Low</v>
      </c>
    </row>
    <row r="3132" spans="1:9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 s="2">
        <v>2304</v>
      </c>
      <c r="G3132">
        <v>444.08</v>
      </c>
      <c r="H3132" s="2">
        <f>Table1[[#This Row],[Profit]]/Table1[[#This Row],[Sales]]*100</f>
        <v>19.274305555555554</v>
      </c>
      <c r="I3132" t="str">
        <f>IF(Table1[[#This Row],[Profit %]]&gt;20,"Excellent",IF(H3132&gt;10.1,"Good","Low"))</f>
        <v>Good</v>
      </c>
    </row>
    <row r="3133" spans="1:9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 s="2">
        <v>4736</v>
      </c>
      <c r="G3133">
        <v>1026.24</v>
      </c>
      <c r="H3133" s="2">
        <f>Table1[[#This Row],[Profit]]/Table1[[#This Row],[Sales]]*100</f>
        <v>21.668918918918919</v>
      </c>
      <c r="I3133" t="str">
        <f>IF(Table1[[#This Row],[Profit %]]&gt;20,"Excellent",IF(H3133&gt;10.1,"Good","Low"))</f>
        <v>Excellent</v>
      </c>
    </row>
    <row r="3134" spans="1:9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 s="2">
        <v>2925</v>
      </c>
      <c r="G3134">
        <v>457.49</v>
      </c>
      <c r="H3134" s="2">
        <f>Table1[[#This Row],[Profit]]/Table1[[#This Row],[Sales]]*100</f>
        <v>15.640683760683761</v>
      </c>
      <c r="I3134" t="str">
        <f>IF(Table1[[#This Row],[Profit %]]&gt;20,"Excellent",IF(H3134&gt;10.1,"Good","Low"))</f>
        <v>Good</v>
      </c>
    </row>
    <row r="3135" spans="1:9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 s="2">
        <v>6345</v>
      </c>
      <c r="G3135">
        <v>1627.26</v>
      </c>
      <c r="H3135" s="2">
        <f>Table1[[#This Row],[Profit]]/Table1[[#This Row],[Sales]]*100</f>
        <v>25.646335697399525</v>
      </c>
      <c r="I3135" t="str">
        <f>IF(Table1[[#This Row],[Profit %]]&gt;20,"Excellent",IF(H3135&gt;10.1,"Good","Low"))</f>
        <v>Excellent</v>
      </c>
    </row>
    <row r="3136" spans="1:9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 s="2">
        <v>4221</v>
      </c>
      <c r="G3136">
        <v>912.84</v>
      </c>
      <c r="H3136" s="2">
        <f>Table1[[#This Row],[Profit]]/Table1[[#This Row],[Sales]]*100</f>
        <v>21.626154939587778</v>
      </c>
      <c r="I3136" t="str">
        <f>IF(Table1[[#This Row],[Profit %]]&gt;20,"Excellent",IF(H3136&gt;10.1,"Good","Low"))</f>
        <v>Excellent</v>
      </c>
    </row>
    <row r="3137" spans="1:9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 s="2">
        <v>462</v>
      </c>
      <c r="G3137">
        <v>56.89</v>
      </c>
      <c r="H3137" s="2">
        <f>Table1[[#This Row],[Profit]]/Table1[[#This Row],[Sales]]*100</f>
        <v>12.313852813852815</v>
      </c>
      <c r="I3137" t="str">
        <f>IF(Table1[[#This Row],[Profit %]]&gt;20,"Excellent",IF(H3137&gt;10.1,"Good","Low"))</f>
        <v>Good</v>
      </c>
    </row>
    <row r="3138" spans="1:9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 s="2">
        <v>7588</v>
      </c>
      <c r="G3138">
        <v>1625.55</v>
      </c>
      <c r="H3138" s="2">
        <f>Table1[[#This Row],[Profit]]/Table1[[#This Row],[Sales]]*100</f>
        <v>21.422641012124409</v>
      </c>
      <c r="I3138" t="str">
        <f>IF(Table1[[#This Row],[Profit %]]&gt;20,"Excellent",IF(H3138&gt;10.1,"Good","Low"))</f>
        <v>Excellent</v>
      </c>
    </row>
    <row r="3139" spans="1:9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 s="2">
        <v>5232</v>
      </c>
      <c r="G3139">
        <v>1270.6400000000001</v>
      </c>
      <c r="H3139" s="2">
        <f>Table1[[#This Row],[Profit]]/Table1[[#This Row],[Sales]]*100</f>
        <v>24.285932721712541</v>
      </c>
      <c r="I3139" t="str">
        <f>IF(Table1[[#This Row],[Profit %]]&gt;20,"Excellent",IF(H3139&gt;10.1,"Good","Low"))</f>
        <v>Excellent</v>
      </c>
    </row>
    <row r="3140" spans="1:9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 s="2">
        <v>1440</v>
      </c>
      <c r="G3140">
        <v>402.06</v>
      </c>
      <c r="H3140" s="2">
        <f>Table1[[#This Row],[Profit]]/Table1[[#This Row],[Sales]]*100</f>
        <v>27.920833333333334</v>
      </c>
      <c r="I3140" t="str">
        <f>IF(Table1[[#This Row],[Profit %]]&gt;20,"Excellent",IF(H3140&gt;10.1,"Good","Low"))</f>
        <v>Excellent</v>
      </c>
    </row>
    <row r="3141" spans="1:9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 s="2">
        <v>1026</v>
      </c>
      <c r="G3141">
        <v>226.4</v>
      </c>
      <c r="H3141" s="2">
        <f>Table1[[#This Row],[Profit]]/Table1[[#This Row],[Sales]]*100</f>
        <v>22.06627680311891</v>
      </c>
      <c r="I3141" t="str">
        <f>IF(Table1[[#This Row],[Profit %]]&gt;20,"Excellent",IF(H3141&gt;10.1,"Good","Low"))</f>
        <v>Excellent</v>
      </c>
    </row>
    <row r="3142" spans="1:9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 s="2">
        <v>7455</v>
      </c>
      <c r="G3142">
        <v>1008.42</v>
      </c>
      <c r="H3142" s="2">
        <f>Table1[[#This Row],[Profit]]/Table1[[#This Row],[Sales]]*100</f>
        <v>13.526760563380281</v>
      </c>
      <c r="I3142" t="str">
        <f>IF(Table1[[#This Row],[Profit %]]&gt;20,"Excellent",IF(H3142&gt;10.1,"Good","Low"))</f>
        <v>Good</v>
      </c>
    </row>
    <row r="3143" spans="1:9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 s="2">
        <v>2456</v>
      </c>
      <c r="G3143">
        <v>404.35</v>
      </c>
      <c r="H3143" s="2">
        <f>Table1[[#This Row],[Profit]]/Table1[[#This Row],[Sales]]*100</f>
        <v>16.463762214983717</v>
      </c>
      <c r="I3143" t="str">
        <f>IF(Table1[[#This Row],[Profit %]]&gt;20,"Excellent",IF(H3143&gt;10.1,"Good","Low"))</f>
        <v>Good</v>
      </c>
    </row>
    <row r="3144" spans="1:9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 s="2">
        <v>2859</v>
      </c>
      <c r="G3144">
        <v>404.56</v>
      </c>
      <c r="H3144" s="2">
        <f>Table1[[#This Row],[Profit]]/Table1[[#This Row],[Sales]]*100</f>
        <v>14.150402238544945</v>
      </c>
      <c r="I3144" t="str">
        <f>IF(Table1[[#This Row],[Profit %]]&gt;20,"Excellent",IF(H3144&gt;10.1,"Good","Low"))</f>
        <v>Good</v>
      </c>
    </row>
    <row r="3145" spans="1:9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 s="2">
        <v>311</v>
      </c>
      <c r="G3145">
        <v>50.66</v>
      </c>
      <c r="H3145" s="2">
        <f>Table1[[#This Row],[Profit]]/Table1[[#This Row],[Sales]]*100</f>
        <v>16.289389067524116</v>
      </c>
      <c r="I3145" t="str">
        <f>IF(Table1[[#This Row],[Profit %]]&gt;20,"Excellent",IF(H3145&gt;10.1,"Good","Low"))</f>
        <v>Good</v>
      </c>
    </row>
    <row r="3146" spans="1:9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 s="2">
        <v>1260</v>
      </c>
      <c r="G3146">
        <v>246.6</v>
      </c>
      <c r="H3146" s="2">
        <f>Table1[[#This Row],[Profit]]/Table1[[#This Row],[Sales]]*100</f>
        <v>19.571428571428569</v>
      </c>
      <c r="I3146" t="str">
        <f>IF(Table1[[#This Row],[Profit %]]&gt;20,"Excellent",IF(H3146&gt;10.1,"Good","Low"))</f>
        <v>Good</v>
      </c>
    </row>
    <row r="3147" spans="1:9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 s="2">
        <v>466</v>
      </c>
      <c r="G3147">
        <v>102.48</v>
      </c>
      <c r="H3147" s="2">
        <f>Table1[[#This Row],[Profit]]/Table1[[#This Row],[Sales]]*100</f>
        <v>21.991416309012877</v>
      </c>
      <c r="I3147" t="str">
        <f>IF(Table1[[#This Row],[Profit %]]&gt;20,"Excellent",IF(H3147&gt;10.1,"Good","Low"))</f>
        <v>Excellent</v>
      </c>
    </row>
    <row r="3148" spans="1:9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 s="2">
        <v>867</v>
      </c>
      <c r="G3148">
        <v>58.2</v>
      </c>
      <c r="H3148" s="2">
        <f>Table1[[#This Row],[Profit]]/Table1[[#This Row],[Sales]]*100</f>
        <v>6.7128027681660898</v>
      </c>
      <c r="I3148" t="str">
        <f>IF(Table1[[#This Row],[Profit %]]&gt;20,"Excellent",IF(H3148&gt;10.1,"Good","Low"))</f>
        <v>Low</v>
      </c>
    </row>
    <row r="3149" spans="1:9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 s="2">
        <v>3888</v>
      </c>
      <c r="G3149">
        <v>275.72000000000003</v>
      </c>
      <c r="H3149" s="2">
        <f>Table1[[#This Row],[Profit]]/Table1[[#This Row],[Sales]]*100</f>
        <v>7.0915637860082317</v>
      </c>
      <c r="I3149" t="str">
        <f>IF(Table1[[#This Row],[Profit %]]&gt;20,"Excellent",IF(H3149&gt;10.1,"Good","Low"))</f>
        <v>Low</v>
      </c>
    </row>
    <row r="3150" spans="1:9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 s="2">
        <v>3032</v>
      </c>
      <c r="G3150">
        <v>347.2</v>
      </c>
      <c r="H3150" s="2">
        <f>Table1[[#This Row],[Profit]]/Table1[[#This Row],[Sales]]*100</f>
        <v>11.451187335092348</v>
      </c>
      <c r="I3150" t="str">
        <f>IF(Table1[[#This Row],[Profit %]]&gt;20,"Excellent",IF(H3150&gt;10.1,"Good","Low"))</f>
        <v>Good</v>
      </c>
    </row>
    <row r="3151" spans="1:9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 s="2">
        <v>4704</v>
      </c>
      <c r="G3151">
        <v>978.81</v>
      </c>
      <c r="H3151" s="2">
        <f>Table1[[#This Row],[Profit]]/Table1[[#This Row],[Sales]]*100</f>
        <v>20.808035714285715</v>
      </c>
      <c r="I3151" t="str">
        <f>IF(Table1[[#This Row],[Profit %]]&gt;20,"Excellent",IF(H3151&gt;10.1,"Good","Low"))</f>
        <v>Excellent</v>
      </c>
    </row>
    <row r="3152" spans="1:9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 s="2">
        <v>3186</v>
      </c>
      <c r="G3152">
        <v>527.75</v>
      </c>
      <c r="H3152" s="2">
        <f>Table1[[#This Row],[Profit]]/Table1[[#This Row],[Sales]]*100</f>
        <v>16.564657878217201</v>
      </c>
      <c r="I3152" t="str">
        <f>IF(Table1[[#This Row],[Profit %]]&gt;20,"Excellent",IF(H3152&gt;10.1,"Good","Low"))</f>
        <v>Good</v>
      </c>
    </row>
    <row r="3153" spans="1:9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 s="2">
        <v>6183</v>
      </c>
      <c r="G3153">
        <v>359.54</v>
      </c>
      <c r="H3153" s="2">
        <f>Table1[[#This Row],[Profit]]/Table1[[#This Row],[Sales]]*100</f>
        <v>5.8149765486010025</v>
      </c>
      <c r="I3153" t="str">
        <f>IF(Table1[[#This Row],[Profit %]]&gt;20,"Excellent",IF(H3153&gt;10.1,"Good","Low"))</f>
        <v>Low</v>
      </c>
    </row>
    <row r="3154" spans="1:9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 s="2">
        <v>243</v>
      </c>
      <c r="G3154">
        <v>21.75</v>
      </c>
      <c r="H3154" s="2">
        <f>Table1[[#This Row],[Profit]]/Table1[[#This Row],[Sales]]*100</f>
        <v>8.9506172839506171</v>
      </c>
      <c r="I3154" t="str">
        <f>IF(Table1[[#This Row],[Profit %]]&gt;20,"Excellent",IF(H3154&gt;10.1,"Good","Low"))</f>
        <v>Low</v>
      </c>
    </row>
    <row r="3155" spans="1:9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 s="2">
        <v>897</v>
      </c>
      <c r="G3155">
        <v>235.67</v>
      </c>
      <c r="H3155" s="2">
        <f>Table1[[#This Row],[Profit]]/Table1[[#This Row],[Sales]]*100</f>
        <v>26.273132664437011</v>
      </c>
      <c r="I3155" t="str">
        <f>IF(Table1[[#This Row],[Profit %]]&gt;20,"Excellent",IF(H3155&gt;10.1,"Good","Low"))</f>
        <v>Excellent</v>
      </c>
    </row>
    <row r="3156" spans="1:9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 s="2">
        <v>4563</v>
      </c>
      <c r="G3156">
        <v>675.62</v>
      </c>
      <c r="H3156" s="2">
        <f>Table1[[#This Row],[Profit]]/Table1[[#This Row],[Sales]]*100</f>
        <v>14.806486960333116</v>
      </c>
      <c r="I3156" t="str">
        <f>IF(Table1[[#This Row],[Profit %]]&gt;20,"Excellent",IF(H3156&gt;10.1,"Good","Low"))</f>
        <v>Good</v>
      </c>
    </row>
    <row r="3157" spans="1:9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 s="2">
        <v>628</v>
      </c>
      <c r="G3157">
        <v>156.97999999999999</v>
      </c>
      <c r="H3157" s="2">
        <f>Table1[[#This Row],[Profit]]/Table1[[#This Row],[Sales]]*100</f>
        <v>24.996815286624201</v>
      </c>
      <c r="I3157" t="str">
        <f>IF(Table1[[#This Row],[Profit %]]&gt;20,"Excellent",IF(H3157&gt;10.1,"Good","Low"))</f>
        <v>Excellent</v>
      </c>
    </row>
    <row r="3158" spans="1:9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 s="2">
        <v>1050</v>
      </c>
      <c r="G3158">
        <v>172.83</v>
      </c>
      <c r="H3158" s="2">
        <f>Table1[[#This Row],[Profit]]/Table1[[#This Row],[Sales]]*100</f>
        <v>16.46</v>
      </c>
      <c r="I3158" t="str">
        <f>IF(Table1[[#This Row],[Profit %]]&gt;20,"Excellent",IF(H3158&gt;10.1,"Good","Low"))</f>
        <v>Good</v>
      </c>
    </row>
    <row r="3159" spans="1:9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 s="2">
        <v>3032</v>
      </c>
      <c r="G3159">
        <v>278.85000000000002</v>
      </c>
      <c r="H3159" s="2">
        <f>Table1[[#This Row],[Profit]]/Table1[[#This Row],[Sales]]*100</f>
        <v>9.196899736147758</v>
      </c>
      <c r="I3159" t="str">
        <f>IF(Table1[[#This Row],[Profit %]]&gt;20,"Excellent",IF(H3159&gt;10.1,"Good","Low"))</f>
        <v>Low</v>
      </c>
    </row>
    <row r="3160" spans="1:9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 s="2">
        <v>920</v>
      </c>
      <c r="G3160">
        <v>118.24</v>
      </c>
      <c r="H3160" s="2">
        <f>Table1[[#This Row],[Profit]]/Table1[[#This Row],[Sales]]*100</f>
        <v>12.852173913043478</v>
      </c>
      <c r="I3160" t="str">
        <f>IF(Table1[[#This Row],[Profit %]]&gt;20,"Excellent",IF(H3160&gt;10.1,"Good","Low"))</f>
        <v>Good</v>
      </c>
    </row>
    <row r="3161" spans="1:9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 s="2">
        <v>668</v>
      </c>
      <c r="G3161">
        <v>90.67</v>
      </c>
      <c r="H3161" s="2">
        <f>Table1[[#This Row],[Profit]]/Table1[[#This Row],[Sales]]*100</f>
        <v>13.573353293413174</v>
      </c>
      <c r="I3161" t="str">
        <f>IF(Table1[[#This Row],[Profit %]]&gt;20,"Excellent",IF(H3161&gt;10.1,"Good","Low"))</f>
        <v>Good</v>
      </c>
    </row>
    <row r="3162" spans="1:9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 s="2">
        <v>5990</v>
      </c>
      <c r="G3162">
        <v>1403.53</v>
      </c>
      <c r="H3162" s="2">
        <f>Table1[[#This Row],[Profit]]/Table1[[#This Row],[Sales]]*100</f>
        <v>23.431218697829717</v>
      </c>
      <c r="I3162" t="str">
        <f>IF(Table1[[#This Row],[Profit %]]&gt;20,"Excellent",IF(H3162&gt;10.1,"Good","Low"))</f>
        <v>Excellent</v>
      </c>
    </row>
    <row r="3163" spans="1:9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 s="2">
        <v>9324</v>
      </c>
      <c r="G3163">
        <v>1223.9000000000001</v>
      </c>
      <c r="H3163" s="2">
        <f>Table1[[#This Row],[Profit]]/Table1[[#This Row],[Sales]]*100</f>
        <v>13.126340626340626</v>
      </c>
      <c r="I3163" t="str">
        <f>IF(Table1[[#This Row],[Profit %]]&gt;20,"Excellent",IF(H3163&gt;10.1,"Good","Low"))</f>
        <v>Good</v>
      </c>
    </row>
    <row r="3164" spans="1:9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 s="2">
        <v>5768</v>
      </c>
      <c r="G3164">
        <v>368.49</v>
      </c>
      <c r="H3164" s="2">
        <f>Table1[[#This Row],[Profit]]/Table1[[#This Row],[Sales]]*100</f>
        <v>6.388522884882109</v>
      </c>
      <c r="I3164" t="str">
        <f>IF(Table1[[#This Row],[Profit %]]&gt;20,"Excellent",IF(H3164&gt;10.1,"Good","Low"))</f>
        <v>Low</v>
      </c>
    </row>
    <row r="3165" spans="1:9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 s="2">
        <v>1123</v>
      </c>
      <c r="G3165">
        <v>318.08999999999997</v>
      </c>
      <c r="H3165" s="2">
        <f>Table1[[#This Row],[Profit]]/Table1[[#This Row],[Sales]]*100</f>
        <v>28.32502226179875</v>
      </c>
      <c r="I3165" t="str">
        <f>IF(Table1[[#This Row],[Profit %]]&gt;20,"Excellent",IF(H3165&gt;10.1,"Good","Low"))</f>
        <v>Excellent</v>
      </c>
    </row>
    <row r="3166" spans="1:9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 s="2">
        <v>2336</v>
      </c>
      <c r="G3166">
        <v>453.04</v>
      </c>
      <c r="H3166" s="2">
        <f>Table1[[#This Row],[Profit]]/Table1[[#This Row],[Sales]]*100</f>
        <v>19.393835616438356</v>
      </c>
      <c r="I3166" t="str">
        <f>IF(Table1[[#This Row],[Profit %]]&gt;20,"Excellent",IF(H3166&gt;10.1,"Good","Low"))</f>
        <v>Good</v>
      </c>
    </row>
    <row r="3167" spans="1:9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 s="2">
        <v>438</v>
      </c>
      <c r="G3167">
        <v>26.03</v>
      </c>
      <c r="H3167" s="2">
        <f>Table1[[#This Row],[Profit]]/Table1[[#This Row],[Sales]]*100</f>
        <v>5.9429223744292239</v>
      </c>
      <c r="I3167" t="str">
        <f>IF(Table1[[#This Row],[Profit %]]&gt;20,"Excellent",IF(H3167&gt;10.1,"Good","Low"))</f>
        <v>Low</v>
      </c>
    </row>
    <row r="3168" spans="1:9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 s="2">
        <v>5940</v>
      </c>
      <c r="G3168">
        <v>318.72000000000003</v>
      </c>
      <c r="H3168" s="2">
        <f>Table1[[#This Row],[Profit]]/Table1[[#This Row],[Sales]]*100</f>
        <v>5.3656565656565656</v>
      </c>
      <c r="I3168" t="str">
        <f>IF(Table1[[#This Row],[Profit %]]&gt;20,"Excellent",IF(H3168&gt;10.1,"Good","Low"))</f>
        <v>Low</v>
      </c>
    </row>
    <row r="3169" spans="1:9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 s="2">
        <v>1848</v>
      </c>
      <c r="G3169">
        <v>549.34</v>
      </c>
      <c r="H3169" s="2">
        <f>Table1[[#This Row],[Profit]]/Table1[[#This Row],[Sales]]*100</f>
        <v>29.726190476190478</v>
      </c>
      <c r="I3169" t="str">
        <f>IF(Table1[[#This Row],[Profit %]]&gt;20,"Excellent",IF(H3169&gt;10.1,"Good","Low"))</f>
        <v>Excellent</v>
      </c>
    </row>
    <row r="3170" spans="1:9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 s="2">
        <v>2118</v>
      </c>
      <c r="G3170">
        <v>321.05</v>
      </c>
      <c r="H3170" s="2">
        <f>Table1[[#This Row],[Profit]]/Table1[[#This Row],[Sales]]*100</f>
        <v>15.158168083097262</v>
      </c>
      <c r="I3170" t="str">
        <f>IF(Table1[[#This Row],[Profit %]]&gt;20,"Excellent",IF(H3170&gt;10.1,"Good","Low"))</f>
        <v>Good</v>
      </c>
    </row>
    <row r="3171" spans="1:9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 s="2">
        <v>231</v>
      </c>
      <c r="G3171">
        <v>36.729999999999997</v>
      </c>
      <c r="H3171" s="2">
        <f>Table1[[#This Row],[Profit]]/Table1[[#This Row],[Sales]]*100</f>
        <v>15.900432900432898</v>
      </c>
      <c r="I3171" t="str">
        <f>IF(Table1[[#This Row],[Profit %]]&gt;20,"Excellent",IF(H3171&gt;10.1,"Good","Low"))</f>
        <v>Good</v>
      </c>
    </row>
    <row r="3172" spans="1:9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 s="2">
        <v>978</v>
      </c>
      <c r="G3172">
        <v>182.46</v>
      </c>
      <c r="H3172" s="2">
        <f>Table1[[#This Row],[Profit]]/Table1[[#This Row],[Sales]]*100</f>
        <v>18.656441717791409</v>
      </c>
      <c r="I3172" t="str">
        <f>IF(Table1[[#This Row],[Profit %]]&gt;20,"Excellent",IF(H3172&gt;10.1,"Good","Low"))</f>
        <v>Good</v>
      </c>
    </row>
    <row r="3173" spans="1:9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 s="2">
        <v>4960</v>
      </c>
      <c r="G3173">
        <v>420.98</v>
      </c>
      <c r="H3173" s="2">
        <f>Table1[[#This Row],[Profit]]/Table1[[#This Row],[Sales]]*100</f>
        <v>8.4875000000000007</v>
      </c>
      <c r="I3173" t="str">
        <f>IF(Table1[[#This Row],[Profit %]]&gt;20,"Excellent",IF(H3173&gt;10.1,"Good","Low"))</f>
        <v>Low</v>
      </c>
    </row>
    <row r="3174" spans="1:9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 s="2">
        <v>1377</v>
      </c>
      <c r="G3174">
        <v>330.44</v>
      </c>
      <c r="H3174" s="2">
        <f>Table1[[#This Row],[Profit]]/Table1[[#This Row],[Sales]]*100</f>
        <v>23.997095134350037</v>
      </c>
      <c r="I3174" t="str">
        <f>IF(Table1[[#This Row],[Profit %]]&gt;20,"Excellent",IF(H3174&gt;10.1,"Good","Low"))</f>
        <v>Excellent</v>
      </c>
    </row>
    <row r="3175" spans="1:9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 s="2">
        <v>1958</v>
      </c>
      <c r="G3175">
        <v>227.77</v>
      </c>
      <c r="H3175" s="2">
        <f>Table1[[#This Row],[Profit]]/Table1[[#This Row],[Sales]]*100</f>
        <v>11.632788559754854</v>
      </c>
      <c r="I3175" t="str">
        <f>IF(Table1[[#This Row],[Profit %]]&gt;20,"Excellent",IF(H3175&gt;10.1,"Good","Low"))</f>
        <v>Good</v>
      </c>
    </row>
    <row r="3176" spans="1:9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 s="2">
        <v>5607</v>
      </c>
      <c r="G3176">
        <v>1288.04</v>
      </c>
      <c r="H3176" s="2">
        <f>Table1[[#This Row],[Profit]]/Table1[[#This Row],[Sales]]*100</f>
        <v>22.971999286606028</v>
      </c>
      <c r="I3176" t="str">
        <f>IF(Table1[[#This Row],[Profit %]]&gt;20,"Excellent",IF(H3176&gt;10.1,"Good","Low"))</f>
        <v>Excellent</v>
      </c>
    </row>
    <row r="3177" spans="1:9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 s="2">
        <v>3504</v>
      </c>
      <c r="G3177">
        <v>980.7</v>
      </c>
      <c r="H3177" s="2">
        <f>Table1[[#This Row],[Profit]]/Table1[[#This Row],[Sales]]*100</f>
        <v>27.988013698630137</v>
      </c>
      <c r="I3177" t="str">
        <f>IF(Table1[[#This Row],[Profit %]]&gt;20,"Excellent",IF(H3177&gt;10.1,"Good","Low"))</f>
        <v>Excellent</v>
      </c>
    </row>
    <row r="3178" spans="1:9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 s="2">
        <v>796</v>
      </c>
      <c r="G3178">
        <v>75.150000000000006</v>
      </c>
      <c r="H3178" s="2">
        <f>Table1[[#This Row],[Profit]]/Table1[[#This Row],[Sales]]*100</f>
        <v>9.4409547738693469</v>
      </c>
      <c r="I3178" t="str">
        <f>IF(Table1[[#This Row],[Profit %]]&gt;20,"Excellent",IF(H3178&gt;10.1,"Good","Low"))</f>
        <v>Low</v>
      </c>
    </row>
    <row r="3179" spans="1:9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 s="2">
        <v>342</v>
      </c>
      <c r="G3179">
        <v>37.64</v>
      </c>
      <c r="H3179" s="2">
        <f>Table1[[#This Row],[Profit]]/Table1[[#This Row],[Sales]]*100</f>
        <v>11.005847953216374</v>
      </c>
      <c r="I3179" t="str">
        <f>IF(Table1[[#This Row],[Profit %]]&gt;20,"Excellent",IF(H3179&gt;10.1,"Good","Low"))</f>
        <v>Good</v>
      </c>
    </row>
    <row r="3180" spans="1:9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 s="2">
        <v>6769</v>
      </c>
      <c r="G3180">
        <v>1549.67</v>
      </c>
      <c r="H3180" s="2">
        <f>Table1[[#This Row],[Profit]]/Table1[[#This Row],[Sales]]*100</f>
        <v>22.893632737479688</v>
      </c>
      <c r="I3180" t="str">
        <f>IF(Table1[[#This Row],[Profit %]]&gt;20,"Excellent",IF(H3180&gt;10.1,"Good","Low"))</f>
        <v>Excellent</v>
      </c>
    </row>
    <row r="3181" spans="1:9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 s="2">
        <v>10080</v>
      </c>
      <c r="G3181">
        <v>1794.73</v>
      </c>
      <c r="H3181" s="2">
        <f>Table1[[#This Row],[Profit]]/Table1[[#This Row],[Sales]]*100</f>
        <v>17.804861111111112</v>
      </c>
      <c r="I3181" t="str">
        <f>IF(Table1[[#This Row],[Profit %]]&gt;20,"Excellent",IF(H3181&gt;10.1,"Good","Low"))</f>
        <v>Good</v>
      </c>
    </row>
    <row r="3182" spans="1:9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 s="2">
        <v>3948</v>
      </c>
      <c r="G3182">
        <v>758.36</v>
      </c>
      <c r="H3182" s="2">
        <f>Table1[[#This Row],[Profit]]/Table1[[#This Row],[Sales]]*100</f>
        <v>19.208713272543061</v>
      </c>
      <c r="I3182" t="str">
        <f>IF(Table1[[#This Row],[Profit %]]&gt;20,"Excellent",IF(H3182&gt;10.1,"Good","Low"))</f>
        <v>Good</v>
      </c>
    </row>
    <row r="3183" spans="1:9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 s="2">
        <v>1488</v>
      </c>
      <c r="G3183">
        <v>74.52</v>
      </c>
      <c r="H3183" s="2">
        <f>Table1[[#This Row],[Profit]]/Table1[[#This Row],[Sales]]*100</f>
        <v>5.008064516129032</v>
      </c>
      <c r="I3183" t="str">
        <f>IF(Table1[[#This Row],[Profit %]]&gt;20,"Excellent",IF(H3183&gt;10.1,"Good","Low"))</f>
        <v>Low</v>
      </c>
    </row>
    <row r="3184" spans="1:9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 s="2">
        <v>1200</v>
      </c>
      <c r="G3184">
        <v>201.8</v>
      </c>
      <c r="H3184" s="2">
        <f>Table1[[#This Row],[Profit]]/Table1[[#This Row],[Sales]]*100</f>
        <v>16.81666666666667</v>
      </c>
      <c r="I3184" t="str">
        <f>IF(Table1[[#This Row],[Profit %]]&gt;20,"Excellent",IF(H3184&gt;10.1,"Good","Low"))</f>
        <v>Good</v>
      </c>
    </row>
    <row r="3185" spans="1:9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 s="2">
        <v>4476</v>
      </c>
      <c r="G3185">
        <v>977.6</v>
      </c>
      <c r="H3185" s="2">
        <f>Table1[[#This Row],[Profit]]/Table1[[#This Row],[Sales]]*100</f>
        <v>21.840929401251117</v>
      </c>
      <c r="I3185" t="str">
        <f>IF(Table1[[#This Row],[Profit %]]&gt;20,"Excellent",IF(H3185&gt;10.1,"Good","Low"))</f>
        <v>Excellent</v>
      </c>
    </row>
    <row r="3186" spans="1:9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 s="2">
        <v>1178</v>
      </c>
      <c r="G3186">
        <v>292.14999999999998</v>
      </c>
      <c r="H3186" s="2">
        <f>Table1[[#This Row],[Profit]]/Table1[[#This Row],[Sales]]*100</f>
        <v>24.800509337860781</v>
      </c>
      <c r="I3186" t="str">
        <f>IF(Table1[[#This Row],[Profit %]]&gt;20,"Excellent",IF(H3186&gt;10.1,"Good","Low"))</f>
        <v>Excellent</v>
      </c>
    </row>
    <row r="3187" spans="1:9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 s="2">
        <v>2888</v>
      </c>
      <c r="G3187">
        <v>149.91999999999999</v>
      </c>
      <c r="H3187" s="2">
        <f>Table1[[#This Row],[Profit]]/Table1[[#This Row],[Sales]]*100</f>
        <v>5.191135734072021</v>
      </c>
      <c r="I3187" t="str">
        <f>IF(Table1[[#This Row],[Profit %]]&gt;20,"Excellent",IF(H3187&gt;10.1,"Good","Low"))</f>
        <v>Low</v>
      </c>
    </row>
    <row r="3188" spans="1:9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 s="2">
        <v>1704</v>
      </c>
      <c r="G3188">
        <v>193.18</v>
      </c>
      <c r="H3188" s="2">
        <f>Table1[[#This Row],[Profit]]/Table1[[#This Row],[Sales]]*100</f>
        <v>11.336854460093896</v>
      </c>
      <c r="I3188" t="str">
        <f>IF(Table1[[#This Row],[Profit %]]&gt;20,"Excellent",IF(H3188&gt;10.1,"Good","Low"))</f>
        <v>Good</v>
      </c>
    </row>
    <row r="3189" spans="1:9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 s="2">
        <v>4200</v>
      </c>
      <c r="G3189">
        <v>1017.94</v>
      </c>
      <c r="H3189" s="2">
        <f>Table1[[#This Row],[Profit]]/Table1[[#This Row],[Sales]]*100</f>
        <v>24.236666666666668</v>
      </c>
      <c r="I3189" t="str">
        <f>IF(Table1[[#This Row],[Profit %]]&gt;20,"Excellent",IF(H3189&gt;10.1,"Good","Low"))</f>
        <v>Excellent</v>
      </c>
    </row>
    <row r="3190" spans="1:9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 s="2">
        <v>4417</v>
      </c>
      <c r="G3190">
        <v>562.79</v>
      </c>
      <c r="H3190" s="2">
        <f>Table1[[#This Row],[Profit]]/Table1[[#This Row],[Sales]]*100</f>
        <v>12.741453475209417</v>
      </c>
      <c r="I3190" t="str">
        <f>IF(Table1[[#This Row],[Profit %]]&gt;20,"Excellent",IF(H3190&gt;10.1,"Good","Low"))</f>
        <v>Good</v>
      </c>
    </row>
    <row r="3191" spans="1:9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 s="2">
        <v>764</v>
      </c>
      <c r="G3191">
        <v>178.83</v>
      </c>
      <c r="H3191" s="2">
        <f>Table1[[#This Row],[Profit]]/Table1[[#This Row],[Sales]]*100</f>
        <v>23.407068062827229</v>
      </c>
      <c r="I3191" t="str">
        <f>IF(Table1[[#This Row],[Profit %]]&gt;20,"Excellent",IF(H3191&gt;10.1,"Good","Low"))</f>
        <v>Excellent</v>
      </c>
    </row>
    <row r="3192" spans="1:9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 s="2">
        <v>4000</v>
      </c>
      <c r="G3192">
        <v>964.43</v>
      </c>
      <c r="H3192" s="2">
        <f>Table1[[#This Row],[Profit]]/Table1[[#This Row],[Sales]]*100</f>
        <v>24.110749999999996</v>
      </c>
      <c r="I3192" t="str">
        <f>IF(Table1[[#This Row],[Profit %]]&gt;20,"Excellent",IF(H3192&gt;10.1,"Good","Low"))</f>
        <v>Excellent</v>
      </c>
    </row>
    <row r="3193" spans="1:9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 s="2">
        <v>2331</v>
      </c>
      <c r="G3193">
        <v>558</v>
      </c>
      <c r="H3193" s="2">
        <f>Table1[[#This Row],[Profit]]/Table1[[#This Row],[Sales]]*100</f>
        <v>23.938223938223938</v>
      </c>
      <c r="I3193" t="str">
        <f>IF(Table1[[#This Row],[Profit %]]&gt;20,"Excellent",IF(H3193&gt;10.1,"Good","Low"))</f>
        <v>Excellent</v>
      </c>
    </row>
    <row r="3194" spans="1:9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 s="2">
        <v>8172</v>
      </c>
      <c r="G3194">
        <v>1296.29</v>
      </c>
      <c r="H3194" s="2">
        <f>Table1[[#This Row],[Profit]]/Table1[[#This Row],[Sales]]*100</f>
        <v>15.862579539892316</v>
      </c>
      <c r="I3194" t="str">
        <f>IF(Table1[[#This Row],[Profit %]]&gt;20,"Excellent",IF(H3194&gt;10.1,"Good","Low"))</f>
        <v>Good</v>
      </c>
    </row>
    <row r="3195" spans="1:9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 s="2">
        <v>761</v>
      </c>
      <c r="G3195">
        <v>61.15</v>
      </c>
      <c r="H3195" s="2">
        <f>Table1[[#This Row],[Profit]]/Table1[[#This Row],[Sales]]*100</f>
        <v>8.0354796320630744</v>
      </c>
      <c r="I3195" t="str">
        <f>IF(Table1[[#This Row],[Profit %]]&gt;20,"Excellent",IF(H3195&gt;10.1,"Good","Low"))</f>
        <v>Low</v>
      </c>
    </row>
    <row r="3196" spans="1:9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 s="2">
        <v>494</v>
      </c>
      <c r="G3196">
        <v>56.41</v>
      </c>
      <c r="H3196" s="2">
        <f>Table1[[#This Row],[Profit]]/Table1[[#This Row],[Sales]]*100</f>
        <v>11.41902834008097</v>
      </c>
      <c r="I3196" t="str">
        <f>IF(Table1[[#This Row],[Profit %]]&gt;20,"Excellent",IF(H3196&gt;10.1,"Good","Low"))</f>
        <v>Good</v>
      </c>
    </row>
    <row r="3197" spans="1:9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 s="2">
        <v>194</v>
      </c>
      <c r="G3197">
        <v>52.16</v>
      </c>
      <c r="H3197" s="2">
        <f>Table1[[#This Row],[Profit]]/Table1[[#This Row],[Sales]]*100</f>
        <v>26.88659793814433</v>
      </c>
      <c r="I3197" t="str">
        <f>IF(Table1[[#This Row],[Profit %]]&gt;20,"Excellent",IF(H3197&gt;10.1,"Good","Low"))</f>
        <v>Excellent</v>
      </c>
    </row>
    <row r="3198" spans="1:9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 s="2">
        <v>5820</v>
      </c>
      <c r="G3198">
        <v>1423.67</v>
      </c>
      <c r="H3198" s="2">
        <f>Table1[[#This Row],[Profit]]/Table1[[#This Row],[Sales]]*100</f>
        <v>24.461683848797254</v>
      </c>
      <c r="I3198" t="str">
        <f>IF(Table1[[#This Row],[Profit %]]&gt;20,"Excellent",IF(H3198&gt;10.1,"Good","Low"))</f>
        <v>Excellent</v>
      </c>
    </row>
    <row r="3199" spans="1:9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 s="2">
        <v>410</v>
      </c>
      <c r="G3199">
        <v>121.77</v>
      </c>
      <c r="H3199" s="2">
        <f>Table1[[#This Row],[Profit]]/Table1[[#This Row],[Sales]]*100</f>
        <v>29.7</v>
      </c>
      <c r="I3199" t="str">
        <f>IF(Table1[[#This Row],[Profit %]]&gt;20,"Excellent",IF(H3199&gt;10.1,"Good","Low"))</f>
        <v>Excellent</v>
      </c>
    </row>
    <row r="3200" spans="1:9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 s="2">
        <v>1254</v>
      </c>
      <c r="G3200">
        <v>360.87</v>
      </c>
      <c r="H3200" s="2">
        <f>Table1[[#This Row],[Profit]]/Table1[[#This Row],[Sales]]*100</f>
        <v>28.777511961722489</v>
      </c>
      <c r="I3200" t="str">
        <f>IF(Table1[[#This Row],[Profit %]]&gt;20,"Excellent",IF(H3200&gt;10.1,"Good","Low"))</f>
        <v>Excellent</v>
      </c>
    </row>
    <row r="3201" spans="1:9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 s="2">
        <v>3432</v>
      </c>
      <c r="G3201">
        <v>452.4</v>
      </c>
      <c r="H3201" s="2">
        <f>Table1[[#This Row],[Profit]]/Table1[[#This Row],[Sales]]*100</f>
        <v>13.18181818181818</v>
      </c>
      <c r="I3201" t="str">
        <f>IF(Table1[[#This Row],[Profit %]]&gt;20,"Excellent",IF(H3201&gt;10.1,"Good","Low"))</f>
        <v>Good</v>
      </c>
    </row>
    <row r="3202" spans="1:9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 s="2">
        <v>3792</v>
      </c>
      <c r="G3202">
        <v>997.99</v>
      </c>
      <c r="H3202" s="2">
        <f>Table1[[#This Row],[Profit]]/Table1[[#This Row],[Sales]]*100</f>
        <v>26.318301687763711</v>
      </c>
      <c r="I3202" t="str">
        <f>IF(Table1[[#This Row],[Profit %]]&gt;20,"Excellent",IF(H3202&gt;10.1,"Good","Low"))</f>
        <v>Excellent</v>
      </c>
    </row>
    <row r="3203" spans="1:9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 s="2">
        <v>546</v>
      </c>
      <c r="G3203">
        <v>117.9</v>
      </c>
      <c r="H3203" s="2">
        <f>Table1[[#This Row],[Profit]]/Table1[[#This Row],[Sales]]*100</f>
        <v>21.593406593406595</v>
      </c>
      <c r="I3203" t="str">
        <f>IF(Table1[[#This Row],[Profit %]]&gt;20,"Excellent",IF(H3203&gt;10.1,"Good","Low"))</f>
        <v>Excellent</v>
      </c>
    </row>
    <row r="3204" spans="1:9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 s="2">
        <v>1452</v>
      </c>
      <c r="G3204">
        <v>217.06</v>
      </c>
      <c r="H3204" s="2">
        <f>Table1[[#This Row],[Profit]]/Table1[[#This Row],[Sales]]*100</f>
        <v>14.949035812672177</v>
      </c>
      <c r="I3204" t="str">
        <f>IF(Table1[[#This Row],[Profit %]]&gt;20,"Excellent",IF(H3204&gt;10.1,"Good","Low"))</f>
        <v>Good</v>
      </c>
    </row>
    <row r="3205" spans="1:9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 s="2">
        <v>9296</v>
      </c>
      <c r="G3205">
        <v>1556.05</v>
      </c>
      <c r="H3205" s="2">
        <f>Table1[[#This Row],[Profit]]/Table1[[#This Row],[Sales]]*100</f>
        <v>16.738919965576589</v>
      </c>
      <c r="I3205" t="str">
        <f>IF(Table1[[#This Row],[Profit %]]&gt;20,"Excellent",IF(H3205&gt;10.1,"Good","Low"))</f>
        <v>Good</v>
      </c>
    </row>
    <row r="3206" spans="1:9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 s="2">
        <v>1160</v>
      </c>
      <c r="G3206">
        <v>149.81</v>
      </c>
      <c r="H3206" s="2">
        <f>Table1[[#This Row],[Profit]]/Table1[[#This Row],[Sales]]*100</f>
        <v>12.914655172413795</v>
      </c>
      <c r="I3206" t="str">
        <f>IF(Table1[[#This Row],[Profit %]]&gt;20,"Excellent",IF(H3206&gt;10.1,"Good","Low"))</f>
        <v>Good</v>
      </c>
    </row>
    <row r="3207" spans="1:9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 s="2">
        <v>4728</v>
      </c>
      <c r="G3207">
        <v>682.01</v>
      </c>
      <c r="H3207" s="2">
        <f>Table1[[#This Row],[Profit]]/Table1[[#This Row],[Sales]]*100</f>
        <v>14.424915397631132</v>
      </c>
      <c r="I3207" t="str">
        <f>IF(Table1[[#This Row],[Profit %]]&gt;20,"Excellent",IF(H3207&gt;10.1,"Good","Low"))</f>
        <v>Good</v>
      </c>
    </row>
    <row r="3208" spans="1:9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 s="2">
        <v>1836</v>
      </c>
      <c r="G3208">
        <v>508.81</v>
      </c>
      <c r="H3208" s="2">
        <f>Table1[[#This Row],[Profit]]/Table1[[#This Row],[Sales]]*100</f>
        <v>27.712962962962962</v>
      </c>
      <c r="I3208" t="str">
        <f>IF(Table1[[#This Row],[Profit %]]&gt;20,"Excellent",IF(H3208&gt;10.1,"Good","Low"))</f>
        <v>Excellent</v>
      </c>
    </row>
    <row r="3209" spans="1:9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 s="2">
        <v>6237</v>
      </c>
      <c r="G3209">
        <v>1784.89</v>
      </c>
      <c r="H3209" s="2">
        <f>Table1[[#This Row],[Profit]]/Table1[[#This Row],[Sales]]*100</f>
        <v>28.617764951098284</v>
      </c>
      <c r="I3209" t="str">
        <f>IF(Table1[[#This Row],[Profit %]]&gt;20,"Excellent",IF(H3209&gt;10.1,"Good","Low"))</f>
        <v>Excellent</v>
      </c>
    </row>
    <row r="3210" spans="1:9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 s="2">
        <v>5845</v>
      </c>
      <c r="G3210">
        <v>941.79</v>
      </c>
      <c r="H3210" s="2">
        <f>Table1[[#This Row],[Profit]]/Table1[[#This Row],[Sales]]*100</f>
        <v>16.11274593669803</v>
      </c>
      <c r="I3210" t="str">
        <f>IF(Table1[[#This Row],[Profit %]]&gt;20,"Excellent",IF(H3210&gt;10.1,"Good","Low"))</f>
        <v>Good</v>
      </c>
    </row>
    <row r="3211" spans="1:9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 s="2">
        <v>6138</v>
      </c>
      <c r="G3211">
        <v>851.14</v>
      </c>
      <c r="H3211" s="2">
        <f>Table1[[#This Row],[Profit]]/Table1[[#This Row],[Sales]]*100</f>
        <v>13.86673183447377</v>
      </c>
      <c r="I3211" t="str">
        <f>IF(Table1[[#This Row],[Profit %]]&gt;20,"Excellent",IF(H3211&gt;10.1,"Good","Low"))</f>
        <v>Good</v>
      </c>
    </row>
    <row r="3212" spans="1:9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 s="2">
        <v>1416</v>
      </c>
      <c r="G3212">
        <v>136.75</v>
      </c>
      <c r="H3212" s="2">
        <f>Table1[[#This Row],[Profit]]/Table1[[#This Row],[Sales]]*100</f>
        <v>9.6574858757062145</v>
      </c>
      <c r="I3212" t="str">
        <f>IF(Table1[[#This Row],[Profit %]]&gt;20,"Excellent",IF(H3212&gt;10.1,"Good","Low"))</f>
        <v>Low</v>
      </c>
    </row>
    <row r="3213" spans="1:9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 s="2">
        <v>1851</v>
      </c>
      <c r="G3213">
        <v>348.9</v>
      </c>
      <c r="H3213" s="2">
        <f>Table1[[#This Row],[Profit]]/Table1[[#This Row],[Sales]]*100</f>
        <v>18.849270664505671</v>
      </c>
      <c r="I3213" t="str">
        <f>IF(Table1[[#This Row],[Profit %]]&gt;20,"Excellent",IF(H3213&gt;10.1,"Good","Low"))</f>
        <v>Good</v>
      </c>
    </row>
    <row r="3214" spans="1:9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 s="2">
        <v>7452</v>
      </c>
      <c r="G3214">
        <v>1259.82</v>
      </c>
      <c r="H3214" s="2">
        <f>Table1[[#This Row],[Profit]]/Table1[[#This Row],[Sales]]*100</f>
        <v>16.905797101449274</v>
      </c>
      <c r="I3214" t="str">
        <f>IF(Table1[[#This Row],[Profit %]]&gt;20,"Excellent",IF(H3214&gt;10.1,"Good","Low"))</f>
        <v>Good</v>
      </c>
    </row>
    <row r="3215" spans="1:9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 s="2">
        <v>1630</v>
      </c>
      <c r="G3215">
        <v>190.38</v>
      </c>
      <c r="H3215" s="2">
        <f>Table1[[#This Row],[Profit]]/Table1[[#This Row],[Sales]]*100</f>
        <v>11.679754601226994</v>
      </c>
      <c r="I3215" t="str">
        <f>IF(Table1[[#This Row],[Profit %]]&gt;20,"Excellent",IF(H3215&gt;10.1,"Good","Low"))</f>
        <v>Good</v>
      </c>
    </row>
    <row r="3216" spans="1:9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 s="2">
        <v>4800</v>
      </c>
      <c r="G3216">
        <v>930.44</v>
      </c>
      <c r="H3216" s="2">
        <f>Table1[[#This Row],[Profit]]/Table1[[#This Row],[Sales]]*100</f>
        <v>19.384166666666669</v>
      </c>
      <c r="I3216" t="str">
        <f>IF(Table1[[#This Row],[Profit %]]&gt;20,"Excellent",IF(H3216&gt;10.1,"Good","Low"))</f>
        <v>Good</v>
      </c>
    </row>
    <row r="3217" spans="1:9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 s="2">
        <v>61</v>
      </c>
      <c r="G3217">
        <v>16.11</v>
      </c>
      <c r="H3217" s="2">
        <f>Table1[[#This Row],[Profit]]/Table1[[#This Row],[Sales]]*100</f>
        <v>26.409836065573771</v>
      </c>
      <c r="I3217" t="str">
        <f>IF(Table1[[#This Row],[Profit %]]&gt;20,"Excellent",IF(H3217&gt;10.1,"Good","Low"))</f>
        <v>Excellent</v>
      </c>
    </row>
    <row r="3218" spans="1:9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 s="2">
        <v>942</v>
      </c>
      <c r="G3218">
        <v>80.27</v>
      </c>
      <c r="H3218" s="2">
        <f>Table1[[#This Row],[Profit]]/Table1[[#This Row],[Sales]]*100</f>
        <v>8.5212314225053074</v>
      </c>
      <c r="I3218" t="str">
        <f>IF(Table1[[#This Row],[Profit %]]&gt;20,"Excellent",IF(H3218&gt;10.1,"Good","Low"))</f>
        <v>Low</v>
      </c>
    </row>
    <row r="3219" spans="1:9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 s="2">
        <v>7640</v>
      </c>
      <c r="G3219">
        <v>1663.63</v>
      </c>
      <c r="H3219" s="2">
        <f>Table1[[#This Row],[Profit]]/Table1[[#This Row],[Sales]]*100</f>
        <v>21.775261780104714</v>
      </c>
      <c r="I3219" t="str">
        <f>IF(Table1[[#This Row],[Profit %]]&gt;20,"Excellent",IF(H3219&gt;10.1,"Good","Low"))</f>
        <v>Excellent</v>
      </c>
    </row>
    <row r="3220" spans="1:9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 s="2">
        <v>4540</v>
      </c>
      <c r="G3220">
        <v>939.71</v>
      </c>
      <c r="H3220" s="2">
        <f>Table1[[#This Row],[Profit]]/Table1[[#This Row],[Sales]]*100</f>
        <v>20.698458149779736</v>
      </c>
      <c r="I3220" t="str">
        <f>IF(Table1[[#This Row],[Profit %]]&gt;20,"Excellent",IF(H3220&gt;10.1,"Good","Low"))</f>
        <v>Excellent</v>
      </c>
    </row>
    <row r="3221" spans="1:9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 s="2">
        <v>1030</v>
      </c>
      <c r="G3221">
        <v>190.47</v>
      </c>
      <c r="H3221" s="2">
        <f>Table1[[#This Row],[Profit]]/Table1[[#This Row],[Sales]]*100</f>
        <v>18.492233009708738</v>
      </c>
      <c r="I3221" t="str">
        <f>IF(Table1[[#This Row],[Profit %]]&gt;20,"Excellent",IF(H3221&gt;10.1,"Good","Low"))</f>
        <v>Good</v>
      </c>
    </row>
    <row r="3222" spans="1:9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 s="2">
        <v>384</v>
      </c>
      <c r="G3222">
        <v>30.84</v>
      </c>
      <c r="H3222" s="2">
        <f>Table1[[#This Row],[Profit]]/Table1[[#This Row],[Sales]]*100</f>
        <v>8.03125</v>
      </c>
      <c r="I3222" t="str">
        <f>IF(Table1[[#This Row],[Profit %]]&gt;20,"Excellent",IF(H3222&gt;10.1,"Good","Low"))</f>
        <v>Low</v>
      </c>
    </row>
    <row r="3223" spans="1:9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 s="2">
        <v>8560</v>
      </c>
      <c r="G3223">
        <v>991.94</v>
      </c>
      <c r="H3223" s="2">
        <f>Table1[[#This Row],[Profit]]/Table1[[#This Row],[Sales]]*100</f>
        <v>11.588084112149534</v>
      </c>
      <c r="I3223" t="str">
        <f>IF(Table1[[#This Row],[Profit %]]&gt;20,"Excellent",IF(H3223&gt;10.1,"Good","Low"))</f>
        <v>Good</v>
      </c>
    </row>
    <row r="3224" spans="1:9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 s="2">
        <v>1557</v>
      </c>
      <c r="G3224">
        <v>117.36</v>
      </c>
      <c r="H3224" s="2">
        <f>Table1[[#This Row],[Profit]]/Table1[[#This Row],[Sales]]*100</f>
        <v>7.5375722543352603</v>
      </c>
      <c r="I3224" t="str">
        <f>IF(Table1[[#This Row],[Profit %]]&gt;20,"Excellent",IF(H3224&gt;10.1,"Good","Low"))</f>
        <v>Low</v>
      </c>
    </row>
    <row r="3225" spans="1:9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 s="2">
        <v>707</v>
      </c>
      <c r="G3225">
        <v>124.59</v>
      </c>
      <c r="H3225" s="2">
        <f>Table1[[#This Row],[Profit]]/Table1[[#This Row],[Sales]]*100</f>
        <v>17.622347949080623</v>
      </c>
      <c r="I3225" t="str">
        <f>IF(Table1[[#This Row],[Profit %]]&gt;20,"Excellent",IF(H3225&gt;10.1,"Good","Low"))</f>
        <v>Good</v>
      </c>
    </row>
    <row r="3226" spans="1:9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 s="2">
        <v>3405</v>
      </c>
      <c r="G3226">
        <v>476.39</v>
      </c>
      <c r="H3226" s="2">
        <f>Table1[[#This Row],[Profit]]/Table1[[#This Row],[Sales]]*100</f>
        <v>13.990895741556534</v>
      </c>
      <c r="I3226" t="str">
        <f>IF(Table1[[#This Row],[Profit %]]&gt;20,"Excellent",IF(H3226&gt;10.1,"Good","Low"))</f>
        <v>Good</v>
      </c>
    </row>
    <row r="3227" spans="1:9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 s="2">
        <v>4722</v>
      </c>
      <c r="G3227">
        <v>522.16</v>
      </c>
      <c r="H3227" s="2">
        <f>Table1[[#This Row],[Profit]]/Table1[[#This Row],[Sales]]*100</f>
        <v>11.058026260059297</v>
      </c>
      <c r="I3227" t="str">
        <f>IF(Table1[[#This Row],[Profit %]]&gt;20,"Excellent",IF(H3227&gt;10.1,"Good","Low"))</f>
        <v>Good</v>
      </c>
    </row>
    <row r="3228" spans="1:9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 s="2">
        <v>2150</v>
      </c>
      <c r="G3228">
        <v>625.92999999999995</v>
      </c>
      <c r="H3228" s="2">
        <f>Table1[[#This Row],[Profit]]/Table1[[#This Row],[Sales]]*100</f>
        <v>29.113023255813953</v>
      </c>
      <c r="I3228" t="str">
        <f>IF(Table1[[#This Row],[Profit %]]&gt;20,"Excellent",IF(H3228&gt;10.1,"Good","Low"))</f>
        <v>Excellent</v>
      </c>
    </row>
    <row r="3229" spans="1:9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 s="2">
        <v>3619</v>
      </c>
      <c r="G3229">
        <v>827.39</v>
      </c>
      <c r="H3229" s="2">
        <f>Table1[[#This Row],[Profit]]/Table1[[#This Row],[Sales]]*100</f>
        <v>22.862392926222714</v>
      </c>
      <c r="I3229" t="str">
        <f>IF(Table1[[#This Row],[Profit %]]&gt;20,"Excellent",IF(H3229&gt;10.1,"Good","Low"))</f>
        <v>Excellent</v>
      </c>
    </row>
    <row r="3230" spans="1:9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 s="2">
        <v>3892</v>
      </c>
      <c r="G3230">
        <v>909.22</v>
      </c>
      <c r="H3230" s="2">
        <f>Table1[[#This Row],[Profit]]/Table1[[#This Row],[Sales]]*100</f>
        <v>23.361253854059612</v>
      </c>
      <c r="I3230" t="str">
        <f>IF(Table1[[#This Row],[Profit %]]&gt;20,"Excellent",IF(H3230&gt;10.1,"Good","Low"))</f>
        <v>Excellent</v>
      </c>
    </row>
    <row r="3231" spans="1:9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 s="2">
        <v>54</v>
      </c>
      <c r="G3231">
        <v>13.29</v>
      </c>
      <c r="H3231" s="2">
        <f>Table1[[#This Row],[Profit]]/Table1[[#This Row],[Sales]]*100</f>
        <v>24.611111111111107</v>
      </c>
      <c r="I3231" t="str">
        <f>IF(Table1[[#This Row],[Profit %]]&gt;20,"Excellent",IF(H3231&gt;10.1,"Good","Low"))</f>
        <v>Excellent</v>
      </c>
    </row>
    <row r="3232" spans="1:9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 s="2">
        <v>612</v>
      </c>
      <c r="G3232">
        <v>136.25</v>
      </c>
      <c r="H3232" s="2">
        <f>Table1[[#This Row],[Profit]]/Table1[[#This Row],[Sales]]*100</f>
        <v>22.263071895424837</v>
      </c>
      <c r="I3232" t="str">
        <f>IF(Table1[[#This Row],[Profit %]]&gt;20,"Excellent",IF(H3232&gt;10.1,"Good","Low"))</f>
        <v>Excellent</v>
      </c>
    </row>
    <row r="3233" spans="1:9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 s="2">
        <v>3850</v>
      </c>
      <c r="G3233">
        <v>419.55</v>
      </c>
      <c r="H3233" s="2">
        <f>Table1[[#This Row],[Profit]]/Table1[[#This Row],[Sales]]*100</f>
        <v>10.897402597402598</v>
      </c>
      <c r="I3233" t="str">
        <f>IF(Table1[[#This Row],[Profit %]]&gt;20,"Excellent",IF(H3233&gt;10.1,"Good","Low"))</f>
        <v>Good</v>
      </c>
    </row>
    <row r="3234" spans="1:9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 s="2">
        <v>3005</v>
      </c>
      <c r="G3234">
        <v>389.93</v>
      </c>
      <c r="H3234" s="2">
        <f>Table1[[#This Row],[Profit]]/Table1[[#This Row],[Sales]]*100</f>
        <v>12.976039933444261</v>
      </c>
      <c r="I3234" t="str">
        <f>IF(Table1[[#This Row],[Profit %]]&gt;20,"Excellent",IF(H3234&gt;10.1,"Good","Low"))</f>
        <v>Good</v>
      </c>
    </row>
    <row r="3235" spans="1:9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 s="2">
        <v>5256</v>
      </c>
      <c r="G3235">
        <v>1296.6500000000001</v>
      </c>
      <c r="H3235" s="2">
        <f>Table1[[#This Row],[Profit]]/Table1[[#This Row],[Sales]]*100</f>
        <v>24.669901065449011</v>
      </c>
      <c r="I3235" t="str">
        <f>IF(Table1[[#This Row],[Profit %]]&gt;20,"Excellent",IF(H3235&gt;10.1,"Good","Low"))</f>
        <v>Excellent</v>
      </c>
    </row>
    <row r="3236" spans="1:9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 s="2">
        <v>3576</v>
      </c>
      <c r="G3236">
        <v>1033.3</v>
      </c>
      <c r="H3236" s="2">
        <f>Table1[[#This Row],[Profit]]/Table1[[#This Row],[Sales]]*100</f>
        <v>28.895413870246085</v>
      </c>
      <c r="I3236" t="str">
        <f>IF(Table1[[#This Row],[Profit %]]&gt;20,"Excellent",IF(H3236&gt;10.1,"Good","Low"))</f>
        <v>Excellent</v>
      </c>
    </row>
    <row r="3237" spans="1:9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 s="2">
        <v>3415</v>
      </c>
      <c r="G3237">
        <v>496.48</v>
      </c>
      <c r="H3237" s="2">
        <f>Table1[[#This Row],[Profit]]/Table1[[#This Row],[Sales]]*100</f>
        <v>14.538213762811129</v>
      </c>
      <c r="I3237" t="str">
        <f>IF(Table1[[#This Row],[Profit %]]&gt;20,"Excellent",IF(H3237&gt;10.1,"Good","Low"))</f>
        <v>Good</v>
      </c>
    </row>
    <row r="3238" spans="1:9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 s="2">
        <v>1722</v>
      </c>
      <c r="G3238">
        <v>203.04</v>
      </c>
      <c r="H3238" s="2">
        <f>Table1[[#This Row],[Profit]]/Table1[[#This Row],[Sales]]*100</f>
        <v>11.790940766550523</v>
      </c>
      <c r="I3238" t="str">
        <f>IF(Table1[[#This Row],[Profit %]]&gt;20,"Excellent",IF(H3238&gt;10.1,"Good","Low"))</f>
        <v>Good</v>
      </c>
    </row>
    <row r="3239" spans="1:9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 s="2">
        <v>4088</v>
      </c>
      <c r="G3239">
        <v>853.36</v>
      </c>
      <c r="H3239" s="2">
        <f>Table1[[#This Row],[Profit]]/Table1[[#This Row],[Sales]]*100</f>
        <v>20.874755381604697</v>
      </c>
      <c r="I3239" t="str">
        <f>IF(Table1[[#This Row],[Profit %]]&gt;20,"Excellent",IF(H3239&gt;10.1,"Good","Low"))</f>
        <v>Excellent</v>
      </c>
    </row>
    <row r="3240" spans="1:9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 s="2">
        <v>5320</v>
      </c>
      <c r="G3240">
        <v>882.84</v>
      </c>
      <c r="H3240" s="2">
        <f>Table1[[#This Row],[Profit]]/Table1[[#This Row],[Sales]]*100</f>
        <v>16.594736842105267</v>
      </c>
      <c r="I3240" t="str">
        <f>IF(Table1[[#This Row],[Profit %]]&gt;20,"Excellent",IF(H3240&gt;10.1,"Good","Low"))</f>
        <v>Good</v>
      </c>
    </row>
    <row r="3241" spans="1:9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 s="2">
        <v>3660</v>
      </c>
      <c r="G3241">
        <v>1079</v>
      </c>
      <c r="H3241" s="2">
        <f>Table1[[#This Row],[Profit]]/Table1[[#This Row],[Sales]]*100</f>
        <v>29.480874316939893</v>
      </c>
      <c r="I3241" t="str">
        <f>IF(Table1[[#This Row],[Profit %]]&gt;20,"Excellent",IF(H3241&gt;10.1,"Good","Low"))</f>
        <v>Excellent</v>
      </c>
    </row>
    <row r="3242" spans="1:9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 s="2">
        <v>5250</v>
      </c>
      <c r="G3242">
        <v>1228.49</v>
      </c>
      <c r="H3242" s="2">
        <f>Table1[[#This Row],[Profit]]/Table1[[#This Row],[Sales]]*100</f>
        <v>23.399809523809523</v>
      </c>
      <c r="I3242" t="str">
        <f>IF(Table1[[#This Row],[Profit %]]&gt;20,"Excellent",IF(H3242&gt;10.1,"Good","Low"))</f>
        <v>Excellent</v>
      </c>
    </row>
    <row r="3243" spans="1:9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 s="2">
        <v>328</v>
      </c>
      <c r="G3243">
        <v>90.89</v>
      </c>
      <c r="H3243" s="2">
        <f>Table1[[#This Row],[Profit]]/Table1[[#This Row],[Sales]]*100</f>
        <v>27.710365853658537</v>
      </c>
      <c r="I3243" t="str">
        <f>IF(Table1[[#This Row],[Profit %]]&gt;20,"Excellent",IF(H3243&gt;10.1,"Good","Low"))</f>
        <v>Excellent</v>
      </c>
    </row>
    <row r="3244" spans="1:9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 s="2">
        <v>1596</v>
      </c>
      <c r="G3244">
        <v>359.71</v>
      </c>
      <c r="H3244" s="2">
        <f>Table1[[#This Row],[Profit]]/Table1[[#This Row],[Sales]]*100</f>
        <v>22.538220551378448</v>
      </c>
      <c r="I3244" t="str">
        <f>IF(Table1[[#This Row],[Profit %]]&gt;20,"Excellent",IF(H3244&gt;10.1,"Good","Low"))</f>
        <v>Excellent</v>
      </c>
    </row>
    <row r="3245" spans="1:9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 s="2">
        <v>2443</v>
      </c>
      <c r="G3245">
        <v>661.21</v>
      </c>
      <c r="H3245" s="2">
        <f>Table1[[#This Row],[Profit]]/Table1[[#This Row],[Sales]]*100</f>
        <v>27.065493246009009</v>
      </c>
      <c r="I3245" t="str">
        <f>IF(Table1[[#This Row],[Profit %]]&gt;20,"Excellent",IF(H3245&gt;10.1,"Good","Low"))</f>
        <v>Excellent</v>
      </c>
    </row>
    <row r="3246" spans="1:9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 s="2">
        <v>5432</v>
      </c>
      <c r="G3246">
        <v>870.08</v>
      </c>
      <c r="H3246" s="2">
        <f>Table1[[#This Row],[Profit]]/Table1[[#This Row],[Sales]]*100</f>
        <v>16.017673048600884</v>
      </c>
      <c r="I3246" t="str">
        <f>IF(Table1[[#This Row],[Profit %]]&gt;20,"Excellent",IF(H3246&gt;10.1,"Good","Low"))</f>
        <v>Good</v>
      </c>
    </row>
    <row r="3247" spans="1:9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 s="2">
        <v>1254</v>
      </c>
      <c r="G3247">
        <v>221.19</v>
      </c>
      <c r="H3247" s="2">
        <f>Table1[[#This Row],[Profit]]/Table1[[#This Row],[Sales]]*100</f>
        <v>17.638755980861241</v>
      </c>
      <c r="I3247" t="str">
        <f>IF(Table1[[#This Row],[Profit %]]&gt;20,"Excellent",IF(H3247&gt;10.1,"Good","Low"))</f>
        <v>Good</v>
      </c>
    </row>
    <row r="3248" spans="1:9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 s="2">
        <v>5495</v>
      </c>
      <c r="G3248">
        <v>1276.27</v>
      </c>
      <c r="H3248" s="2">
        <f>Table1[[#This Row],[Profit]]/Table1[[#This Row],[Sales]]*100</f>
        <v>23.226023657870794</v>
      </c>
      <c r="I3248" t="str">
        <f>IF(Table1[[#This Row],[Profit %]]&gt;20,"Excellent",IF(H3248&gt;10.1,"Good","Low"))</f>
        <v>Excellent</v>
      </c>
    </row>
    <row r="3249" spans="1:9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 s="2">
        <v>596</v>
      </c>
      <c r="G3249">
        <v>72.650000000000006</v>
      </c>
      <c r="H3249" s="2">
        <f>Table1[[#This Row],[Profit]]/Table1[[#This Row],[Sales]]*100</f>
        <v>12.189597315436243</v>
      </c>
      <c r="I3249" t="str">
        <f>IF(Table1[[#This Row],[Profit %]]&gt;20,"Excellent",IF(H3249&gt;10.1,"Good","Low"))</f>
        <v>Good</v>
      </c>
    </row>
    <row r="3250" spans="1:9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 s="2">
        <v>3696</v>
      </c>
      <c r="G3250">
        <v>597.66</v>
      </c>
      <c r="H3250" s="2">
        <f>Table1[[#This Row],[Profit]]/Table1[[#This Row],[Sales]]*100</f>
        <v>16.170454545454543</v>
      </c>
      <c r="I3250" t="str">
        <f>IF(Table1[[#This Row],[Profit %]]&gt;20,"Excellent",IF(H3250&gt;10.1,"Good","Low"))</f>
        <v>Good</v>
      </c>
    </row>
    <row r="3251" spans="1:9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 s="2">
        <v>4488</v>
      </c>
      <c r="G3251">
        <v>939.05</v>
      </c>
      <c r="H3251" s="2">
        <f>Table1[[#This Row],[Profit]]/Table1[[#This Row],[Sales]]*100</f>
        <v>20.923573975044562</v>
      </c>
      <c r="I3251" t="str">
        <f>IF(Table1[[#This Row],[Profit %]]&gt;20,"Excellent",IF(H3251&gt;10.1,"Good","Low"))</f>
        <v>Excellent</v>
      </c>
    </row>
    <row r="3252" spans="1:9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 s="2">
        <v>6846</v>
      </c>
      <c r="G3252">
        <v>932.21</v>
      </c>
      <c r="H3252" s="2">
        <f>Table1[[#This Row],[Profit]]/Table1[[#This Row],[Sales]]*100</f>
        <v>13.61685655857435</v>
      </c>
      <c r="I3252" t="str">
        <f>IF(Table1[[#This Row],[Profit %]]&gt;20,"Excellent",IF(H3252&gt;10.1,"Good","Low"))</f>
        <v>Good</v>
      </c>
    </row>
    <row r="3253" spans="1:9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 s="2">
        <v>2960</v>
      </c>
      <c r="G3253">
        <v>607.64</v>
      </c>
      <c r="H3253" s="2">
        <f>Table1[[#This Row],[Profit]]/Table1[[#This Row],[Sales]]*100</f>
        <v>20.528378378378378</v>
      </c>
      <c r="I3253" t="str">
        <f>IF(Table1[[#This Row],[Profit %]]&gt;20,"Excellent",IF(H3253&gt;10.1,"Good","Low"))</f>
        <v>Excellent</v>
      </c>
    </row>
    <row r="3254" spans="1:9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 s="2">
        <v>419</v>
      </c>
      <c r="G3254">
        <v>99.5</v>
      </c>
      <c r="H3254" s="2">
        <f>Table1[[#This Row],[Profit]]/Table1[[#This Row],[Sales]]*100</f>
        <v>23.747016706443912</v>
      </c>
      <c r="I3254" t="str">
        <f>IF(Table1[[#This Row],[Profit %]]&gt;20,"Excellent",IF(H3254&gt;10.1,"Good","Low"))</f>
        <v>Excellent</v>
      </c>
    </row>
    <row r="3255" spans="1:9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 s="2">
        <v>6246</v>
      </c>
      <c r="G3255">
        <v>327.14</v>
      </c>
      <c r="H3255" s="2">
        <f>Table1[[#This Row],[Profit]]/Table1[[#This Row],[Sales]]*100</f>
        <v>5.2375920589177074</v>
      </c>
      <c r="I3255" t="str">
        <f>IF(Table1[[#This Row],[Profit %]]&gt;20,"Excellent",IF(H3255&gt;10.1,"Good","Low"))</f>
        <v>Low</v>
      </c>
    </row>
    <row r="3256" spans="1:9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 s="2">
        <v>1900</v>
      </c>
      <c r="G3256">
        <v>372.18</v>
      </c>
      <c r="H3256" s="2">
        <f>Table1[[#This Row],[Profit]]/Table1[[#This Row],[Sales]]*100</f>
        <v>19.588421052631581</v>
      </c>
      <c r="I3256" t="str">
        <f>IF(Table1[[#This Row],[Profit %]]&gt;20,"Excellent",IF(H3256&gt;10.1,"Good","Low"))</f>
        <v>Good</v>
      </c>
    </row>
    <row r="3257" spans="1:9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 s="2">
        <v>3451</v>
      </c>
      <c r="G3257">
        <v>397.29</v>
      </c>
      <c r="H3257" s="2">
        <f>Table1[[#This Row],[Profit]]/Table1[[#This Row],[Sales]]*100</f>
        <v>11.512315270935961</v>
      </c>
      <c r="I3257" t="str">
        <f>IF(Table1[[#This Row],[Profit %]]&gt;20,"Excellent",IF(H3257&gt;10.1,"Good","Low"))</f>
        <v>Good</v>
      </c>
    </row>
    <row r="3258" spans="1:9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 s="2">
        <v>1612</v>
      </c>
      <c r="G3258">
        <v>344.37</v>
      </c>
      <c r="H3258" s="2">
        <f>Table1[[#This Row],[Profit]]/Table1[[#This Row],[Sales]]*100</f>
        <v>21.362903225806452</v>
      </c>
      <c r="I3258" t="str">
        <f>IF(Table1[[#This Row],[Profit %]]&gt;20,"Excellent",IF(H3258&gt;10.1,"Good","Low"))</f>
        <v>Excellent</v>
      </c>
    </row>
    <row r="3259" spans="1:9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 s="2">
        <v>4445</v>
      </c>
      <c r="G3259">
        <v>642.83000000000004</v>
      </c>
      <c r="H3259" s="2">
        <f>Table1[[#This Row],[Profit]]/Table1[[#This Row],[Sales]]*100</f>
        <v>14.461867266591677</v>
      </c>
      <c r="I3259" t="str">
        <f>IF(Table1[[#This Row],[Profit %]]&gt;20,"Excellent",IF(H3259&gt;10.1,"Good","Low"))</f>
        <v>Good</v>
      </c>
    </row>
    <row r="3260" spans="1:9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 s="2">
        <v>720</v>
      </c>
      <c r="G3260">
        <v>63.84</v>
      </c>
      <c r="H3260" s="2">
        <f>Table1[[#This Row],[Profit]]/Table1[[#This Row],[Sales]]*100</f>
        <v>8.8666666666666671</v>
      </c>
      <c r="I3260" t="str">
        <f>IF(Table1[[#This Row],[Profit %]]&gt;20,"Excellent",IF(H3260&gt;10.1,"Good","Low"))</f>
        <v>Low</v>
      </c>
    </row>
    <row r="3261" spans="1:9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 s="2">
        <v>1428</v>
      </c>
      <c r="G3261">
        <v>234.49</v>
      </c>
      <c r="H3261" s="2">
        <f>Table1[[#This Row],[Profit]]/Table1[[#This Row],[Sales]]*100</f>
        <v>16.420868347338935</v>
      </c>
      <c r="I3261" t="str">
        <f>IF(Table1[[#This Row],[Profit %]]&gt;20,"Excellent",IF(H3261&gt;10.1,"Good","Low"))</f>
        <v>Good</v>
      </c>
    </row>
    <row r="3262" spans="1:9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 s="2">
        <v>3532</v>
      </c>
      <c r="G3262">
        <v>665.2</v>
      </c>
      <c r="H3262" s="2">
        <f>Table1[[#This Row],[Profit]]/Table1[[#This Row],[Sales]]*100</f>
        <v>18.83352208380521</v>
      </c>
      <c r="I3262" t="str">
        <f>IF(Table1[[#This Row],[Profit %]]&gt;20,"Excellent",IF(H3262&gt;10.1,"Good","Low"))</f>
        <v>Good</v>
      </c>
    </row>
    <row r="3263" spans="1:9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 s="2">
        <v>6528</v>
      </c>
      <c r="G3263">
        <v>549.62</v>
      </c>
      <c r="H3263" s="2">
        <f>Table1[[#This Row],[Profit]]/Table1[[#This Row],[Sales]]*100</f>
        <v>8.4194240196078436</v>
      </c>
      <c r="I3263" t="str">
        <f>IF(Table1[[#This Row],[Profit %]]&gt;20,"Excellent",IF(H3263&gt;10.1,"Good","Low"))</f>
        <v>Low</v>
      </c>
    </row>
    <row r="3264" spans="1:9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 s="2">
        <v>743</v>
      </c>
      <c r="G3264">
        <v>216.5</v>
      </c>
      <c r="H3264" s="2">
        <f>Table1[[#This Row],[Profit]]/Table1[[#This Row],[Sales]]*100</f>
        <v>29.138627187079408</v>
      </c>
      <c r="I3264" t="str">
        <f>IF(Table1[[#This Row],[Profit %]]&gt;20,"Excellent",IF(H3264&gt;10.1,"Good","Low"))</f>
        <v>Excellent</v>
      </c>
    </row>
    <row r="3265" spans="1:9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 s="2">
        <v>1758</v>
      </c>
      <c r="G3265">
        <v>287.36</v>
      </c>
      <c r="H3265" s="2">
        <f>Table1[[#This Row],[Profit]]/Table1[[#This Row],[Sales]]*100</f>
        <v>16.345847554038681</v>
      </c>
      <c r="I3265" t="str">
        <f>IF(Table1[[#This Row],[Profit %]]&gt;20,"Excellent",IF(H3265&gt;10.1,"Good","Low"))</f>
        <v>Good</v>
      </c>
    </row>
    <row r="3266" spans="1:9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 s="2">
        <v>1008</v>
      </c>
      <c r="G3266">
        <v>100.61</v>
      </c>
      <c r="H3266" s="2">
        <f>Table1[[#This Row],[Profit]]/Table1[[#This Row],[Sales]]*100</f>
        <v>9.9811507936507926</v>
      </c>
      <c r="I3266" t="str">
        <f>IF(Table1[[#This Row],[Profit %]]&gt;20,"Excellent",IF(H3266&gt;10.1,"Good","Low"))</f>
        <v>Low</v>
      </c>
    </row>
    <row r="3267" spans="1:9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 s="2">
        <v>995</v>
      </c>
      <c r="G3267">
        <v>149.86000000000001</v>
      </c>
      <c r="H3267" s="2">
        <f>Table1[[#This Row],[Profit]]/Table1[[#This Row],[Sales]]*100</f>
        <v>15.061306532663318</v>
      </c>
      <c r="I3267" t="str">
        <f>IF(Table1[[#This Row],[Profit %]]&gt;20,"Excellent",IF(H3267&gt;10.1,"Good","Low"))</f>
        <v>Good</v>
      </c>
    </row>
    <row r="3268" spans="1:9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 s="2">
        <v>4032</v>
      </c>
      <c r="G3268">
        <v>876.91</v>
      </c>
      <c r="H3268" s="2">
        <f>Table1[[#This Row],[Profit]]/Table1[[#This Row],[Sales]]*100</f>
        <v>21.748759920634917</v>
      </c>
      <c r="I3268" t="str">
        <f>IF(Table1[[#This Row],[Profit %]]&gt;20,"Excellent",IF(H3268&gt;10.1,"Good","Low"))</f>
        <v>Excellent</v>
      </c>
    </row>
    <row r="3269" spans="1:9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 s="2">
        <v>480</v>
      </c>
      <c r="G3269">
        <v>131.08000000000001</v>
      </c>
      <c r="H3269" s="2">
        <f>Table1[[#This Row],[Profit]]/Table1[[#This Row],[Sales]]*100</f>
        <v>27.308333333333334</v>
      </c>
      <c r="I3269" t="str">
        <f>IF(Table1[[#This Row],[Profit %]]&gt;20,"Excellent",IF(H3269&gt;10.1,"Good","Low"))</f>
        <v>Excellent</v>
      </c>
    </row>
    <row r="3270" spans="1:9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 s="2">
        <v>989</v>
      </c>
      <c r="G3270">
        <v>149.99</v>
      </c>
      <c r="H3270" s="2">
        <f>Table1[[#This Row],[Profit]]/Table1[[#This Row],[Sales]]*100</f>
        <v>15.165824064711831</v>
      </c>
      <c r="I3270" t="str">
        <f>IF(Table1[[#This Row],[Profit %]]&gt;20,"Excellent",IF(H3270&gt;10.1,"Good","Low"))</f>
        <v>Good</v>
      </c>
    </row>
    <row r="3271" spans="1:9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 s="2">
        <v>6606</v>
      </c>
      <c r="G3271">
        <v>759.55</v>
      </c>
      <c r="H3271" s="2">
        <f>Table1[[#This Row],[Profit]]/Table1[[#This Row],[Sales]]*100</f>
        <v>11.497880714501967</v>
      </c>
      <c r="I3271" t="str">
        <f>IF(Table1[[#This Row],[Profit %]]&gt;20,"Excellent",IF(H3271&gt;10.1,"Good","Low"))</f>
        <v>Good</v>
      </c>
    </row>
    <row r="3272" spans="1:9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 s="2">
        <v>912</v>
      </c>
      <c r="G3272">
        <v>256.58</v>
      </c>
      <c r="H3272" s="2">
        <f>Table1[[#This Row],[Profit]]/Table1[[#This Row],[Sales]]*100</f>
        <v>28.133771929824558</v>
      </c>
      <c r="I3272" t="str">
        <f>IF(Table1[[#This Row],[Profit %]]&gt;20,"Excellent",IF(H3272&gt;10.1,"Good","Low"))</f>
        <v>Excellent</v>
      </c>
    </row>
    <row r="3273" spans="1:9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 s="2">
        <v>2912</v>
      </c>
      <c r="G3273">
        <v>331.11</v>
      </c>
      <c r="H3273" s="2">
        <f>Table1[[#This Row],[Profit]]/Table1[[#This Row],[Sales]]*100</f>
        <v>11.370535714285715</v>
      </c>
      <c r="I3273" t="str">
        <f>IF(Table1[[#This Row],[Profit %]]&gt;20,"Excellent",IF(H3273&gt;10.1,"Good","Low"))</f>
        <v>Good</v>
      </c>
    </row>
    <row r="3274" spans="1:9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 s="2">
        <v>845</v>
      </c>
      <c r="G3274">
        <v>69.349999999999994</v>
      </c>
      <c r="H3274" s="2">
        <f>Table1[[#This Row],[Profit]]/Table1[[#This Row],[Sales]]*100</f>
        <v>8.2071005917159745</v>
      </c>
      <c r="I3274" t="str">
        <f>IF(Table1[[#This Row],[Profit %]]&gt;20,"Excellent",IF(H3274&gt;10.1,"Good","Low"))</f>
        <v>Low</v>
      </c>
    </row>
    <row r="3275" spans="1:9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 s="2">
        <v>2804</v>
      </c>
      <c r="G3275">
        <v>382.82</v>
      </c>
      <c r="H3275" s="2">
        <f>Table1[[#This Row],[Profit]]/Table1[[#This Row],[Sales]]*100</f>
        <v>13.652639087018544</v>
      </c>
      <c r="I3275" t="str">
        <f>IF(Table1[[#This Row],[Profit %]]&gt;20,"Excellent",IF(H3275&gt;10.1,"Good","Low"))</f>
        <v>Good</v>
      </c>
    </row>
    <row r="3276" spans="1:9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 s="2">
        <v>208</v>
      </c>
      <c r="G3276">
        <v>11.53</v>
      </c>
      <c r="H3276" s="2">
        <f>Table1[[#This Row],[Profit]]/Table1[[#This Row],[Sales]]*100</f>
        <v>5.5432692307692308</v>
      </c>
      <c r="I3276" t="str">
        <f>IF(Table1[[#This Row],[Profit %]]&gt;20,"Excellent",IF(H3276&gt;10.1,"Good","Low"))</f>
        <v>Low</v>
      </c>
    </row>
    <row r="3277" spans="1:9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 s="2">
        <v>379</v>
      </c>
      <c r="G3277">
        <v>42.24</v>
      </c>
      <c r="H3277" s="2">
        <f>Table1[[#This Row],[Profit]]/Table1[[#This Row],[Sales]]*100</f>
        <v>11.145118733509236</v>
      </c>
      <c r="I3277" t="str">
        <f>IF(Table1[[#This Row],[Profit %]]&gt;20,"Excellent",IF(H3277&gt;10.1,"Good","Low"))</f>
        <v>Good</v>
      </c>
    </row>
    <row r="3278" spans="1:9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 s="2">
        <v>1227</v>
      </c>
      <c r="G3278">
        <v>113.38</v>
      </c>
      <c r="H3278" s="2">
        <f>Table1[[#This Row],[Profit]]/Table1[[#This Row],[Sales]]*100</f>
        <v>9.2404237978810109</v>
      </c>
      <c r="I3278" t="str">
        <f>IF(Table1[[#This Row],[Profit %]]&gt;20,"Excellent",IF(H3278&gt;10.1,"Good","Low"))</f>
        <v>Low</v>
      </c>
    </row>
    <row r="3279" spans="1:9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 s="2">
        <v>5551</v>
      </c>
      <c r="G3279">
        <v>392.37</v>
      </c>
      <c r="H3279" s="2">
        <f>Table1[[#This Row],[Profit]]/Table1[[#This Row],[Sales]]*100</f>
        <v>7.0684561340299048</v>
      </c>
      <c r="I3279" t="str">
        <f>IF(Table1[[#This Row],[Profit %]]&gt;20,"Excellent",IF(H3279&gt;10.1,"Good","Low"))</f>
        <v>Low</v>
      </c>
    </row>
    <row r="3280" spans="1:9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 s="2">
        <v>423</v>
      </c>
      <c r="G3280">
        <v>115.44</v>
      </c>
      <c r="H3280" s="2">
        <f>Table1[[#This Row],[Profit]]/Table1[[#This Row],[Sales]]*100</f>
        <v>27.290780141843975</v>
      </c>
      <c r="I3280" t="str">
        <f>IF(Table1[[#This Row],[Profit %]]&gt;20,"Excellent",IF(H3280&gt;10.1,"Good","Low"))</f>
        <v>Excellent</v>
      </c>
    </row>
    <row r="3281" spans="1:9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 s="2">
        <v>5982</v>
      </c>
      <c r="G3281">
        <v>944.81</v>
      </c>
      <c r="H3281" s="2">
        <f>Table1[[#This Row],[Profit]]/Table1[[#This Row],[Sales]]*100</f>
        <v>15.794215981277162</v>
      </c>
      <c r="I3281" t="str">
        <f>IF(Table1[[#This Row],[Profit %]]&gt;20,"Excellent",IF(H3281&gt;10.1,"Good","Low"))</f>
        <v>Good</v>
      </c>
    </row>
    <row r="3282" spans="1:9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 s="2">
        <v>3732</v>
      </c>
      <c r="G3282">
        <v>468.6</v>
      </c>
      <c r="H3282" s="2">
        <f>Table1[[#This Row],[Profit]]/Table1[[#This Row],[Sales]]*100</f>
        <v>12.556270096463024</v>
      </c>
      <c r="I3282" t="str">
        <f>IF(Table1[[#This Row],[Profit %]]&gt;20,"Excellent",IF(H3282&gt;10.1,"Good","Low"))</f>
        <v>Good</v>
      </c>
    </row>
    <row r="3283" spans="1:9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 s="2">
        <v>5904</v>
      </c>
      <c r="G3283">
        <v>1152.23</v>
      </c>
      <c r="H3283" s="2">
        <f>Table1[[#This Row],[Profit]]/Table1[[#This Row],[Sales]]*100</f>
        <v>19.516090785907856</v>
      </c>
      <c r="I3283" t="str">
        <f>IF(Table1[[#This Row],[Profit %]]&gt;20,"Excellent",IF(H3283&gt;10.1,"Good","Low"))</f>
        <v>Good</v>
      </c>
    </row>
    <row r="3284" spans="1:9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 s="2">
        <v>1810</v>
      </c>
      <c r="G3284">
        <v>171.47</v>
      </c>
      <c r="H3284" s="2">
        <f>Table1[[#This Row],[Profit]]/Table1[[#This Row],[Sales]]*100</f>
        <v>9.4734806629834267</v>
      </c>
      <c r="I3284" t="str">
        <f>IF(Table1[[#This Row],[Profit %]]&gt;20,"Excellent",IF(H3284&gt;10.1,"Good","Low"))</f>
        <v>Low</v>
      </c>
    </row>
    <row r="3285" spans="1:9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 s="2">
        <v>5604</v>
      </c>
      <c r="G3285">
        <v>615.07000000000005</v>
      </c>
      <c r="H3285" s="2">
        <f>Table1[[#This Row],[Profit]]/Table1[[#This Row],[Sales]]*100</f>
        <v>10.975553176302641</v>
      </c>
      <c r="I3285" t="str">
        <f>IF(Table1[[#This Row],[Profit %]]&gt;20,"Excellent",IF(H3285&gt;10.1,"Good","Low"))</f>
        <v>Good</v>
      </c>
    </row>
    <row r="3286" spans="1:9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 s="2">
        <v>432</v>
      </c>
      <c r="G3286">
        <v>81.31</v>
      </c>
      <c r="H3286" s="2">
        <f>Table1[[#This Row],[Profit]]/Table1[[#This Row],[Sales]]*100</f>
        <v>18.82175925925926</v>
      </c>
      <c r="I3286" t="str">
        <f>IF(Table1[[#This Row],[Profit %]]&gt;20,"Excellent",IF(H3286&gt;10.1,"Good","Low"))</f>
        <v>Good</v>
      </c>
    </row>
    <row r="3287" spans="1:9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 s="2">
        <v>416</v>
      </c>
      <c r="G3287">
        <v>68.58</v>
      </c>
      <c r="H3287" s="2">
        <f>Table1[[#This Row],[Profit]]/Table1[[#This Row],[Sales]]*100</f>
        <v>16.485576923076923</v>
      </c>
      <c r="I3287" t="str">
        <f>IF(Table1[[#This Row],[Profit %]]&gt;20,"Excellent",IF(H3287&gt;10.1,"Good","Low"))</f>
        <v>Good</v>
      </c>
    </row>
    <row r="3288" spans="1:9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 s="2">
        <v>1224</v>
      </c>
      <c r="G3288">
        <v>281.43</v>
      </c>
      <c r="H3288" s="2">
        <f>Table1[[#This Row],[Profit]]/Table1[[#This Row],[Sales]]*100</f>
        <v>22.992647058823529</v>
      </c>
      <c r="I3288" t="str">
        <f>IF(Table1[[#This Row],[Profit %]]&gt;20,"Excellent",IF(H3288&gt;10.1,"Good","Low"))</f>
        <v>Excellent</v>
      </c>
    </row>
    <row r="3289" spans="1:9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 s="2">
        <v>5168</v>
      </c>
      <c r="G3289">
        <v>672.6</v>
      </c>
      <c r="H3289" s="2">
        <f>Table1[[#This Row],[Profit]]/Table1[[#This Row],[Sales]]*100</f>
        <v>13.014705882352942</v>
      </c>
      <c r="I3289" t="str">
        <f>IF(Table1[[#This Row],[Profit %]]&gt;20,"Excellent",IF(H3289&gt;10.1,"Good","Low"))</f>
        <v>Good</v>
      </c>
    </row>
    <row r="3290" spans="1:9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 s="2">
        <v>6522</v>
      </c>
      <c r="G3290">
        <v>502.98</v>
      </c>
      <c r="H3290" s="2">
        <f>Table1[[#This Row],[Profit]]/Table1[[#This Row],[Sales]]*100</f>
        <v>7.7120515179392823</v>
      </c>
      <c r="I3290" t="str">
        <f>IF(Table1[[#This Row],[Profit %]]&gt;20,"Excellent",IF(H3290&gt;10.1,"Good","Low"))</f>
        <v>Low</v>
      </c>
    </row>
    <row r="3291" spans="1:9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 s="2">
        <v>1090</v>
      </c>
      <c r="G3291">
        <v>140.69999999999999</v>
      </c>
      <c r="H3291" s="2">
        <f>Table1[[#This Row],[Profit]]/Table1[[#This Row],[Sales]]*100</f>
        <v>12.908256880733942</v>
      </c>
      <c r="I3291" t="str">
        <f>IF(Table1[[#This Row],[Profit %]]&gt;20,"Excellent",IF(H3291&gt;10.1,"Good","Low"))</f>
        <v>Good</v>
      </c>
    </row>
    <row r="3292" spans="1:9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 s="2">
        <v>1737</v>
      </c>
      <c r="G3292">
        <v>353.17</v>
      </c>
      <c r="H3292" s="2">
        <f>Table1[[#This Row],[Profit]]/Table1[[#This Row],[Sales]]*100</f>
        <v>20.332181922855501</v>
      </c>
      <c r="I3292" t="str">
        <f>IF(Table1[[#This Row],[Profit %]]&gt;20,"Excellent",IF(H3292&gt;10.1,"Good","Low"))</f>
        <v>Excellent</v>
      </c>
    </row>
    <row r="3293" spans="1:9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 s="2">
        <v>7281</v>
      </c>
      <c r="G3293">
        <v>1358.17</v>
      </c>
      <c r="H3293" s="2">
        <f>Table1[[#This Row],[Profit]]/Table1[[#This Row],[Sales]]*100</f>
        <v>18.653619008377973</v>
      </c>
      <c r="I3293" t="str">
        <f>IF(Table1[[#This Row],[Profit %]]&gt;20,"Excellent",IF(H3293&gt;10.1,"Good","Low"))</f>
        <v>Good</v>
      </c>
    </row>
    <row r="3294" spans="1:9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 s="2">
        <v>5832</v>
      </c>
      <c r="G3294">
        <v>1007.54</v>
      </c>
      <c r="H3294" s="2">
        <f>Table1[[#This Row],[Profit]]/Table1[[#This Row],[Sales]]*100</f>
        <v>17.276063100137172</v>
      </c>
      <c r="I3294" t="str">
        <f>IF(Table1[[#This Row],[Profit %]]&gt;20,"Excellent",IF(H3294&gt;10.1,"Good","Low"))</f>
        <v>Good</v>
      </c>
    </row>
    <row r="3295" spans="1:9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 s="2">
        <v>7020</v>
      </c>
      <c r="G3295">
        <v>623.97</v>
      </c>
      <c r="H3295" s="2">
        <f>Table1[[#This Row],[Profit]]/Table1[[#This Row],[Sales]]*100</f>
        <v>8.8884615384615397</v>
      </c>
      <c r="I3295" t="str">
        <f>IF(Table1[[#This Row],[Profit %]]&gt;20,"Excellent",IF(H3295&gt;10.1,"Good","Low"))</f>
        <v>Low</v>
      </c>
    </row>
    <row r="3296" spans="1:9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 s="2">
        <v>2001</v>
      </c>
      <c r="G3296">
        <v>420.08</v>
      </c>
      <c r="H3296" s="2">
        <f>Table1[[#This Row],[Profit]]/Table1[[#This Row],[Sales]]*100</f>
        <v>20.993503248375809</v>
      </c>
      <c r="I3296" t="str">
        <f>IF(Table1[[#This Row],[Profit %]]&gt;20,"Excellent",IF(H3296&gt;10.1,"Good","Low"))</f>
        <v>Excellent</v>
      </c>
    </row>
    <row r="3297" spans="1:9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 s="2">
        <v>1832</v>
      </c>
      <c r="G3297">
        <v>489.21</v>
      </c>
      <c r="H3297" s="2">
        <f>Table1[[#This Row],[Profit]]/Table1[[#This Row],[Sales]]*100</f>
        <v>26.703602620087334</v>
      </c>
      <c r="I3297" t="str">
        <f>IF(Table1[[#This Row],[Profit %]]&gt;20,"Excellent",IF(H3297&gt;10.1,"Good","Low"))</f>
        <v>Excellent</v>
      </c>
    </row>
    <row r="3298" spans="1:9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 s="2">
        <v>3372</v>
      </c>
      <c r="G3298">
        <v>934.42</v>
      </c>
      <c r="H3298" s="2">
        <f>Table1[[#This Row],[Profit]]/Table1[[#This Row],[Sales]]*100</f>
        <v>27.711150652431787</v>
      </c>
      <c r="I3298" t="str">
        <f>IF(Table1[[#This Row],[Profit %]]&gt;20,"Excellent",IF(H3298&gt;10.1,"Good","Low"))</f>
        <v>Excellent</v>
      </c>
    </row>
    <row r="3299" spans="1:9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 s="2">
        <v>3384</v>
      </c>
      <c r="G3299">
        <v>503.86</v>
      </c>
      <c r="H3299" s="2">
        <f>Table1[[#This Row],[Profit]]/Table1[[#This Row],[Sales]]*100</f>
        <v>14.889479905437353</v>
      </c>
      <c r="I3299" t="str">
        <f>IF(Table1[[#This Row],[Profit %]]&gt;20,"Excellent",IF(H3299&gt;10.1,"Good","Low"))</f>
        <v>Good</v>
      </c>
    </row>
    <row r="3300" spans="1:9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 s="2">
        <v>351</v>
      </c>
      <c r="G3300">
        <v>31.95</v>
      </c>
      <c r="H3300" s="2">
        <f>Table1[[#This Row],[Profit]]/Table1[[#This Row],[Sales]]*100</f>
        <v>9.1025641025641022</v>
      </c>
      <c r="I3300" t="str">
        <f>IF(Table1[[#This Row],[Profit %]]&gt;20,"Excellent",IF(H3300&gt;10.1,"Good","Low"))</f>
        <v>Low</v>
      </c>
    </row>
    <row r="3301" spans="1:9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 s="2">
        <v>2092</v>
      </c>
      <c r="G3301">
        <v>549.41999999999996</v>
      </c>
      <c r="H3301" s="2">
        <f>Table1[[#This Row],[Profit]]/Table1[[#This Row],[Sales]]*100</f>
        <v>26.262906309751433</v>
      </c>
      <c r="I3301" t="str">
        <f>IF(Table1[[#This Row],[Profit %]]&gt;20,"Excellent",IF(H3301&gt;10.1,"Good","Low"))</f>
        <v>Excellent</v>
      </c>
    </row>
    <row r="3302" spans="1:9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 s="2">
        <v>1309</v>
      </c>
      <c r="G3302">
        <v>138.46</v>
      </c>
      <c r="H3302" s="2">
        <f>Table1[[#This Row],[Profit]]/Table1[[#This Row],[Sales]]*100</f>
        <v>10.577540106951872</v>
      </c>
      <c r="I3302" t="str">
        <f>IF(Table1[[#This Row],[Profit %]]&gt;20,"Excellent",IF(H3302&gt;10.1,"Good","Low"))</f>
        <v>Good</v>
      </c>
    </row>
    <row r="3303" spans="1:9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 s="2">
        <v>6696</v>
      </c>
      <c r="G3303">
        <v>407.36</v>
      </c>
      <c r="H3303" s="2">
        <f>Table1[[#This Row],[Profit]]/Table1[[#This Row],[Sales]]*100</f>
        <v>6.0836320191158899</v>
      </c>
      <c r="I3303" t="str">
        <f>IF(Table1[[#This Row],[Profit %]]&gt;20,"Excellent",IF(H3303&gt;10.1,"Good","Low"))</f>
        <v>Low</v>
      </c>
    </row>
    <row r="3304" spans="1:9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 s="2">
        <v>1020</v>
      </c>
      <c r="G3304">
        <v>162.36000000000001</v>
      </c>
      <c r="H3304" s="2">
        <f>Table1[[#This Row],[Profit]]/Table1[[#This Row],[Sales]]*100</f>
        <v>15.917647058823531</v>
      </c>
      <c r="I3304" t="str">
        <f>IF(Table1[[#This Row],[Profit %]]&gt;20,"Excellent",IF(H3304&gt;10.1,"Good","Low"))</f>
        <v>Good</v>
      </c>
    </row>
    <row r="3305" spans="1:9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 s="2">
        <v>8240</v>
      </c>
      <c r="G3305">
        <v>2006.72</v>
      </c>
      <c r="H3305" s="2">
        <f>Table1[[#This Row],[Profit]]/Table1[[#This Row],[Sales]]*100</f>
        <v>24.353398058252427</v>
      </c>
      <c r="I3305" t="str">
        <f>IF(Table1[[#This Row],[Profit %]]&gt;20,"Excellent",IF(H3305&gt;10.1,"Good","Low"))</f>
        <v>Excellent</v>
      </c>
    </row>
    <row r="3306" spans="1:9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 s="2">
        <v>9810</v>
      </c>
      <c r="G3306">
        <v>1008.6</v>
      </c>
      <c r="H3306" s="2">
        <f>Table1[[#This Row],[Profit]]/Table1[[#This Row],[Sales]]*100</f>
        <v>10.281345565749236</v>
      </c>
      <c r="I3306" t="str">
        <f>IF(Table1[[#This Row],[Profit %]]&gt;20,"Excellent",IF(H3306&gt;10.1,"Good","Low"))</f>
        <v>Good</v>
      </c>
    </row>
    <row r="3307" spans="1:9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 s="2">
        <v>853</v>
      </c>
      <c r="G3307">
        <v>97.5</v>
      </c>
      <c r="H3307" s="2">
        <f>Table1[[#This Row],[Profit]]/Table1[[#This Row],[Sales]]*100</f>
        <v>11.430246189917936</v>
      </c>
      <c r="I3307" t="str">
        <f>IF(Table1[[#This Row],[Profit %]]&gt;20,"Excellent",IF(H3307&gt;10.1,"Good","Low"))</f>
        <v>Good</v>
      </c>
    </row>
    <row r="3308" spans="1:9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 s="2">
        <v>4416</v>
      </c>
      <c r="G3308">
        <v>1081.53</v>
      </c>
      <c r="H3308" s="2">
        <f>Table1[[#This Row],[Profit]]/Table1[[#This Row],[Sales]]*100</f>
        <v>24.491168478260867</v>
      </c>
      <c r="I3308" t="str">
        <f>IF(Table1[[#This Row],[Profit %]]&gt;20,"Excellent",IF(H3308&gt;10.1,"Good","Low"))</f>
        <v>Excellent</v>
      </c>
    </row>
    <row r="3309" spans="1:9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 s="2">
        <v>3832</v>
      </c>
      <c r="G3309">
        <v>741.44</v>
      </c>
      <c r="H3309" s="2">
        <f>Table1[[#This Row],[Profit]]/Table1[[#This Row],[Sales]]*100</f>
        <v>19.34864300626305</v>
      </c>
      <c r="I3309" t="str">
        <f>IF(Table1[[#This Row],[Profit %]]&gt;20,"Excellent",IF(H3309&gt;10.1,"Good","Low"))</f>
        <v>Good</v>
      </c>
    </row>
    <row r="3310" spans="1:9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 s="2">
        <v>1876</v>
      </c>
      <c r="G3310">
        <v>221.18</v>
      </c>
      <c r="H3310" s="2">
        <f>Table1[[#This Row],[Profit]]/Table1[[#This Row],[Sales]]*100</f>
        <v>11.789978678038381</v>
      </c>
      <c r="I3310" t="str">
        <f>IF(Table1[[#This Row],[Profit %]]&gt;20,"Excellent",IF(H3310&gt;10.1,"Good","Low"))</f>
        <v>Good</v>
      </c>
    </row>
    <row r="3311" spans="1:9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 s="2">
        <v>2634</v>
      </c>
      <c r="G3311">
        <v>392.21</v>
      </c>
      <c r="H3311" s="2">
        <f>Table1[[#This Row],[Profit]]/Table1[[#This Row],[Sales]]*100</f>
        <v>14.890280941533787</v>
      </c>
      <c r="I3311" t="str">
        <f>IF(Table1[[#This Row],[Profit %]]&gt;20,"Excellent",IF(H3311&gt;10.1,"Good","Low"))</f>
        <v>Good</v>
      </c>
    </row>
    <row r="3312" spans="1:9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 s="2">
        <v>1027</v>
      </c>
      <c r="G3312">
        <v>259.92</v>
      </c>
      <c r="H3312" s="2">
        <f>Table1[[#This Row],[Profit]]/Table1[[#This Row],[Sales]]*100</f>
        <v>25.308666017526775</v>
      </c>
      <c r="I3312" t="str">
        <f>IF(Table1[[#This Row],[Profit %]]&gt;20,"Excellent",IF(H3312&gt;10.1,"Good","Low"))</f>
        <v>Excellent</v>
      </c>
    </row>
    <row r="3313" spans="1:9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 s="2">
        <v>3100</v>
      </c>
      <c r="G3313">
        <v>911.86</v>
      </c>
      <c r="H3313" s="2">
        <f>Table1[[#This Row],[Profit]]/Table1[[#This Row],[Sales]]*100</f>
        <v>29.414838709677422</v>
      </c>
      <c r="I3313" t="str">
        <f>IF(Table1[[#This Row],[Profit %]]&gt;20,"Excellent",IF(H3313&gt;10.1,"Good","Low"))</f>
        <v>Excellent</v>
      </c>
    </row>
    <row r="3314" spans="1:9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 s="2">
        <v>104</v>
      </c>
      <c r="G3314">
        <v>29.67</v>
      </c>
      <c r="H3314" s="2">
        <f>Table1[[#This Row],[Profit]]/Table1[[#This Row],[Sales]]*100</f>
        <v>28.528846153846153</v>
      </c>
      <c r="I3314" t="str">
        <f>IF(Table1[[#This Row],[Profit %]]&gt;20,"Excellent",IF(H3314&gt;10.1,"Good","Low"))</f>
        <v>Excellent</v>
      </c>
    </row>
    <row r="3315" spans="1:9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 s="2">
        <v>1590</v>
      </c>
      <c r="G3315">
        <v>147.19999999999999</v>
      </c>
      <c r="H3315" s="2">
        <f>Table1[[#This Row],[Profit]]/Table1[[#This Row],[Sales]]*100</f>
        <v>9.2578616352201255</v>
      </c>
      <c r="I3315" t="str">
        <f>IF(Table1[[#This Row],[Profit %]]&gt;20,"Excellent",IF(H3315&gt;10.1,"Good","Low"))</f>
        <v>Low</v>
      </c>
    </row>
    <row r="3316" spans="1:9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 s="2">
        <v>1104</v>
      </c>
      <c r="G3316">
        <v>63.57</v>
      </c>
      <c r="H3316" s="2">
        <f>Table1[[#This Row],[Profit]]/Table1[[#This Row],[Sales]]*100</f>
        <v>5.758152173913043</v>
      </c>
      <c r="I3316" t="str">
        <f>IF(Table1[[#This Row],[Profit %]]&gt;20,"Excellent",IF(H3316&gt;10.1,"Good","Low"))</f>
        <v>Low</v>
      </c>
    </row>
    <row r="3317" spans="1:9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 s="2">
        <v>1851</v>
      </c>
      <c r="G3317">
        <v>198.71</v>
      </c>
      <c r="H3317" s="2">
        <f>Table1[[#This Row],[Profit]]/Table1[[#This Row],[Sales]]*100</f>
        <v>10.735278227984873</v>
      </c>
      <c r="I3317" t="str">
        <f>IF(Table1[[#This Row],[Profit %]]&gt;20,"Excellent",IF(H3317&gt;10.1,"Good","Low"))</f>
        <v>Good</v>
      </c>
    </row>
    <row r="3318" spans="1:9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 s="2">
        <v>1408</v>
      </c>
      <c r="G3318">
        <v>193.09</v>
      </c>
      <c r="H3318" s="2">
        <f>Table1[[#This Row],[Profit]]/Table1[[#This Row],[Sales]]*100</f>
        <v>13.71377840909091</v>
      </c>
      <c r="I3318" t="str">
        <f>IF(Table1[[#This Row],[Profit %]]&gt;20,"Excellent",IF(H3318&gt;10.1,"Good","Low"))</f>
        <v>Good</v>
      </c>
    </row>
    <row r="3319" spans="1:9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 s="2">
        <v>4641</v>
      </c>
      <c r="G3319">
        <v>1341.98</v>
      </c>
      <c r="H3319" s="2">
        <f>Table1[[#This Row],[Profit]]/Table1[[#This Row],[Sales]]*100</f>
        <v>28.915750915750916</v>
      </c>
      <c r="I3319" t="str">
        <f>IF(Table1[[#This Row],[Profit %]]&gt;20,"Excellent",IF(H3319&gt;10.1,"Good","Low"))</f>
        <v>Excellent</v>
      </c>
    </row>
    <row r="3320" spans="1:9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 s="2">
        <v>2611</v>
      </c>
      <c r="G3320">
        <v>539.37</v>
      </c>
      <c r="H3320" s="2">
        <f>Table1[[#This Row],[Profit]]/Table1[[#This Row],[Sales]]*100</f>
        <v>20.657602451168135</v>
      </c>
      <c r="I3320" t="str">
        <f>IF(Table1[[#This Row],[Profit %]]&gt;20,"Excellent",IF(H3320&gt;10.1,"Good","Low"))</f>
        <v>Excellent</v>
      </c>
    </row>
    <row r="3321" spans="1:9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 s="2">
        <v>3824</v>
      </c>
      <c r="G3321">
        <v>711.92</v>
      </c>
      <c r="H3321" s="2">
        <f>Table1[[#This Row],[Profit]]/Table1[[#This Row],[Sales]]*100</f>
        <v>18.61715481171548</v>
      </c>
      <c r="I3321" t="str">
        <f>IF(Table1[[#This Row],[Profit %]]&gt;20,"Excellent",IF(H3321&gt;10.1,"Good","Low"))</f>
        <v>Good</v>
      </c>
    </row>
    <row r="3322" spans="1:9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 s="2">
        <v>2042</v>
      </c>
      <c r="G3322">
        <v>501.34</v>
      </c>
      <c r="H3322" s="2">
        <f>Table1[[#This Row],[Profit]]/Table1[[#This Row],[Sales]]*100</f>
        <v>24.551420176297746</v>
      </c>
      <c r="I3322" t="str">
        <f>IF(Table1[[#This Row],[Profit %]]&gt;20,"Excellent",IF(H3322&gt;10.1,"Good","Low"))</f>
        <v>Excellent</v>
      </c>
    </row>
    <row r="3323" spans="1:9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 s="2">
        <v>6378</v>
      </c>
      <c r="G3323">
        <v>1408.28</v>
      </c>
      <c r="H3323" s="2">
        <f>Table1[[#This Row],[Profit]]/Table1[[#This Row],[Sales]]*100</f>
        <v>22.08027594857322</v>
      </c>
      <c r="I3323" t="str">
        <f>IF(Table1[[#This Row],[Profit %]]&gt;20,"Excellent",IF(H3323&gt;10.1,"Good","Low"))</f>
        <v>Excellent</v>
      </c>
    </row>
    <row r="3324" spans="1:9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 s="2">
        <v>4692</v>
      </c>
      <c r="G3324">
        <v>409.07</v>
      </c>
      <c r="H3324" s="2">
        <f>Table1[[#This Row],[Profit]]/Table1[[#This Row],[Sales]]*100</f>
        <v>8.7184569479965912</v>
      </c>
      <c r="I3324" t="str">
        <f>IF(Table1[[#This Row],[Profit %]]&gt;20,"Excellent",IF(H3324&gt;10.1,"Good","Low"))</f>
        <v>Low</v>
      </c>
    </row>
    <row r="3325" spans="1:9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 s="2">
        <v>6234</v>
      </c>
      <c r="G3325">
        <v>1829.07</v>
      </c>
      <c r="H3325" s="2">
        <f>Table1[[#This Row],[Profit]]/Table1[[#This Row],[Sales]]*100</f>
        <v>29.340230991337823</v>
      </c>
      <c r="I3325" t="str">
        <f>IF(Table1[[#This Row],[Profit %]]&gt;20,"Excellent",IF(H3325&gt;10.1,"Good","Low"))</f>
        <v>Excellent</v>
      </c>
    </row>
    <row r="3326" spans="1:9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 s="2">
        <v>1852</v>
      </c>
      <c r="G3326">
        <v>535.07000000000005</v>
      </c>
      <c r="H3326" s="2">
        <f>Table1[[#This Row],[Profit]]/Table1[[#This Row],[Sales]]*100</f>
        <v>28.891468682505401</v>
      </c>
      <c r="I3326" t="str">
        <f>IF(Table1[[#This Row],[Profit %]]&gt;20,"Excellent",IF(H3326&gt;10.1,"Good","Low"))</f>
        <v>Excellent</v>
      </c>
    </row>
    <row r="3327" spans="1:9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 s="2">
        <v>3075</v>
      </c>
      <c r="G3327">
        <v>804.06</v>
      </c>
      <c r="H3327" s="2">
        <f>Table1[[#This Row],[Profit]]/Table1[[#This Row],[Sales]]*100</f>
        <v>26.148292682926826</v>
      </c>
      <c r="I3327" t="str">
        <f>IF(Table1[[#This Row],[Profit %]]&gt;20,"Excellent",IF(H3327&gt;10.1,"Good","Low"))</f>
        <v>Excellent</v>
      </c>
    </row>
    <row r="3328" spans="1:9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 s="2">
        <v>370</v>
      </c>
      <c r="G3328">
        <v>92.45</v>
      </c>
      <c r="H3328" s="2">
        <f>Table1[[#This Row],[Profit]]/Table1[[#This Row],[Sales]]*100</f>
        <v>24.986486486486488</v>
      </c>
      <c r="I3328" t="str">
        <f>IF(Table1[[#This Row],[Profit %]]&gt;20,"Excellent",IF(H3328&gt;10.1,"Good","Low"))</f>
        <v>Excellent</v>
      </c>
    </row>
    <row r="3329" spans="1:9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 s="2">
        <v>624</v>
      </c>
      <c r="G3329">
        <v>66.989999999999995</v>
      </c>
      <c r="H3329" s="2">
        <f>Table1[[#This Row],[Profit]]/Table1[[#This Row],[Sales]]*100</f>
        <v>10.735576923076923</v>
      </c>
      <c r="I3329" t="str">
        <f>IF(Table1[[#This Row],[Profit %]]&gt;20,"Excellent",IF(H3329&gt;10.1,"Good","Low"))</f>
        <v>Good</v>
      </c>
    </row>
    <row r="3330" spans="1:9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 s="2">
        <v>1734</v>
      </c>
      <c r="G3330">
        <v>310.76</v>
      </c>
      <c r="H3330" s="2">
        <f>Table1[[#This Row],[Profit]]/Table1[[#This Row],[Sales]]*100</f>
        <v>17.921568627450981</v>
      </c>
      <c r="I3330" t="str">
        <f>IF(Table1[[#This Row],[Profit %]]&gt;20,"Excellent",IF(H3330&gt;10.1,"Good","Low"))</f>
        <v>Good</v>
      </c>
    </row>
    <row r="3331" spans="1:9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 s="2">
        <v>2268</v>
      </c>
      <c r="G3331">
        <v>361.62</v>
      </c>
      <c r="H3331" s="2">
        <f>Table1[[#This Row],[Profit]]/Table1[[#This Row],[Sales]]*100</f>
        <v>15.944444444444445</v>
      </c>
      <c r="I3331" t="str">
        <f>IF(Table1[[#This Row],[Profit %]]&gt;20,"Excellent",IF(H3331&gt;10.1,"Good","Low"))</f>
        <v>Good</v>
      </c>
    </row>
    <row r="3332" spans="1:9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 s="2">
        <v>3670</v>
      </c>
      <c r="G3332">
        <v>924.95</v>
      </c>
      <c r="H3332" s="2">
        <f>Table1[[#This Row],[Profit]]/Table1[[#This Row],[Sales]]*100</f>
        <v>25.202997275204357</v>
      </c>
      <c r="I3332" t="str">
        <f>IF(Table1[[#This Row],[Profit %]]&gt;20,"Excellent",IF(H3332&gt;10.1,"Good","Low"))</f>
        <v>Excellent</v>
      </c>
    </row>
    <row r="3333" spans="1:9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 s="2">
        <v>4634</v>
      </c>
      <c r="G3333">
        <v>1358.44</v>
      </c>
      <c r="H3333" s="2">
        <f>Table1[[#This Row],[Profit]]/Table1[[#This Row],[Sales]]*100</f>
        <v>29.314630988347002</v>
      </c>
      <c r="I3333" t="str">
        <f>IF(Table1[[#This Row],[Profit %]]&gt;20,"Excellent",IF(H3333&gt;10.1,"Good","Low"))</f>
        <v>Excellent</v>
      </c>
    </row>
    <row r="3334" spans="1:9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 s="2">
        <v>1440</v>
      </c>
      <c r="G3334">
        <v>94.41</v>
      </c>
      <c r="H3334" s="2">
        <f>Table1[[#This Row],[Profit]]/Table1[[#This Row],[Sales]]*100</f>
        <v>6.5562499999999995</v>
      </c>
      <c r="I3334" t="str">
        <f>IF(Table1[[#This Row],[Profit %]]&gt;20,"Excellent",IF(H3334&gt;10.1,"Good","Low"))</f>
        <v>Low</v>
      </c>
    </row>
    <row r="3335" spans="1:9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 s="2">
        <v>5136</v>
      </c>
      <c r="G3335">
        <v>1225.4000000000001</v>
      </c>
      <c r="H3335" s="2">
        <f>Table1[[#This Row],[Profit]]/Table1[[#This Row],[Sales]]*100</f>
        <v>23.859034267912772</v>
      </c>
      <c r="I3335" t="str">
        <f>IF(Table1[[#This Row],[Profit %]]&gt;20,"Excellent",IF(H3335&gt;10.1,"Good","Low"))</f>
        <v>Excellent</v>
      </c>
    </row>
    <row r="3336" spans="1:9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 s="2">
        <v>166</v>
      </c>
      <c r="G3336">
        <v>31.72</v>
      </c>
      <c r="H3336" s="2">
        <f>Table1[[#This Row],[Profit]]/Table1[[#This Row],[Sales]]*100</f>
        <v>19.108433734939759</v>
      </c>
      <c r="I3336" t="str">
        <f>IF(Table1[[#This Row],[Profit %]]&gt;20,"Excellent",IF(H3336&gt;10.1,"Good","Low"))</f>
        <v>Good</v>
      </c>
    </row>
    <row r="3337" spans="1:9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 s="2">
        <v>1422</v>
      </c>
      <c r="G3337">
        <v>328.98</v>
      </c>
      <c r="H3337" s="2">
        <f>Table1[[#This Row],[Profit]]/Table1[[#This Row],[Sales]]*100</f>
        <v>23.135021097046415</v>
      </c>
      <c r="I3337" t="str">
        <f>IF(Table1[[#This Row],[Profit %]]&gt;20,"Excellent",IF(H3337&gt;10.1,"Good","Low"))</f>
        <v>Excellent</v>
      </c>
    </row>
    <row r="3338" spans="1:9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 s="2">
        <v>1832</v>
      </c>
      <c r="G3338">
        <v>532.97</v>
      </c>
      <c r="H3338" s="2">
        <f>Table1[[#This Row],[Profit]]/Table1[[#This Row],[Sales]]*100</f>
        <v>29.092248908296948</v>
      </c>
      <c r="I3338" t="str">
        <f>IF(Table1[[#This Row],[Profit %]]&gt;20,"Excellent",IF(H3338&gt;10.1,"Good","Low"))</f>
        <v>Excellent</v>
      </c>
    </row>
    <row r="3339" spans="1:9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 s="2">
        <v>668</v>
      </c>
      <c r="G3339">
        <v>94.08</v>
      </c>
      <c r="H3339" s="2">
        <f>Table1[[#This Row],[Profit]]/Table1[[#This Row],[Sales]]*100</f>
        <v>14.08383233532934</v>
      </c>
      <c r="I3339" t="str">
        <f>IF(Table1[[#This Row],[Profit %]]&gt;20,"Excellent",IF(H3339&gt;10.1,"Good","Low"))</f>
        <v>Good</v>
      </c>
    </row>
    <row r="3340" spans="1:9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 s="2">
        <v>1272</v>
      </c>
      <c r="G3340">
        <v>336.3</v>
      </c>
      <c r="H3340" s="2">
        <f>Table1[[#This Row],[Profit]]/Table1[[#This Row],[Sales]]*100</f>
        <v>26.438679245283019</v>
      </c>
      <c r="I3340" t="str">
        <f>IF(Table1[[#This Row],[Profit %]]&gt;20,"Excellent",IF(H3340&gt;10.1,"Good","Low"))</f>
        <v>Excellent</v>
      </c>
    </row>
    <row r="3341" spans="1:9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 s="2">
        <v>984</v>
      </c>
      <c r="G3341">
        <v>72.540000000000006</v>
      </c>
      <c r="H3341" s="2">
        <f>Table1[[#This Row],[Profit]]/Table1[[#This Row],[Sales]]*100</f>
        <v>7.3719512195121961</v>
      </c>
      <c r="I3341" t="str">
        <f>IF(Table1[[#This Row],[Profit %]]&gt;20,"Excellent",IF(H3341&gt;10.1,"Good","Low"))</f>
        <v>Low</v>
      </c>
    </row>
    <row r="3342" spans="1:9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 s="2">
        <v>7896</v>
      </c>
      <c r="G3342">
        <v>484.76</v>
      </c>
      <c r="H3342" s="2">
        <f>Table1[[#This Row],[Profit]]/Table1[[#This Row],[Sales]]*100</f>
        <v>6.1393110435663623</v>
      </c>
      <c r="I3342" t="str">
        <f>IF(Table1[[#This Row],[Profit %]]&gt;20,"Excellent",IF(H3342&gt;10.1,"Good","Low"))</f>
        <v>Low</v>
      </c>
    </row>
    <row r="3343" spans="1:9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 s="2">
        <v>636</v>
      </c>
      <c r="G3343">
        <v>42.4</v>
      </c>
      <c r="H3343" s="2">
        <f>Table1[[#This Row],[Profit]]/Table1[[#This Row],[Sales]]*100</f>
        <v>6.666666666666667</v>
      </c>
      <c r="I3343" t="str">
        <f>IF(Table1[[#This Row],[Profit %]]&gt;20,"Excellent",IF(H3343&gt;10.1,"Good","Low"))</f>
        <v>Low</v>
      </c>
    </row>
    <row r="3344" spans="1:9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 s="2">
        <v>2031</v>
      </c>
      <c r="G3344">
        <v>450.23</v>
      </c>
      <c r="H3344" s="2">
        <f>Table1[[#This Row],[Profit]]/Table1[[#This Row],[Sales]]*100</f>
        <v>22.167897587395373</v>
      </c>
      <c r="I3344" t="str">
        <f>IF(Table1[[#This Row],[Profit %]]&gt;20,"Excellent",IF(H3344&gt;10.1,"Good","Low"))</f>
        <v>Excellent</v>
      </c>
    </row>
    <row r="3345" spans="1:9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 s="2">
        <v>3186</v>
      </c>
      <c r="G3345">
        <v>483.22</v>
      </c>
      <c r="H3345" s="2">
        <f>Table1[[#This Row],[Profit]]/Table1[[#This Row],[Sales]]*100</f>
        <v>15.166980539861896</v>
      </c>
      <c r="I3345" t="str">
        <f>IF(Table1[[#This Row],[Profit %]]&gt;20,"Excellent",IF(H3345&gt;10.1,"Good","Low"))</f>
        <v>Good</v>
      </c>
    </row>
    <row r="3346" spans="1:9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 s="2">
        <v>134</v>
      </c>
      <c r="G3346">
        <v>33.119999999999997</v>
      </c>
      <c r="H3346" s="2">
        <f>Table1[[#This Row],[Profit]]/Table1[[#This Row],[Sales]]*100</f>
        <v>24.71641791044776</v>
      </c>
      <c r="I3346" t="str">
        <f>IF(Table1[[#This Row],[Profit %]]&gt;20,"Excellent",IF(H3346&gt;10.1,"Good","Low"))</f>
        <v>Excellent</v>
      </c>
    </row>
    <row r="3347" spans="1:9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 s="2">
        <v>1765</v>
      </c>
      <c r="G3347">
        <v>347.42</v>
      </c>
      <c r="H3347" s="2">
        <f>Table1[[#This Row],[Profit]]/Table1[[#This Row],[Sales]]*100</f>
        <v>19.683852691218132</v>
      </c>
      <c r="I3347" t="str">
        <f>IF(Table1[[#This Row],[Profit %]]&gt;20,"Excellent",IF(H3347&gt;10.1,"Good","Low"))</f>
        <v>Good</v>
      </c>
    </row>
    <row r="3348" spans="1:9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 s="2">
        <v>3628</v>
      </c>
      <c r="G3348">
        <v>717.81</v>
      </c>
      <c r="H3348" s="2">
        <f>Table1[[#This Row],[Profit]]/Table1[[#This Row],[Sales]]*100</f>
        <v>19.785281146637264</v>
      </c>
      <c r="I3348" t="str">
        <f>IF(Table1[[#This Row],[Profit %]]&gt;20,"Excellent",IF(H3348&gt;10.1,"Good","Low"))</f>
        <v>Good</v>
      </c>
    </row>
    <row r="3349" spans="1:9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 s="2">
        <v>1000</v>
      </c>
      <c r="G3349">
        <v>198.92</v>
      </c>
      <c r="H3349" s="2">
        <f>Table1[[#This Row],[Profit]]/Table1[[#This Row],[Sales]]*100</f>
        <v>19.891999999999999</v>
      </c>
      <c r="I3349" t="str">
        <f>IF(Table1[[#This Row],[Profit %]]&gt;20,"Excellent",IF(H3349&gt;10.1,"Good","Low"))</f>
        <v>Good</v>
      </c>
    </row>
    <row r="3350" spans="1:9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 s="2">
        <v>2134</v>
      </c>
      <c r="G3350">
        <v>119.89</v>
      </c>
      <c r="H3350" s="2">
        <f>Table1[[#This Row],[Profit]]/Table1[[#This Row],[Sales]]*100</f>
        <v>5.6180880974695411</v>
      </c>
      <c r="I3350" t="str">
        <f>IF(Table1[[#This Row],[Profit %]]&gt;20,"Excellent",IF(H3350&gt;10.1,"Good","Low"))</f>
        <v>Low</v>
      </c>
    </row>
    <row r="3351" spans="1:9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 s="2">
        <v>6706</v>
      </c>
      <c r="G3351">
        <v>1687.22</v>
      </c>
      <c r="H3351" s="2">
        <f>Table1[[#This Row],[Profit]]/Table1[[#This Row],[Sales]]*100</f>
        <v>25.159856844616762</v>
      </c>
      <c r="I3351" t="str">
        <f>IF(Table1[[#This Row],[Profit %]]&gt;20,"Excellent",IF(H3351&gt;10.1,"Good","Low"))</f>
        <v>Excellent</v>
      </c>
    </row>
    <row r="3352" spans="1:9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 s="2">
        <v>321</v>
      </c>
      <c r="G3352">
        <v>72.13</v>
      </c>
      <c r="H3352" s="2">
        <f>Table1[[#This Row],[Profit]]/Table1[[#This Row],[Sales]]*100</f>
        <v>22.470404984423674</v>
      </c>
      <c r="I3352" t="str">
        <f>IF(Table1[[#This Row],[Profit %]]&gt;20,"Excellent",IF(H3352&gt;10.1,"Good","Low"))</f>
        <v>Excellent</v>
      </c>
    </row>
    <row r="3353" spans="1:9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 s="2">
        <v>3126</v>
      </c>
      <c r="G3353">
        <v>710.14</v>
      </c>
      <c r="H3353" s="2">
        <f>Table1[[#This Row],[Profit]]/Table1[[#This Row],[Sales]]*100</f>
        <v>22.717210492642355</v>
      </c>
      <c r="I3353" t="str">
        <f>IF(Table1[[#This Row],[Profit %]]&gt;20,"Excellent",IF(H3353&gt;10.1,"Good","Low"))</f>
        <v>Excellent</v>
      </c>
    </row>
    <row r="3354" spans="1:9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 s="2">
        <v>5446</v>
      </c>
      <c r="G3354">
        <v>697.21</v>
      </c>
      <c r="H3354" s="2">
        <f>Table1[[#This Row],[Profit]]/Table1[[#This Row],[Sales]]*100</f>
        <v>12.802240176276166</v>
      </c>
      <c r="I3354" t="str">
        <f>IF(Table1[[#This Row],[Profit %]]&gt;20,"Excellent",IF(H3354&gt;10.1,"Good","Low"))</f>
        <v>Good</v>
      </c>
    </row>
    <row r="3355" spans="1:9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 s="2">
        <v>1131</v>
      </c>
      <c r="G3355">
        <v>140.55000000000001</v>
      </c>
      <c r="H3355" s="2">
        <f>Table1[[#This Row],[Profit]]/Table1[[#This Row],[Sales]]*100</f>
        <v>12.427055702917773</v>
      </c>
      <c r="I3355" t="str">
        <f>IF(Table1[[#This Row],[Profit %]]&gt;20,"Excellent",IF(H3355&gt;10.1,"Good","Low"))</f>
        <v>Good</v>
      </c>
    </row>
    <row r="3356" spans="1:9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 s="2">
        <v>1946</v>
      </c>
      <c r="G3356">
        <v>141.75</v>
      </c>
      <c r="H3356" s="2">
        <f>Table1[[#This Row],[Profit]]/Table1[[#This Row],[Sales]]*100</f>
        <v>7.2841726618705041</v>
      </c>
      <c r="I3356" t="str">
        <f>IF(Table1[[#This Row],[Profit %]]&gt;20,"Excellent",IF(H3356&gt;10.1,"Good","Low"))</f>
        <v>Low</v>
      </c>
    </row>
    <row r="3357" spans="1:9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 s="2">
        <v>6818</v>
      </c>
      <c r="G3357">
        <v>1348.26</v>
      </c>
      <c r="H3357" s="2">
        <f>Table1[[#This Row],[Profit]]/Table1[[#This Row],[Sales]]*100</f>
        <v>19.775007333528894</v>
      </c>
      <c r="I3357" t="str">
        <f>IF(Table1[[#This Row],[Profit %]]&gt;20,"Excellent",IF(H3357&gt;10.1,"Good","Low"))</f>
        <v>Good</v>
      </c>
    </row>
    <row r="3358" spans="1:9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 s="2">
        <v>2317</v>
      </c>
      <c r="G3358">
        <v>677.61</v>
      </c>
      <c r="H3358" s="2">
        <f>Table1[[#This Row],[Profit]]/Table1[[#This Row],[Sales]]*100</f>
        <v>29.245144583513166</v>
      </c>
      <c r="I3358" t="str">
        <f>IF(Table1[[#This Row],[Profit %]]&gt;20,"Excellent",IF(H3358&gt;10.1,"Good","Low"))</f>
        <v>Excellent</v>
      </c>
    </row>
    <row r="3359" spans="1:9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 s="2">
        <v>396</v>
      </c>
      <c r="G3359">
        <v>89.51</v>
      </c>
      <c r="H3359" s="2">
        <f>Table1[[#This Row],[Profit]]/Table1[[#This Row],[Sales]]*100</f>
        <v>22.603535353535356</v>
      </c>
      <c r="I3359" t="str">
        <f>IF(Table1[[#This Row],[Profit %]]&gt;20,"Excellent",IF(H3359&gt;10.1,"Good","Low"))</f>
        <v>Excellent</v>
      </c>
    </row>
    <row r="3360" spans="1:9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 s="2">
        <v>558</v>
      </c>
      <c r="G3360">
        <v>49.81</v>
      </c>
      <c r="H3360" s="2">
        <f>Table1[[#This Row],[Profit]]/Table1[[#This Row],[Sales]]*100</f>
        <v>8.9265232974910411</v>
      </c>
      <c r="I3360" t="str">
        <f>IF(Table1[[#This Row],[Profit %]]&gt;20,"Excellent",IF(H3360&gt;10.1,"Good","Low"))</f>
        <v>Low</v>
      </c>
    </row>
    <row r="3361" spans="1:9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 s="2">
        <v>2034</v>
      </c>
      <c r="G3361">
        <v>593.13</v>
      </c>
      <c r="H3361" s="2">
        <f>Table1[[#This Row],[Profit]]/Table1[[#This Row],[Sales]]*100</f>
        <v>29.16076696165192</v>
      </c>
      <c r="I3361" t="str">
        <f>IF(Table1[[#This Row],[Profit %]]&gt;20,"Excellent",IF(H3361&gt;10.1,"Good","Low"))</f>
        <v>Excellent</v>
      </c>
    </row>
    <row r="3362" spans="1:9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 s="2">
        <v>6080</v>
      </c>
      <c r="G3362">
        <v>1171.93</v>
      </c>
      <c r="H3362" s="2">
        <f>Table1[[#This Row],[Profit]]/Table1[[#This Row],[Sales]]*100</f>
        <v>19.27516447368421</v>
      </c>
      <c r="I3362" t="str">
        <f>IF(Table1[[#This Row],[Profit %]]&gt;20,"Excellent",IF(H3362&gt;10.1,"Good","Low"))</f>
        <v>Good</v>
      </c>
    </row>
    <row r="3363" spans="1:9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 s="2">
        <v>1378</v>
      </c>
      <c r="G3363">
        <v>183.1</v>
      </c>
      <c r="H3363" s="2">
        <f>Table1[[#This Row],[Profit]]/Table1[[#This Row],[Sales]]*100</f>
        <v>13.287373004354135</v>
      </c>
      <c r="I3363" t="str">
        <f>IF(Table1[[#This Row],[Profit %]]&gt;20,"Excellent",IF(H3363&gt;10.1,"Good","Low"))</f>
        <v>Good</v>
      </c>
    </row>
    <row r="3364" spans="1:9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 s="2">
        <v>483</v>
      </c>
      <c r="G3364">
        <v>120.11</v>
      </c>
      <c r="H3364" s="2">
        <f>Table1[[#This Row],[Profit]]/Table1[[#This Row],[Sales]]*100</f>
        <v>24.867494824016564</v>
      </c>
      <c r="I3364" t="str">
        <f>IF(Table1[[#This Row],[Profit %]]&gt;20,"Excellent",IF(H3364&gt;10.1,"Good","Low"))</f>
        <v>Excellent</v>
      </c>
    </row>
    <row r="3365" spans="1:9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 s="2">
        <v>7864</v>
      </c>
      <c r="G3365">
        <v>1615.58</v>
      </c>
      <c r="H3365" s="2">
        <f>Table1[[#This Row],[Profit]]/Table1[[#This Row],[Sales]]*100</f>
        <v>20.543997965412004</v>
      </c>
      <c r="I3365" t="str">
        <f>IF(Table1[[#This Row],[Profit %]]&gt;20,"Excellent",IF(H3365&gt;10.1,"Good","Low"))</f>
        <v>Excellent</v>
      </c>
    </row>
    <row r="3366" spans="1:9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 s="2">
        <v>1268</v>
      </c>
      <c r="G3366">
        <v>141.76</v>
      </c>
      <c r="H3366" s="2">
        <f>Table1[[#This Row],[Profit]]/Table1[[#This Row],[Sales]]*100</f>
        <v>11.17981072555205</v>
      </c>
      <c r="I3366" t="str">
        <f>IF(Table1[[#This Row],[Profit %]]&gt;20,"Excellent",IF(H3366&gt;10.1,"Good","Low"))</f>
        <v>Good</v>
      </c>
    </row>
    <row r="3367" spans="1:9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 s="2">
        <v>3774</v>
      </c>
      <c r="G3367">
        <v>606.94000000000005</v>
      </c>
      <c r="H3367" s="2">
        <f>Table1[[#This Row],[Profit]]/Table1[[#This Row],[Sales]]*100</f>
        <v>16.082140964493906</v>
      </c>
      <c r="I3367" t="str">
        <f>IF(Table1[[#This Row],[Profit %]]&gt;20,"Excellent",IF(H3367&gt;10.1,"Good","Low"))</f>
        <v>Good</v>
      </c>
    </row>
    <row r="3368" spans="1:9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 s="2">
        <v>9090</v>
      </c>
      <c r="G3368">
        <v>727.64</v>
      </c>
      <c r="H3368" s="2">
        <f>Table1[[#This Row],[Profit]]/Table1[[#This Row],[Sales]]*100</f>
        <v>8.0048404840484046</v>
      </c>
      <c r="I3368" t="str">
        <f>IF(Table1[[#This Row],[Profit %]]&gt;20,"Excellent",IF(H3368&gt;10.1,"Good","Low"))</f>
        <v>Low</v>
      </c>
    </row>
    <row r="3369" spans="1:9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 s="2">
        <v>3720</v>
      </c>
      <c r="G3369">
        <v>1077.21</v>
      </c>
      <c r="H3369" s="2">
        <f>Table1[[#This Row],[Profit]]/Table1[[#This Row],[Sales]]*100</f>
        <v>28.957258064516129</v>
      </c>
      <c r="I3369" t="str">
        <f>IF(Table1[[#This Row],[Profit %]]&gt;20,"Excellent",IF(H3369&gt;10.1,"Good","Low"))</f>
        <v>Excellent</v>
      </c>
    </row>
    <row r="3370" spans="1:9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 s="2">
        <v>8896</v>
      </c>
      <c r="G3370">
        <v>1825.26</v>
      </c>
      <c r="H3370" s="2">
        <f>Table1[[#This Row],[Profit]]/Table1[[#This Row],[Sales]]*100</f>
        <v>20.517760791366907</v>
      </c>
      <c r="I3370" t="str">
        <f>IF(Table1[[#This Row],[Profit %]]&gt;20,"Excellent",IF(H3370&gt;10.1,"Good","Low"))</f>
        <v>Excellent</v>
      </c>
    </row>
    <row r="3371" spans="1:9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 s="2">
        <v>3264</v>
      </c>
      <c r="G3371">
        <v>639.79999999999995</v>
      </c>
      <c r="H3371" s="2">
        <f>Table1[[#This Row],[Profit]]/Table1[[#This Row],[Sales]]*100</f>
        <v>19.60171568627451</v>
      </c>
      <c r="I3371" t="str">
        <f>IF(Table1[[#This Row],[Profit %]]&gt;20,"Excellent",IF(H3371&gt;10.1,"Good","Low"))</f>
        <v>Good</v>
      </c>
    </row>
    <row r="3372" spans="1:9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 s="2">
        <v>146</v>
      </c>
      <c r="G3372">
        <v>15.48</v>
      </c>
      <c r="H3372" s="2">
        <f>Table1[[#This Row],[Profit]]/Table1[[#This Row],[Sales]]*100</f>
        <v>10.602739726027398</v>
      </c>
      <c r="I3372" t="str">
        <f>IF(Table1[[#This Row],[Profit %]]&gt;20,"Excellent",IF(H3372&gt;10.1,"Good","Low"))</f>
        <v>Good</v>
      </c>
    </row>
    <row r="3373" spans="1:9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 s="2">
        <v>1683</v>
      </c>
      <c r="G3373">
        <v>129.63999999999999</v>
      </c>
      <c r="H3373" s="2">
        <f>Table1[[#This Row],[Profit]]/Table1[[#This Row],[Sales]]*100</f>
        <v>7.7029114676173487</v>
      </c>
      <c r="I3373" t="str">
        <f>IF(Table1[[#This Row],[Profit %]]&gt;20,"Excellent",IF(H3373&gt;10.1,"Good","Low"))</f>
        <v>Low</v>
      </c>
    </row>
    <row r="3374" spans="1:9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 s="2">
        <v>6076</v>
      </c>
      <c r="G3374">
        <v>788.14</v>
      </c>
      <c r="H3374" s="2">
        <f>Table1[[#This Row],[Profit]]/Table1[[#This Row],[Sales]]*100</f>
        <v>12.971362738643844</v>
      </c>
      <c r="I3374" t="str">
        <f>IF(Table1[[#This Row],[Profit %]]&gt;20,"Excellent",IF(H3374&gt;10.1,"Good","Low"))</f>
        <v>Good</v>
      </c>
    </row>
    <row r="3375" spans="1:9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 s="2">
        <v>2388</v>
      </c>
      <c r="G3375">
        <v>492.54</v>
      </c>
      <c r="H3375" s="2">
        <f>Table1[[#This Row],[Profit]]/Table1[[#This Row],[Sales]]*100</f>
        <v>20.625628140703519</v>
      </c>
      <c r="I3375" t="str">
        <f>IF(Table1[[#This Row],[Profit %]]&gt;20,"Excellent",IF(H3375&gt;10.1,"Good","Low"))</f>
        <v>Excellent</v>
      </c>
    </row>
    <row r="3376" spans="1:9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 s="2">
        <v>882</v>
      </c>
      <c r="G3376">
        <v>180.63</v>
      </c>
      <c r="H3376" s="2">
        <f>Table1[[#This Row],[Profit]]/Table1[[#This Row],[Sales]]*100</f>
        <v>20.479591836734691</v>
      </c>
      <c r="I3376" t="str">
        <f>IF(Table1[[#This Row],[Profit %]]&gt;20,"Excellent",IF(H3376&gt;10.1,"Good","Low"))</f>
        <v>Excellent</v>
      </c>
    </row>
    <row r="3377" spans="1:9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 s="2">
        <v>3561</v>
      </c>
      <c r="G3377">
        <v>206.87</v>
      </c>
      <c r="H3377" s="2">
        <f>Table1[[#This Row],[Profit]]/Table1[[#This Row],[Sales]]*100</f>
        <v>5.8093232238135357</v>
      </c>
      <c r="I3377" t="str">
        <f>IF(Table1[[#This Row],[Profit %]]&gt;20,"Excellent",IF(H3377&gt;10.1,"Good","Low"))</f>
        <v>Low</v>
      </c>
    </row>
    <row r="3378" spans="1:9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 s="2">
        <v>3395</v>
      </c>
      <c r="G3378">
        <v>350.26</v>
      </c>
      <c r="H3378" s="2">
        <f>Table1[[#This Row],[Profit]]/Table1[[#This Row],[Sales]]*100</f>
        <v>10.316936671575846</v>
      </c>
      <c r="I3378" t="str">
        <f>IF(Table1[[#This Row],[Profit %]]&gt;20,"Excellent",IF(H3378&gt;10.1,"Good","Low"))</f>
        <v>Good</v>
      </c>
    </row>
    <row r="3379" spans="1:9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 s="2">
        <v>3366</v>
      </c>
      <c r="G3379">
        <v>460.75</v>
      </c>
      <c r="H3379" s="2">
        <f>Table1[[#This Row],[Profit]]/Table1[[#This Row],[Sales]]*100</f>
        <v>13.6883541295306</v>
      </c>
      <c r="I3379" t="str">
        <f>IF(Table1[[#This Row],[Profit %]]&gt;20,"Excellent",IF(H3379&gt;10.1,"Good","Low"))</f>
        <v>Good</v>
      </c>
    </row>
    <row r="3380" spans="1:9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 s="2">
        <v>630</v>
      </c>
      <c r="G3380">
        <v>144.13999999999999</v>
      </c>
      <c r="H3380" s="2">
        <f>Table1[[#This Row],[Profit]]/Table1[[#This Row],[Sales]]*100</f>
        <v>22.879365079365076</v>
      </c>
      <c r="I3380" t="str">
        <f>IF(Table1[[#This Row],[Profit %]]&gt;20,"Excellent",IF(H3380&gt;10.1,"Good","Low"))</f>
        <v>Excellent</v>
      </c>
    </row>
    <row r="3381" spans="1:9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 s="2">
        <v>440</v>
      </c>
      <c r="G3381">
        <v>34.74</v>
      </c>
      <c r="H3381" s="2">
        <f>Table1[[#This Row],[Profit]]/Table1[[#This Row],[Sales]]*100</f>
        <v>7.8954545454545455</v>
      </c>
      <c r="I3381" t="str">
        <f>IF(Table1[[#This Row],[Profit %]]&gt;20,"Excellent",IF(H3381&gt;10.1,"Good","Low"))</f>
        <v>Low</v>
      </c>
    </row>
    <row r="3382" spans="1:9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 s="2">
        <v>6462</v>
      </c>
      <c r="G3382">
        <v>1466.15</v>
      </c>
      <c r="H3382" s="2">
        <f>Table1[[#This Row],[Profit]]/Table1[[#This Row],[Sales]]*100</f>
        <v>22.688796038378211</v>
      </c>
      <c r="I3382" t="str">
        <f>IF(Table1[[#This Row],[Profit %]]&gt;20,"Excellent",IF(H3382&gt;10.1,"Good","Low"))</f>
        <v>Excellent</v>
      </c>
    </row>
    <row r="3383" spans="1:9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 s="2">
        <v>5004</v>
      </c>
      <c r="G3383">
        <v>1197.3599999999999</v>
      </c>
      <c r="H3383" s="2">
        <f>Table1[[#This Row],[Profit]]/Table1[[#This Row],[Sales]]*100</f>
        <v>23.928057553956833</v>
      </c>
      <c r="I3383" t="str">
        <f>IF(Table1[[#This Row],[Profit %]]&gt;20,"Excellent",IF(H3383&gt;10.1,"Good","Low"))</f>
        <v>Excellent</v>
      </c>
    </row>
    <row r="3384" spans="1:9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 s="2">
        <v>1840</v>
      </c>
      <c r="G3384">
        <v>461.21</v>
      </c>
      <c r="H3384" s="2">
        <f>Table1[[#This Row],[Profit]]/Table1[[#This Row],[Sales]]*100</f>
        <v>25.065760869565217</v>
      </c>
      <c r="I3384" t="str">
        <f>IF(Table1[[#This Row],[Profit %]]&gt;20,"Excellent",IF(H3384&gt;10.1,"Good","Low"))</f>
        <v>Excellent</v>
      </c>
    </row>
    <row r="3385" spans="1:9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 s="2">
        <v>4466</v>
      </c>
      <c r="G3385">
        <v>763.14</v>
      </c>
      <c r="H3385" s="2">
        <f>Table1[[#This Row],[Profit]]/Table1[[#This Row],[Sales]]*100</f>
        <v>17.087774294670847</v>
      </c>
      <c r="I3385" t="str">
        <f>IF(Table1[[#This Row],[Profit %]]&gt;20,"Excellent",IF(H3385&gt;10.1,"Good","Low"))</f>
        <v>Good</v>
      </c>
    </row>
    <row r="3386" spans="1:9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 s="2">
        <v>3048</v>
      </c>
      <c r="G3386">
        <v>823.36</v>
      </c>
      <c r="H3386" s="2">
        <f>Table1[[#This Row],[Profit]]/Table1[[#This Row],[Sales]]*100</f>
        <v>27.013123359580053</v>
      </c>
      <c r="I3386" t="str">
        <f>IF(Table1[[#This Row],[Profit %]]&gt;20,"Excellent",IF(H3386&gt;10.1,"Good","Low"))</f>
        <v>Excellent</v>
      </c>
    </row>
    <row r="3387" spans="1:9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 s="2">
        <v>4977</v>
      </c>
      <c r="G3387">
        <v>516.70000000000005</v>
      </c>
      <c r="H3387" s="2">
        <f>Table1[[#This Row],[Profit]]/Table1[[#This Row],[Sales]]*100</f>
        <v>10.381756077958611</v>
      </c>
      <c r="I3387" t="str">
        <f>IF(Table1[[#This Row],[Profit %]]&gt;20,"Excellent",IF(H3387&gt;10.1,"Good","Low"))</f>
        <v>Good</v>
      </c>
    </row>
    <row r="3388" spans="1:9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 s="2">
        <v>2010</v>
      </c>
      <c r="G3388">
        <v>387.31</v>
      </c>
      <c r="H3388" s="2">
        <f>Table1[[#This Row],[Profit]]/Table1[[#This Row],[Sales]]*100</f>
        <v>19.269154228855722</v>
      </c>
      <c r="I3388" t="str">
        <f>IF(Table1[[#This Row],[Profit %]]&gt;20,"Excellent",IF(H3388&gt;10.1,"Good","Low"))</f>
        <v>Good</v>
      </c>
    </row>
    <row r="3389" spans="1:9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 s="2">
        <v>5352</v>
      </c>
      <c r="G3389">
        <v>1133.57</v>
      </c>
      <c r="H3389" s="2">
        <f>Table1[[#This Row],[Profit]]/Table1[[#This Row],[Sales]]*100</f>
        <v>21.180306427503737</v>
      </c>
      <c r="I3389" t="str">
        <f>IF(Table1[[#This Row],[Profit %]]&gt;20,"Excellent",IF(H3389&gt;10.1,"Good","Low"))</f>
        <v>Excellent</v>
      </c>
    </row>
    <row r="3390" spans="1:9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 s="2">
        <v>4136</v>
      </c>
      <c r="G3390">
        <v>294.20999999999998</v>
      </c>
      <c r="H3390" s="2">
        <f>Table1[[#This Row],[Profit]]/Table1[[#This Row],[Sales]]*100</f>
        <v>7.1133945841392636</v>
      </c>
      <c r="I3390" t="str">
        <f>IF(Table1[[#This Row],[Profit %]]&gt;20,"Excellent",IF(H3390&gt;10.1,"Good","Low"))</f>
        <v>Low</v>
      </c>
    </row>
    <row r="3391" spans="1:9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 s="2">
        <v>6336</v>
      </c>
      <c r="G3391">
        <v>439.42</v>
      </c>
      <c r="H3391" s="2">
        <f>Table1[[#This Row],[Profit]]/Table1[[#This Row],[Sales]]*100</f>
        <v>6.9352904040404049</v>
      </c>
      <c r="I3391" t="str">
        <f>IF(Table1[[#This Row],[Profit %]]&gt;20,"Excellent",IF(H3391&gt;10.1,"Good","Low"))</f>
        <v>Low</v>
      </c>
    </row>
    <row r="3392" spans="1:9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 s="2">
        <v>5481</v>
      </c>
      <c r="G3392">
        <v>1540.75</v>
      </c>
      <c r="H3392" s="2">
        <f>Table1[[#This Row],[Profit]]/Table1[[#This Row],[Sales]]*100</f>
        <v>28.110746214194489</v>
      </c>
      <c r="I3392" t="str">
        <f>IF(Table1[[#This Row],[Profit %]]&gt;20,"Excellent",IF(H3392&gt;10.1,"Good","Low"))</f>
        <v>Excellent</v>
      </c>
    </row>
    <row r="3393" spans="1:9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 s="2">
        <v>6366</v>
      </c>
      <c r="G3393">
        <v>318.97000000000003</v>
      </c>
      <c r="H3393" s="2">
        <f>Table1[[#This Row],[Profit]]/Table1[[#This Row],[Sales]]*100</f>
        <v>5.0105246622683008</v>
      </c>
      <c r="I3393" t="str">
        <f>IF(Table1[[#This Row],[Profit %]]&gt;20,"Excellent",IF(H3393&gt;10.1,"Good","Low"))</f>
        <v>Low</v>
      </c>
    </row>
    <row r="3394" spans="1:9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 s="2">
        <v>623</v>
      </c>
      <c r="G3394">
        <v>81.239999999999995</v>
      </c>
      <c r="H3394" s="2">
        <f>Table1[[#This Row],[Profit]]/Table1[[#This Row],[Sales]]*100</f>
        <v>13.040128410914928</v>
      </c>
      <c r="I3394" t="str">
        <f>IF(Table1[[#This Row],[Profit %]]&gt;20,"Excellent",IF(H3394&gt;10.1,"Good","Low"))</f>
        <v>Good</v>
      </c>
    </row>
    <row r="3395" spans="1:9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 s="2">
        <v>237</v>
      </c>
      <c r="G3395">
        <v>49.94</v>
      </c>
      <c r="H3395" s="2">
        <f>Table1[[#This Row],[Profit]]/Table1[[#This Row],[Sales]]*100</f>
        <v>21.071729957805907</v>
      </c>
      <c r="I3395" t="str">
        <f>IF(Table1[[#This Row],[Profit %]]&gt;20,"Excellent",IF(H3395&gt;10.1,"Good","Low"))</f>
        <v>Excellent</v>
      </c>
    </row>
    <row r="3396" spans="1:9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 s="2">
        <v>8370</v>
      </c>
      <c r="G3396">
        <v>1525.8</v>
      </c>
      <c r="H3396" s="2">
        <f>Table1[[#This Row],[Profit]]/Table1[[#This Row],[Sales]]*100</f>
        <v>18.229390681003586</v>
      </c>
      <c r="I3396" t="str">
        <f>IF(Table1[[#This Row],[Profit %]]&gt;20,"Excellent",IF(H3396&gt;10.1,"Good","Low"))</f>
        <v>Good</v>
      </c>
    </row>
    <row r="3397" spans="1:9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 s="2">
        <v>4965</v>
      </c>
      <c r="G3397">
        <v>774.74</v>
      </c>
      <c r="H3397" s="2">
        <f>Table1[[#This Row],[Profit]]/Table1[[#This Row],[Sales]]*100</f>
        <v>15.604028197381673</v>
      </c>
      <c r="I3397" t="str">
        <f>IF(Table1[[#This Row],[Profit %]]&gt;20,"Excellent",IF(H3397&gt;10.1,"Good","Low"))</f>
        <v>Good</v>
      </c>
    </row>
    <row r="3398" spans="1:9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 s="2">
        <v>7791</v>
      </c>
      <c r="G3398">
        <v>1844.69</v>
      </c>
      <c r="H3398" s="2">
        <f>Table1[[#This Row],[Profit]]/Table1[[#This Row],[Sales]]*100</f>
        <v>23.677191631369528</v>
      </c>
      <c r="I3398" t="str">
        <f>IF(Table1[[#This Row],[Profit %]]&gt;20,"Excellent",IF(H3398&gt;10.1,"Good","Low"))</f>
        <v>Excellent</v>
      </c>
    </row>
    <row r="3399" spans="1:9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 s="2">
        <v>158</v>
      </c>
      <c r="G3399">
        <v>32.89</v>
      </c>
      <c r="H3399" s="2">
        <f>Table1[[#This Row],[Profit]]/Table1[[#This Row],[Sales]]*100</f>
        <v>20.816455696202532</v>
      </c>
      <c r="I3399" t="str">
        <f>IF(Table1[[#This Row],[Profit %]]&gt;20,"Excellent",IF(H3399&gt;10.1,"Good","Low"))</f>
        <v>Excellent</v>
      </c>
    </row>
    <row r="3400" spans="1:9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 s="2">
        <v>4347</v>
      </c>
      <c r="G3400">
        <v>712.79</v>
      </c>
      <c r="H3400" s="2">
        <f>Table1[[#This Row],[Profit]]/Table1[[#This Row],[Sales]]*100</f>
        <v>16.397285484242005</v>
      </c>
      <c r="I3400" t="str">
        <f>IF(Table1[[#This Row],[Profit %]]&gt;20,"Excellent",IF(H3400&gt;10.1,"Good","Low"))</f>
        <v>Good</v>
      </c>
    </row>
    <row r="3401" spans="1:9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 s="2">
        <v>3364</v>
      </c>
      <c r="G3401">
        <v>527.28</v>
      </c>
      <c r="H3401" s="2">
        <f>Table1[[#This Row],[Profit]]/Table1[[#This Row],[Sales]]*100</f>
        <v>15.674197384066588</v>
      </c>
      <c r="I3401" t="str">
        <f>IF(Table1[[#This Row],[Profit %]]&gt;20,"Excellent",IF(H3401&gt;10.1,"Good","Low"))</f>
        <v>Good</v>
      </c>
    </row>
    <row r="3402" spans="1:9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 s="2">
        <v>1098</v>
      </c>
      <c r="G3402">
        <v>77.81</v>
      </c>
      <c r="H3402" s="2">
        <f>Table1[[#This Row],[Profit]]/Table1[[#This Row],[Sales]]*100</f>
        <v>7.0865209471766848</v>
      </c>
      <c r="I3402" t="str">
        <f>IF(Table1[[#This Row],[Profit %]]&gt;20,"Excellent",IF(H3402&gt;10.1,"Good","Low"))</f>
        <v>Low</v>
      </c>
    </row>
    <row r="3403" spans="1:9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 s="2">
        <v>1083</v>
      </c>
      <c r="G3403">
        <v>257.44</v>
      </c>
      <c r="H3403" s="2">
        <f>Table1[[#This Row],[Profit]]/Table1[[#This Row],[Sales]]*100</f>
        <v>23.77100646352724</v>
      </c>
      <c r="I3403" t="str">
        <f>IF(Table1[[#This Row],[Profit %]]&gt;20,"Excellent",IF(H3403&gt;10.1,"Good","Low"))</f>
        <v>Excellent</v>
      </c>
    </row>
    <row r="3404" spans="1:9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 s="2">
        <v>1628</v>
      </c>
      <c r="G3404">
        <v>314.95999999999998</v>
      </c>
      <c r="H3404" s="2">
        <f>Table1[[#This Row],[Profit]]/Table1[[#This Row],[Sales]]*100</f>
        <v>19.346437346437344</v>
      </c>
      <c r="I3404" t="str">
        <f>IF(Table1[[#This Row],[Profit %]]&gt;20,"Excellent",IF(H3404&gt;10.1,"Good","Low"))</f>
        <v>Good</v>
      </c>
    </row>
    <row r="3405" spans="1:9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 s="2">
        <v>1472</v>
      </c>
      <c r="G3405">
        <v>387.27</v>
      </c>
      <c r="H3405" s="2">
        <f>Table1[[#This Row],[Profit]]/Table1[[#This Row],[Sales]]*100</f>
        <v>26.309103260869566</v>
      </c>
      <c r="I3405" t="str">
        <f>IF(Table1[[#This Row],[Profit %]]&gt;20,"Excellent",IF(H3405&gt;10.1,"Good","Low"))</f>
        <v>Excellent</v>
      </c>
    </row>
    <row r="3406" spans="1:9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 s="2">
        <v>3753</v>
      </c>
      <c r="G3406">
        <v>1114.8699999999999</v>
      </c>
      <c r="H3406" s="2">
        <f>Table1[[#This Row],[Profit]]/Table1[[#This Row],[Sales]]*100</f>
        <v>29.706101785238477</v>
      </c>
      <c r="I3406" t="str">
        <f>IF(Table1[[#This Row],[Profit %]]&gt;20,"Excellent",IF(H3406&gt;10.1,"Good","Low"))</f>
        <v>Excellent</v>
      </c>
    </row>
    <row r="3407" spans="1:9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 s="2">
        <v>6402</v>
      </c>
      <c r="G3407">
        <v>1602.79</v>
      </c>
      <c r="H3407" s="2">
        <f>Table1[[#This Row],[Profit]]/Table1[[#This Row],[Sales]]*100</f>
        <v>25.035770071852546</v>
      </c>
      <c r="I3407" t="str">
        <f>IF(Table1[[#This Row],[Profit %]]&gt;20,"Excellent",IF(H3407&gt;10.1,"Good","Low"))</f>
        <v>Excellent</v>
      </c>
    </row>
    <row r="3408" spans="1:9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 s="2">
        <v>2565</v>
      </c>
      <c r="G3408">
        <v>510.73</v>
      </c>
      <c r="H3408" s="2">
        <f>Table1[[#This Row],[Profit]]/Table1[[#This Row],[Sales]]*100</f>
        <v>19.911500974658868</v>
      </c>
      <c r="I3408" t="str">
        <f>IF(Table1[[#This Row],[Profit %]]&gt;20,"Excellent",IF(H3408&gt;10.1,"Good","Low"))</f>
        <v>Good</v>
      </c>
    </row>
    <row r="3409" spans="1:9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 s="2">
        <v>2214</v>
      </c>
      <c r="G3409">
        <v>127.34</v>
      </c>
      <c r="H3409" s="2">
        <f>Table1[[#This Row],[Profit]]/Table1[[#This Row],[Sales]]*100</f>
        <v>5.751580849141825</v>
      </c>
      <c r="I3409" t="str">
        <f>IF(Table1[[#This Row],[Profit %]]&gt;20,"Excellent",IF(H3409&gt;10.1,"Good","Low"))</f>
        <v>Low</v>
      </c>
    </row>
    <row r="3410" spans="1:9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 s="2">
        <v>975</v>
      </c>
      <c r="G3410">
        <v>291.81</v>
      </c>
      <c r="H3410" s="2">
        <f>Table1[[#This Row],[Profit]]/Table1[[#This Row],[Sales]]*100</f>
        <v>29.92923076923077</v>
      </c>
      <c r="I3410" t="str">
        <f>IF(Table1[[#This Row],[Profit %]]&gt;20,"Excellent",IF(H3410&gt;10.1,"Good","Low"))</f>
        <v>Excellent</v>
      </c>
    </row>
    <row r="3411" spans="1:9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 s="2">
        <v>3312</v>
      </c>
      <c r="G3411">
        <v>854.12</v>
      </c>
      <c r="H3411" s="2">
        <f>Table1[[#This Row],[Profit]]/Table1[[#This Row],[Sales]]*100</f>
        <v>25.788647342995169</v>
      </c>
      <c r="I3411" t="str">
        <f>IF(Table1[[#This Row],[Profit %]]&gt;20,"Excellent",IF(H3411&gt;10.1,"Good","Low"))</f>
        <v>Excellent</v>
      </c>
    </row>
    <row r="3412" spans="1:9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 s="2">
        <v>267</v>
      </c>
      <c r="G3412">
        <v>41.85</v>
      </c>
      <c r="H3412" s="2">
        <f>Table1[[#This Row],[Profit]]/Table1[[#This Row],[Sales]]*100</f>
        <v>15.674157303370787</v>
      </c>
      <c r="I3412" t="str">
        <f>IF(Table1[[#This Row],[Profit %]]&gt;20,"Excellent",IF(H3412&gt;10.1,"Good","Low"))</f>
        <v>Good</v>
      </c>
    </row>
    <row r="3413" spans="1:9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 s="2">
        <v>8145</v>
      </c>
      <c r="G3413">
        <v>2384.42</v>
      </c>
      <c r="H3413" s="2">
        <f>Table1[[#This Row],[Profit]]/Table1[[#This Row],[Sales]]*100</f>
        <v>29.274647022713324</v>
      </c>
      <c r="I3413" t="str">
        <f>IF(Table1[[#This Row],[Profit %]]&gt;20,"Excellent",IF(H3413&gt;10.1,"Good","Low"))</f>
        <v>Excellent</v>
      </c>
    </row>
    <row r="3414" spans="1:9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 s="2">
        <v>232</v>
      </c>
      <c r="G3414">
        <v>34.26</v>
      </c>
      <c r="H3414" s="2">
        <f>Table1[[#This Row],[Profit]]/Table1[[#This Row],[Sales]]*100</f>
        <v>14.767241379310345</v>
      </c>
      <c r="I3414" t="str">
        <f>IF(Table1[[#This Row],[Profit %]]&gt;20,"Excellent",IF(H3414&gt;10.1,"Good","Low"))</f>
        <v>Good</v>
      </c>
    </row>
    <row r="3415" spans="1:9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 s="2">
        <v>300</v>
      </c>
      <c r="G3415">
        <v>38.44</v>
      </c>
      <c r="H3415" s="2">
        <f>Table1[[#This Row],[Profit]]/Table1[[#This Row],[Sales]]*100</f>
        <v>12.813333333333333</v>
      </c>
      <c r="I3415" t="str">
        <f>IF(Table1[[#This Row],[Profit %]]&gt;20,"Excellent",IF(H3415&gt;10.1,"Good","Low"))</f>
        <v>Good</v>
      </c>
    </row>
    <row r="3416" spans="1:9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 s="2">
        <v>2248</v>
      </c>
      <c r="G3416">
        <v>473.21</v>
      </c>
      <c r="H3416" s="2">
        <f>Table1[[#This Row],[Profit]]/Table1[[#This Row],[Sales]]*100</f>
        <v>21.05026690391459</v>
      </c>
      <c r="I3416" t="str">
        <f>IF(Table1[[#This Row],[Profit %]]&gt;20,"Excellent",IF(H3416&gt;10.1,"Good","Low"))</f>
        <v>Excellent</v>
      </c>
    </row>
    <row r="3417" spans="1:9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 s="2">
        <v>1614</v>
      </c>
      <c r="G3417">
        <v>166.62</v>
      </c>
      <c r="H3417" s="2">
        <f>Table1[[#This Row],[Profit]]/Table1[[#This Row],[Sales]]*100</f>
        <v>10.323420074349443</v>
      </c>
      <c r="I3417" t="str">
        <f>IF(Table1[[#This Row],[Profit %]]&gt;20,"Excellent",IF(H3417&gt;10.1,"Good","Low"))</f>
        <v>Good</v>
      </c>
    </row>
    <row r="3418" spans="1:9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 s="2">
        <v>1476</v>
      </c>
      <c r="G3418">
        <v>195.74</v>
      </c>
      <c r="H3418" s="2">
        <f>Table1[[#This Row],[Profit]]/Table1[[#This Row],[Sales]]*100</f>
        <v>13.261517615176151</v>
      </c>
      <c r="I3418" t="str">
        <f>IF(Table1[[#This Row],[Profit %]]&gt;20,"Excellent",IF(H3418&gt;10.1,"Good","Low"))</f>
        <v>Good</v>
      </c>
    </row>
    <row r="3419" spans="1:9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 s="2">
        <v>4375</v>
      </c>
      <c r="G3419">
        <v>347.43</v>
      </c>
      <c r="H3419" s="2">
        <f>Table1[[#This Row],[Profit]]/Table1[[#This Row],[Sales]]*100</f>
        <v>7.9412571428571432</v>
      </c>
      <c r="I3419" t="str">
        <f>IF(Table1[[#This Row],[Profit %]]&gt;20,"Excellent",IF(H3419&gt;10.1,"Good","Low"))</f>
        <v>Low</v>
      </c>
    </row>
    <row r="3420" spans="1:9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 s="2">
        <v>1064</v>
      </c>
      <c r="G3420">
        <v>263.48</v>
      </c>
      <c r="H3420" s="2">
        <f>Table1[[#This Row],[Profit]]/Table1[[#This Row],[Sales]]*100</f>
        <v>24.763157894736842</v>
      </c>
      <c r="I3420" t="str">
        <f>IF(Table1[[#This Row],[Profit %]]&gt;20,"Excellent",IF(H3420&gt;10.1,"Good","Low"))</f>
        <v>Excellent</v>
      </c>
    </row>
    <row r="3421" spans="1:9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 s="2">
        <v>1068</v>
      </c>
      <c r="G3421">
        <v>190.77</v>
      </c>
      <c r="H3421" s="2">
        <f>Table1[[#This Row],[Profit]]/Table1[[#This Row],[Sales]]*100</f>
        <v>17.862359550561798</v>
      </c>
      <c r="I3421" t="str">
        <f>IF(Table1[[#This Row],[Profit %]]&gt;20,"Excellent",IF(H3421&gt;10.1,"Good","Low"))</f>
        <v>Good</v>
      </c>
    </row>
    <row r="3422" spans="1:9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 s="2">
        <v>190</v>
      </c>
      <c r="G3422">
        <v>27.43</v>
      </c>
      <c r="H3422" s="2">
        <f>Table1[[#This Row],[Profit]]/Table1[[#This Row],[Sales]]*100</f>
        <v>14.436842105263159</v>
      </c>
      <c r="I3422" t="str">
        <f>IF(Table1[[#This Row],[Profit %]]&gt;20,"Excellent",IF(H3422&gt;10.1,"Good","Low"))</f>
        <v>Good</v>
      </c>
    </row>
    <row r="3423" spans="1:9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 s="2">
        <v>7868</v>
      </c>
      <c r="G3423">
        <v>862.38</v>
      </c>
      <c r="H3423" s="2">
        <f>Table1[[#This Row],[Profit]]/Table1[[#This Row],[Sales]]*100</f>
        <v>10.960599898322318</v>
      </c>
      <c r="I3423" t="str">
        <f>IF(Table1[[#This Row],[Profit %]]&gt;20,"Excellent",IF(H3423&gt;10.1,"Good","Low"))</f>
        <v>Good</v>
      </c>
    </row>
    <row r="3424" spans="1:9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 s="2">
        <v>1239</v>
      </c>
      <c r="G3424">
        <v>143.35</v>
      </c>
      <c r="H3424" s="2">
        <f>Table1[[#This Row],[Profit]]/Table1[[#This Row],[Sales]]*100</f>
        <v>11.569814366424536</v>
      </c>
      <c r="I3424" t="str">
        <f>IF(Table1[[#This Row],[Profit %]]&gt;20,"Excellent",IF(H3424&gt;10.1,"Good","Low"))</f>
        <v>Good</v>
      </c>
    </row>
    <row r="3425" spans="1:9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 s="2">
        <v>1394</v>
      </c>
      <c r="G3425">
        <v>408.32</v>
      </c>
      <c r="H3425" s="2">
        <f>Table1[[#This Row],[Profit]]/Table1[[#This Row],[Sales]]*100</f>
        <v>29.291248206599711</v>
      </c>
      <c r="I3425" t="str">
        <f>IF(Table1[[#This Row],[Profit %]]&gt;20,"Excellent",IF(H3425&gt;10.1,"Good","Low"))</f>
        <v>Excellent</v>
      </c>
    </row>
    <row r="3426" spans="1:9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 s="2">
        <v>2060</v>
      </c>
      <c r="G3426">
        <v>403.19</v>
      </c>
      <c r="H3426" s="2">
        <f>Table1[[#This Row],[Profit]]/Table1[[#This Row],[Sales]]*100</f>
        <v>19.572330097087377</v>
      </c>
      <c r="I3426" t="str">
        <f>IF(Table1[[#This Row],[Profit %]]&gt;20,"Excellent",IF(H3426&gt;10.1,"Good","Low"))</f>
        <v>Good</v>
      </c>
    </row>
    <row r="3427" spans="1:9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 s="2">
        <v>1060</v>
      </c>
      <c r="G3427">
        <v>57.26</v>
      </c>
      <c r="H3427" s="2">
        <f>Table1[[#This Row],[Profit]]/Table1[[#This Row],[Sales]]*100</f>
        <v>5.4018867924528298</v>
      </c>
      <c r="I3427" t="str">
        <f>IF(Table1[[#This Row],[Profit %]]&gt;20,"Excellent",IF(H3427&gt;10.1,"Good","Low"))</f>
        <v>Low</v>
      </c>
    </row>
    <row r="3428" spans="1:9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 s="2">
        <v>7812</v>
      </c>
      <c r="G3428">
        <v>1478.43</v>
      </c>
      <c r="H3428" s="2">
        <f>Table1[[#This Row],[Profit]]/Table1[[#This Row],[Sales]]*100</f>
        <v>18.92511520737327</v>
      </c>
      <c r="I3428" t="str">
        <f>IF(Table1[[#This Row],[Profit %]]&gt;20,"Excellent",IF(H3428&gt;10.1,"Good","Low"))</f>
        <v>Good</v>
      </c>
    </row>
    <row r="3429" spans="1:9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 s="2">
        <v>7077</v>
      </c>
      <c r="G3429">
        <v>804.15</v>
      </c>
      <c r="H3429" s="2">
        <f>Table1[[#This Row],[Profit]]/Table1[[#This Row],[Sales]]*100</f>
        <v>11.362865621025858</v>
      </c>
      <c r="I3429" t="str">
        <f>IF(Table1[[#This Row],[Profit %]]&gt;20,"Excellent",IF(H3429&gt;10.1,"Good","Low"))</f>
        <v>Good</v>
      </c>
    </row>
    <row r="3430" spans="1:9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 s="2">
        <v>5712</v>
      </c>
      <c r="G3430">
        <v>929.42</v>
      </c>
      <c r="H3430" s="2">
        <f>Table1[[#This Row],[Profit]]/Table1[[#This Row],[Sales]]*100</f>
        <v>16.271358543417367</v>
      </c>
      <c r="I3430" t="str">
        <f>IF(Table1[[#This Row],[Profit %]]&gt;20,"Excellent",IF(H3430&gt;10.1,"Good","Low"))</f>
        <v>Good</v>
      </c>
    </row>
    <row r="3431" spans="1:9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 s="2">
        <v>4146</v>
      </c>
      <c r="G3431">
        <v>966.79</v>
      </c>
      <c r="H3431" s="2">
        <f>Table1[[#This Row],[Profit]]/Table1[[#This Row],[Sales]]*100</f>
        <v>23.318620356970573</v>
      </c>
      <c r="I3431" t="str">
        <f>IF(Table1[[#This Row],[Profit %]]&gt;20,"Excellent",IF(H3431&gt;10.1,"Good","Low"))</f>
        <v>Excellent</v>
      </c>
    </row>
    <row r="3432" spans="1:9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 s="2">
        <v>992</v>
      </c>
      <c r="G3432">
        <v>238.18</v>
      </c>
      <c r="H3432" s="2">
        <f>Table1[[#This Row],[Profit]]/Table1[[#This Row],[Sales]]*100</f>
        <v>24.010080645161292</v>
      </c>
      <c r="I3432" t="str">
        <f>IF(Table1[[#This Row],[Profit %]]&gt;20,"Excellent",IF(H3432&gt;10.1,"Good","Low"))</f>
        <v>Excellent</v>
      </c>
    </row>
    <row r="3433" spans="1:9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 s="2">
        <v>1756</v>
      </c>
      <c r="G3433">
        <v>165.6</v>
      </c>
      <c r="H3433" s="2">
        <f>Table1[[#This Row],[Profit]]/Table1[[#This Row],[Sales]]*100</f>
        <v>9.4305239179954441</v>
      </c>
      <c r="I3433" t="str">
        <f>IF(Table1[[#This Row],[Profit %]]&gt;20,"Excellent",IF(H3433&gt;10.1,"Good","Low"))</f>
        <v>Low</v>
      </c>
    </row>
    <row r="3434" spans="1:9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 s="2">
        <v>3632</v>
      </c>
      <c r="G3434">
        <v>566.80999999999995</v>
      </c>
      <c r="H3434" s="2">
        <f>Table1[[#This Row],[Profit]]/Table1[[#This Row],[Sales]]*100</f>
        <v>15.606002202643172</v>
      </c>
      <c r="I3434" t="str">
        <f>IF(Table1[[#This Row],[Profit %]]&gt;20,"Excellent",IF(H3434&gt;10.1,"Good","Low"))</f>
        <v>Good</v>
      </c>
    </row>
    <row r="3435" spans="1:9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 s="2">
        <v>3912</v>
      </c>
      <c r="G3435">
        <v>550.09</v>
      </c>
      <c r="H3435" s="2">
        <f>Table1[[#This Row],[Profit]]/Table1[[#This Row],[Sales]]*100</f>
        <v>14.061605316973417</v>
      </c>
      <c r="I3435" t="str">
        <f>IF(Table1[[#This Row],[Profit %]]&gt;20,"Excellent",IF(H3435&gt;10.1,"Good","Low"))</f>
        <v>Good</v>
      </c>
    </row>
    <row r="3436" spans="1:9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 s="2">
        <v>3123</v>
      </c>
      <c r="G3436">
        <v>741.23</v>
      </c>
      <c r="H3436" s="2">
        <f>Table1[[#This Row],[Profit]]/Table1[[#This Row],[Sales]]*100</f>
        <v>23.734550112071727</v>
      </c>
      <c r="I3436" t="str">
        <f>IF(Table1[[#This Row],[Profit %]]&gt;20,"Excellent",IF(H3436&gt;10.1,"Good","Low"))</f>
        <v>Excellent</v>
      </c>
    </row>
    <row r="3437" spans="1:9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 s="2">
        <v>700</v>
      </c>
      <c r="G3437">
        <v>120.19</v>
      </c>
      <c r="H3437" s="2">
        <f>Table1[[#This Row],[Profit]]/Table1[[#This Row],[Sales]]*100</f>
        <v>17.169999999999998</v>
      </c>
      <c r="I3437" t="str">
        <f>IF(Table1[[#This Row],[Profit %]]&gt;20,"Excellent",IF(H3437&gt;10.1,"Good","Low"))</f>
        <v>Good</v>
      </c>
    </row>
    <row r="3438" spans="1:9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 s="2">
        <v>408</v>
      </c>
      <c r="G3438">
        <v>83.16</v>
      </c>
      <c r="H3438" s="2">
        <f>Table1[[#This Row],[Profit]]/Table1[[#This Row],[Sales]]*100</f>
        <v>20.382352941176471</v>
      </c>
      <c r="I3438" t="str">
        <f>IF(Table1[[#This Row],[Profit %]]&gt;20,"Excellent",IF(H3438&gt;10.1,"Good","Low"))</f>
        <v>Excellent</v>
      </c>
    </row>
    <row r="3439" spans="1:9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 s="2">
        <v>4056</v>
      </c>
      <c r="G3439">
        <v>768.81</v>
      </c>
      <c r="H3439" s="2">
        <f>Table1[[#This Row],[Profit]]/Table1[[#This Row],[Sales]]*100</f>
        <v>18.95488165680473</v>
      </c>
      <c r="I3439" t="str">
        <f>IF(Table1[[#This Row],[Profit %]]&gt;20,"Excellent",IF(H3439&gt;10.1,"Good","Low"))</f>
        <v>Good</v>
      </c>
    </row>
    <row r="3440" spans="1:9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 s="2">
        <v>770</v>
      </c>
      <c r="G3440">
        <v>121.75</v>
      </c>
      <c r="H3440" s="2">
        <f>Table1[[#This Row],[Profit]]/Table1[[#This Row],[Sales]]*100</f>
        <v>15.811688311688313</v>
      </c>
      <c r="I3440" t="str">
        <f>IF(Table1[[#This Row],[Profit %]]&gt;20,"Excellent",IF(H3440&gt;10.1,"Good","Low"))</f>
        <v>Good</v>
      </c>
    </row>
    <row r="3441" spans="1:9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 s="2">
        <v>531</v>
      </c>
      <c r="G3441">
        <v>73.349999999999994</v>
      </c>
      <c r="H3441" s="2">
        <f>Table1[[#This Row],[Profit]]/Table1[[#This Row],[Sales]]*100</f>
        <v>13.813559322033896</v>
      </c>
      <c r="I3441" t="str">
        <f>IF(Table1[[#This Row],[Profit %]]&gt;20,"Excellent",IF(H3441&gt;10.1,"Good","Low"))</f>
        <v>Good</v>
      </c>
    </row>
    <row r="3442" spans="1:9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 s="2">
        <v>280</v>
      </c>
      <c r="G3442">
        <v>79.77</v>
      </c>
      <c r="H3442" s="2">
        <f>Table1[[#This Row],[Profit]]/Table1[[#This Row],[Sales]]*100</f>
        <v>28.48928571428571</v>
      </c>
      <c r="I3442" t="str">
        <f>IF(Table1[[#This Row],[Profit %]]&gt;20,"Excellent",IF(H3442&gt;10.1,"Good","Low"))</f>
        <v>Excellent</v>
      </c>
    </row>
    <row r="3443" spans="1:9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 s="2">
        <v>4550</v>
      </c>
      <c r="G3443">
        <v>892.73</v>
      </c>
      <c r="H3443" s="2">
        <f>Table1[[#This Row],[Profit]]/Table1[[#This Row],[Sales]]*100</f>
        <v>19.620439560439561</v>
      </c>
      <c r="I3443" t="str">
        <f>IF(Table1[[#This Row],[Profit %]]&gt;20,"Excellent",IF(H3443&gt;10.1,"Good","Low"))</f>
        <v>Good</v>
      </c>
    </row>
    <row r="3444" spans="1:9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 s="2">
        <v>2480</v>
      </c>
      <c r="G3444">
        <v>601.66</v>
      </c>
      <c r="H3444" s="2">
        <f>Table1[[#This Row],[Profit]]/Table1[[#This Row],[Sales]]*100</f>
        <v>24.260483870967743</v>
      </c>
      <c r="I3444" t="str">
        <f>IF(Table1[[#This Row],[Profit %]]&gt;20,"Excellent",IF(H3444&gt;10.1,"Good","Low"))</f>
        <v>Excellent</v>
      </c>
    </row>
    <row r="3445" spans="1:9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 s="2">
        <v>2604</v>
      </c>
      <c r="G3445">
        <v>305.73</v>
      </c>
      <c r="H3445" s="2">
        <f>Table1[[#This Row],[Profit]]/Table1[[#This Row],[Sales]]*100</f>
        <v>11.740783410138251</v>
      </c>
      <c r="I3445" t="str">
        <f>IF(Table1[[#This Row],[Profit %]]&gt;20,"Excellent",IF(H3445&gt;10.1,"Good","Low"))</f>
        <v>Good</v>
      </c>
    </row>
    <row r="3446" spans="1:9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 s="2">
        <v>1351</v>
      </c>
      <c r="G3446">
        <v>310.02999999999997</v>
      </c>
      <c r="H3446" s="2">
        <f>Table1[[#This Row],[Profit]]/Table1[[#This Row],[Sales]]*100</f>
        <v>22.948186528497409</v>
      </c>
      <c r="I3446" t="str">
        <f>IF(Table1[[#This Row],[Profit %]]&gt;20,"Excellent",IF(H3446&gt;10.1,"Good","Low"))</f>
        <v>Excellent</v>
      </c>
    </row>
    <row r="3447" spans="1:9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 s="2">
        <v>4615</v>
      </c>
      <c r="G3447">
        <v>251</v>
      </c>
      <c r="H3447" s="2">
        <f>Table1[[#This Row],[Profit]]/Table1[[#This Row],[Sales]]*100</f>
        <v>5.4387865655471286</v>
      </c>
      <c r="I3447" t="str">
        <f>IF(Table1[[#This Row],[Profit %]]&gt;20,"Excellent",IF(H3447&gt;10.1,"Good","Low"))</f>
        <v>Low</v>
      </c>
    </row>
    <row r="3448" spans="1:9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 s="2">
        <v>829</v>
      </c>
      <c r="G3448">
        <v>165.05</v>
      </c>
      <c r="H3448" s="2">
        <f>Table1[[#This Row],[Profit]]/Table1[[#This Row],[Sales]]*100</f>
        <v>19.909529553679135</v>
      </c>
      <c r="I3448" t="str">
        <f>IF(Table1[[#This Row],[Profit %]]&gt;20,"Excellent",IF(H3448&gt;10.1,"Good","Low"))</f>
        <v>Good</v>
      </c>
    </row>
    <row r="3449" spans="1:9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 s="2">
        <v>177</v>
      </c>
      <c r="G3449">
        <v>43.41</v>
      </c>
      <c r="H3449" s="2">
        <f>Table1[[#This Row],[Profit]]/Table1[[#This Row],[Sales]]*100</f>
        <v>24.525423728813557</v>
      </c>
      <c r="I3449" t="str">
        <f>IF(Table1[[#This Row],[Profit %]]&gt;20,"Excellent",IF(H3449&gt;10.1,"Good","Low"))</f>
        <v>Excellent</v>
      </c>
    </row>
    <row r="3450" spans="1:9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 s="2">
        <v>1086</v>
      </c>
      <c r="G3450">
        <v>161.05000000000001</v>
      </c>
      <c r="H3450" s="2">
        <f>Table1[[#This Row],[Profit]]/Table1[[#This Row],[Sales]]*100</f>
        <v>14.829650092081032</v>
      </c>
      <c r="I3450" t="str">
        <f>IF(Table1[[#This Row],[Profit %]]&gt;20,"Excellent",IF(H3450&gt;10.1,"Good","Low"))</f>
        <v>Good</v>
      </c>
    </row>
    <row r="3451" spans="1:9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 s="2">
        <v>275</v>
      </c>
      <c r="G3451">
        <v>64.900000000000006</v>
      </c>
      <c r="H3451" s="2">
        <f>Table1[[#This Row],[Profit]]/Table1[[#This Row],[Sales]]*100</f>
        <v>23.6</v>
      </c>
      <c r="I3451" t="str">
        <f>IF(Table1[[#This Row],[Profit %]]&gt;20,"Excellent",IF(H3451&gt;10.1,"Good","Low"))</f>
        <v>Excellent</v>
      </c>
    </row>
    <row r="3452" spans="1:9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 s="2">
        <v>564</v>
      </c>
      <c r="G3452">
        <v>164.5</v>
      </c>
      <c r="H3452" s="2">
        <f>Table1[[#This Row],[Profit]]/Table1[[#This Row],[Sales]]*100</f>
        <v>29.166666666666668</v>
      </c>
      <c r="I3452" t="str">
        <f>IF(Table1[[#This Row],[Profit %]]&gt;20,"Excellent",IF(H3452&gt;10.1,"Good","Low"))</f>
        <v>Excellent</v>
      </c>
    </row>
    <row r="3453" spans="1:9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 s="2">
        <v>684</v>
      </c>
      <c r="G3453">
        <v>71.39</v>
      </c>
      <c r="H3453" s="2">
        <f>Table1[[#This Row],[Profit]]/Table1[[#This Row],[Sales]]*100</f>
        <v>10.437134502923977</v>
      </c>
      <c r="I3453" t="str">
        <f>IF(Table1[[#This Row],[Profit %]]&gt;20,"Excellent",IF(H3453&gt;10.1,"Good","Low"))</f>
        <v>Good</v>
      </c>
    </row>
    <row r="3454" spans="1:9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 s="2">
        <v>2656</v>
      </c>
      <c r="G3454">
        <v>687.63</v>
      </c>
      <c r="H3454" s="2">
        <f>Table1[[#This Row],[Profit]]/Table1[[#This Row],[Sales]]*100</f>
        <v>25.889683734939762</v>
      </c>
      <c r="I3454" t="str">
        <f>IF(Table1[[#This Row],[Profit %]]&gt;20,"Excellent",IF(H3454&gt;10.1,"Good","Low"))</f>
        <v>Excellent</v>
      </c>
    </row>
    <row r="3455" spans="1:9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 s="2">
        <v>1190</v>
      </c>
      <c r="G3455">
        <v>346.79</v>
      </c>
      <c r="H3455" s="2">
        <f>Table1[[#This Row],[Profit]]/Table1[[#This Row],[Sales]]*100</f>
        <v>29.142016806722694</v>
      </c>
      <c r="I3455" t="str">
        <f>IF(Table1[[#This Row],[Profit %]]&gt;20,"Excellent",IF(H3455&gt;10.1,"Good","Low"))</f>
        <v>Excellent</v>
      </c>
    </row>
    <row r="3456" spans="1:9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 s="2">
        <v>4854</v>
      </c>
      <c r="G3456">
        <v>510.88</v>
      </c>
      <c r="H3456" s="2">
        <f>Table1[[#This Row],[Profit]]/Table1[[#This Row],[Sales]]*100</f>
        <v>10.524927894519983</v>
      </c>
      <c r="I3456" t="str">
        <f>IF(Table1[[#This Row],[Profit %]]&gt;20,"Excellent",IF(H3456&gt;10.1,"Good","Low"))</f>
        <v>Good</v>
      </c>
    </row>
    <row r="3457" spans="1:9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 s="2">
        <v>1060</v>
      </c>
      <c r="G3457">
        <v>217.96</v>
      </c>
      <c r="H3457" s="2">
        <f>Table1[[#This Row],[Profit]]/Table1[[#This Row],[Sales]]*100</f>
        <v>20.562264150943395</v>
      </c>
      <c r="I3457" t="str">
        <f>IF(Table1[[#This Row],[Profit %]]&gt;20,"Excellent",IF(H3457&gt;10.1,"Good","Low"))</f>
        <v>Excellent</v>
      </c>
    </row>
    <row r="3458" spans="1:9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 s="2">
        <v>1527</v>
      </c>
      <c r="G3458">
        <v>364.05</v>
      </c>
      <c r="H3458" s="2">
        <f>Table1[[#This Row],[Profit]]/Table1[[#This Row],[Sales]]*100</f>
        <v>23.840864440078587</v>
      </c>
      <c r="I3458" t="str">
        <f>IF(Table1[[#This Row],[Profit %]]&gt;20,"Excellent",IF(H3458&gt;10.1,"Good","Low"))</f>
        <v>Excellent</v>
      </c>
    </row>
    <row r="3459" spans="1:9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 s="2">
        <v>1168</v>
      </c>
      <c r="G3459">
        <v>177.54</v>
      </c>
      <c r="H3459" s="2">
        <f>Table1[[#This Row],[Profit]]/Table1[[#This Row],[Sales]]*100</f>
        <v>15.200342465753424</v>
      </c>
      <c r="I3459" t="str">
        <f>IF(Table1[[#This Row],[Profit %]]&gt;20,"Excellent",IF(H3459&gt;10.1,"Good","Low"))</f>
        <v>Good</v>
      </c>
    </row>
    <row r="3460" spans="1:9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 s="2">
        <v>6328</v>
      </c>
      <c r="G3460">
        <v>1257.81</v>
      </c>
      <c r="H3460" s="2">
        <f>Table1[[#This Row],[Profit]]/Table1[[#This Row],[Sales]]*100</f>
        <v>19.87689633375474</v>
      </c>
      <c r="I3460" t="str">
        <f>IF(Table1[[#This Row],[Profit %]]&gt;20,"Excellent",IF(H3460&gt;10.1,"Good","Low"))</f>
        <v>Good</v>
      </c>
    </row>
    <row r="3461" spans="1:9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 s="2">
        <v>2193</v>
      </c>
      <c r="G3461">
        <v>477.95</v>
      </c>
      <c r="H3461" s="2">
        <f>Table1[[#This Row],[Profit]]/Table1[[#This Row],[Sales]]*100</f>
        <v>21.794345645234838</v>
      </c>
      <c r="I3461" t="str">
        <f>IF(Table1[[#This Row],[Profit %]]&gt;20,"Excellent",IF(H3461&gt;10.1,"Good","Low"))</f>
        <v>Excellent</v>
      </c>
    </row>
    <row r="3462" spans="1:9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 s="2">
        <v>7600</v>
      </c>
      <c r="G3462">
        <v>1099.8800000000001</v>
      </c>
      <c r="H3462" s="2">
        <f>Table1[[#This Row],[Profit]]/Table1[[#This Row],[Sales]]*100</f>
        <v>14.472105263157896</v>
      </c>
      <c r="I3462" t="str">
        <f>IF(Table1[[#This Row],[Profit %]]&gt;20,"Excellent",IF(H3462&gt;10.1,"Good","Low"))</f>
        <v>Good</v>
      </c>
    </row>
    <row r="3463" spans="1:9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 s="2">
        <v>1764</v>
      </c>
      <c r="G3463">
        <v>322.11</v>
      </c>
      <c r="H3463" s="2">
        <f>Table1[[#This Row],[Profit]]/Table1[[#This Row],[Sales]]*100</f>
        <v>18.260204081632654</v>
      </c>
      <c r="I3463" t="str">
        <f>IF(Table1[[#This Row],[Profit %]]&gt;20,"Excellent",IF(H3463&gt;10.1,"Good","Low"))</f>
        <v>Good</v>
      </c>
    </row>
    <row r="3464" spans="1:9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 s="2">
        <v>1270</v>
      </c>
      <c r="G3464">
        <v>84.29</v>
      </c>
      <c r="H3464" s="2">
        <f>Table1[[#This Row],[Profit]]/Table1[[#This Row],[Sales]]*100</f>
        <v>6.6370078740157492</v>
      </c>
      <c r="I3464" t="str">
        <f>IF(Table1[[#This Row],[Profit %]]&gt;20,"Excellent",IF(H3464&gt;10.1,"Good","Low"))</f>
        <v>Low</v>
      </c>
    </row>
    <row r="3465" spans="1:9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 s="2">
        <v>607</v>
      </c>
      <c r="G3465">
        <v>33.770000000000003</v>
      </c>
      <c r="H3465" s="2">
        <f>Table1[[#This Row],[Profit]]/Table1[[#This Row],[Sales]]*100</f>
        <v>5.56342668863262</v>
      </c>
      <c r="I3465" t="str">
        <f>IF(Table1[[#This Row],[Profit %]]&gt;20,"Excellent",IF(H3465&gt;10.1,"Good","Low"))</f>
        <v>Low</v>
      </c>
    </row>
    <row r="3466" spans="1:9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 s="2">
        <v>1672</v>
      </c>
      <c r="G3466">
        <v>469.64</v>
      </c>
      <c r="H3466" s="2">
        <f>Table1[[#This Row],[Profit]]/Table1[[#This Row],[Sales]]*100</f>
        <v>28.088516746411486</v>
      </c>
      <c r="I3466" t="str">
        <f>IF(Table1[[#This Row],[Profit %]]&gt;20,"Excellent",IF(H3466&gt;10.1,"Good","Low"))</f>
        <v>Excellent</v>
      </c>
    </row>
    <row r="3467" spans="1:9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 s="2">
        <v>5718</v>
      </c>
      <c r="G3467">
        <v>1358.26</v>
      </c>
      <c r="H3467" s="2">
        <f>Table1[[#This Row],[Profit]]/Table1[[#This Row],[Sales]]*100</f>
        <v>23.754109828611401</v>
      </c>
      <c r="I3467" t="str">
        <f>IF(Table1[[#This Row],[Profit %]]&gt;20,"Excellent",IF(H3467&gt;10.1,"Good","Low"))</f>
        <v>Excellent</v>
      </c>
    </row>
    <row r="3468" spans="1:9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 s="2">
        <v>584</v>
      </c>
      <c r="G3468">
        <v>107.27</v>
      </c>
      <c r="H3468" s="2">
        <f>Table1[[#This Row],[Profit]]/Table1[[#This Row],[Sales]]*100</f>
        <v>18.368150684931507</v>
      </c>
      <c r="I3468" t="str">
        <f>IF(Table1[[#This Row],[Profit %]]&gt;20,"Excellent",IF(H3468&gt;10.1,"Good","Low"))</f>
        <v>Good</v>
      </c>
    </row>
    <row r="3469" spans="1:9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 s="2">
        <v>7455</v>
      </c>
      <c r="G3469">
        <v>966.64</v>
      </c>
      <c r="H3469" s="2">
        <f>Table1[[#This Row],[Profit]]/Table1[[#This Row],[Sales]]*100</f>
        <v>12.966331321260899</v>
      </c>
      <c r="I3469" t="str">
        <f>IF(Table1[[#This Row],[Profit %]]&gt;20,"Excellent",IF(H3469&gt;10.1,"Good","Low"))</f>
        <v>Good</v>
      </c>
    </row>
    <row r="3470" spans="1:9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 s="2">
        <v>7679</v>
      </c>
      <c r="G3470">
        <v>2270.08</v>
      </c>
      <c r="H3470" s="2">
        <f>Table1[[#This Row],[Profit]]/Table1[[#This Row],[Sales]]*100</f>
        <v>29.562182575856234</v>
      </c>
      <c r="I3470" t="str">
        <f>IF(Table1[[#This Row],[Profit %]]&gt;20,"Excellent",IF(H3470&gt;10.1,"Good","Low"))</f>
        <v>Excellent</v>
      </c>
    </row>
    <row r="3471" spans="1:9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 s="2">
        <v>847</v>
      </c>
      <c r="G3471">
        <v>154.05000000000001</v>
      </c>
      <c r="H3471" s="2">
        <f>Table1[[#This Row],[Profit]]/Table1[[#This Row],[Sales]]*100</f>
        <v>18.187721369539553</v>
      </c>
      <c r="I3471" t="str">
        <f>IF(Table1[[#This Row],[Profit %]]&gt;20,"Excellent",IF(H3471&gt;10.1,"Good","Low"))</f>
        <v>Good</v>
      </c>
    </row>
    <row r="3472" spans="1:9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 s="2">
        <v>1278</v>
      </c>
      <c r="G3472">
        <v>178.78</v>
      </c>
      <c r="H3472" s="2">
        <f>Table1[[#This Row],[Profit]]/Table1[[#This Row],[Sales]]*100</f>
        <v>13.989045383411581</v>
      </c>
      <c r="I3472" t="str">
        <f>IF(Table1[[#This Row],[Profit %]]&gt;20,"Excellent",IF(H3472&gt;10.1,"Good","Low"))</f>
        <v>Good</v>
      </c>
    </row>
    <row r="3473" spans="1:9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 s="2">
        <v>6592</v>
      </c>
      <c r="G3473">
        <v>1024.82</v>
      </c>
      <c r="H3473" s="2">
        <f>Table1[[#This Row],[Profit]]/Table1[[#This Row],[Sales]]*100</f>
        <v>15.54641990291262</v>
      </c>
      <c r="I3473" t="str">
        <f>IF(Table1[[#This Row],[Profit %]]&gt;20,"Excellent",IF(H3473&gt;10.1,"Good","Low"))</f>
        <v>Good</v>
      </c>
    </row>
    <row r="3474" spans="1:9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 s="2">
        <v>3544</v>
      </c>
      <c r="G3474">
        <v>454.14</v>
      </c>
      <c r="H3474" s="2">
        <f>Table1[[#This Row],[Profit]]/Table1[[#This Row],[Sales]]*100</f>
        <v>12.81433408577878</v>
      </c>
      <c r="I3474" t="str">
        <f>IF(Table1[[#This Row],[Profit %]]&gt;20,"Excellent",IF(H3474&gt;10.1,"Good","Low"))</f>
        <v>Good</v>
      </c>
    </row>
    <row r="3475" spans="1:9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 s="2">
        <v>1959</v>
      </c>
      <c r="G3475">
        <v>274.27</v>
      </c>
      <c r="H3475" s="2">
        <f>Table1[[#This Row],[Profit]]/Table1[[#This Row],[Sales]]*100</f>
        <v>14.000510464522714</v>
      </c>
      <c r="I3475" t="str">
        <f>IF(Table1[[#This Row],[Profit %]]&gt;20,"Excellent",IF(H3475&gt;10.1,"Good","Low"))</f>
        <v>Good</v>
      </c>
    </row>
    <row r="3476" spans="1:9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 s="2">
        <v>3384</v>
      </c>
      <c r="G3476">
        <v>924.03</v>
      </c>
      <c r="H3476" s="2">
        <f>Table1[[#This Row],[Profit]]/Table1[[#This Row],[Sales]]*100</f>
        <v>27.305851063829788</v>
      </c>
      <c r="I3476" t="str">
        <f>IF(Table1[[#This Row],[Profit %]]&gt;20,"Excellent",IF(H3476&gt;10.1,"Good","Low"))</f>
        <v>Excellent</v>
      </c>
    </row>
    <row r="3477" spans="1:9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 s="2">
        <v>307</v>
      </c>
      <c r="G3477">
        <v>50.2</v>
      </c>
      <c r="H3477" s="2">
        <f>Table1[[#This Row],[Profit]]/Table1[[#This Row],[Sales]]*100</f>
        <v>16.351791530944627</v>
      </c>
      <c r="I3477" t="str">
        <f>IF(Table1[[#This Row],[Profit %]]&gt;20,"Excellent",IF(H3477&gt;10.1,"Good","Low"))</f>
        <v>Good</v>
      </c>
    </row>
    <row r="3478" spans="1:9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 s="2">
        <v>10017</v>
      </c>
      <c r="G3478">
        <v>1468.72</v>
      </c>
      <c r="H3478" s="2">
        <f>Table1[[#This Row],[Profit]]/Table1[[#This Row],[Sales]]*100</f>
        <v>14.662274133972247</v>
      </c>
      <c r="I3478" t="str">
        <f>IF(Table1[[#This Row],[Profit %]]&gt;20,"Excellent",IF(H3478&gt;10.1,"Good","Low"))</f>
        <v>Good</v>
      </c>
    </row>
    <row r="3479" spans="1:9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 s="2">
        <v>7931</v>
      </c>
      <c r="G3479">
        <v>504.39</v>
      </c>
      <c r="H3479" s="2">
        <f>Table1[[#This Row],[Profit]]/Table1[[#This Row],[Sales]]*100</f>
        <v>6.3597276509897869</v>
      </c>
      <c r="I3479" t="str">
        <f>IF(Table1[[#This Row],[Profit %]]&gt;20,"Excellent",IF(H3479&gt;10.1,"Good","Low"))</f>
        <v>Low</v>
      </c>
    </row>
    <row r="3480" spans="1:9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 s="2">
        <v>1168</v>
      </c>
      <c r="G3480">
        <v>198.4</v>
      </c>
      <c r="H3480" s="2">
        <f>Table1[[#This Row],[Profit]]/Table1[[#This Row],[Sales]]*100</f>
        <v>16.986301369863014</v>
      </c>
      <c r="I3480" t="str">
        <f>IF(Table1[[#This Row],[Profit %]]&gt;20,"Excellent",IF(H3480&gt;10.1,"Good","Low"))</f>
        <v>Good</v>
      </c>
    </row>
    <row r="3481" spans="1:9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 s="2">
        <v>9765</v>
      </c>
      <c r="G3481">
        <v>909.99</v>
      </c>
      <c r="H3481" s="2">
        <f>Table1[[#This Row],[Profit]]/Table1[[#This Row],[Sales]]*100</f>
        <v>9.3188940092165904</v>
      </c>
      <c r="I3481" t="str">
        <f>IF(Table1[[#This Row],[Profit %]]&gt;20,"Excellent",IF(H3481&gt;10.1,"Good","Low"))</f>
        <v>Low</v>
      </c>
    </row>
    <row r="3482" spans="1:9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 s="2">
        <v>1456</v>
      </c>
      <c r="G3482">
        <v>271.26</v>
      </c>
      <c r="H3482" s="2">
        <f>Table1[[#This Row],[Profit]]/Table1[[#This Row],[Sales]]*100</f>
        <v>18.630494505494504</v>
      </c>
      <c r="I3482" t="str">
        <f>IF(Table1[[#This Row],[Profit %]]&gt;20,"Excellent",IF(H3482&gt;10.1,"Good","Low"))</f>
        <v>Good</v>
      </c>
    </row>
    <row r="3483" spans="1:9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 s="2">
        <v>950</v>
      </c>
      <c r="G3483">
        <v>61.9</v>
      </c>
      <c r="H3483" s="2">
        <f>Table1[[#This Row],[Profit]]/Table1[[#This Row],[Sales]]*100</f>
        <v>6.5157894736842108</v>
      </c>
      <c r="I3483" t="str">
        <f>IF(Table1[[#This Row],[Profit %]]&gt;20,"Excellent",IF(H3483&gt;10.1,"Good","Low"))</f>
        <v>Low</v>
      </c>
    </row>
    <row r="3484" spans="1:9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 s="2">
        <v>2314</v>
      </c>
      <c r="G3484">
        <v>600.76</v>
      </c>
      <c r="H3484" s="2">
        <f>Table1[[#This Row],[Profit]]/Table1[[#This Row],[Sales]]*100</f>
        <v>25.961970613656003</v>
      </c>
      <c r="I3484" t="str">
        <f>IF(Table1[[#This Row],[Profit %]]&gt;20,"Excellent",IF(H3484&gt;10.1,"Good","Low"))</f>
        <v>Excellent</v>
      </c>
    </row>
    <row r="3485" spans="1:9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 s="2">
        <v>915</v>
      </c>
      <c r="G3485">
        <v>264.3</v>
      </c>
      <c r="H3485" s="2">
        <f>Table1[[#This Row],[Profit]]/Table1[[#This Row],[Sales]]*100</f>
        <v>28.885245901639344</v>
      </c>
      <c r="I3485" t="str">
        <f>IF(Table1[[#This Row],[Profit %]]&gt;20,"Excellent",IF(H3485&gt;10.1,"Good","Low"))</f>
        <v>Excellent</v>
      </c>
    </row>
    <row r="3486" spans="1:9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 s="2">
        <v>290</v>
      </c>
      <c r="G3486">
        <v>61.14</v>
      </c>
      <c r="H3486" s="2">
        <f>Table1[[#This Row],[Profit]]/Table1[[#This Row],[Sales]]*100</f>
        <v>21.082758620689656</v>
      </c>
      <c r="I3486" t="str">
        <f>IF(Table1[[#This Row],[Profit %]]&gt;20,"Excellent",IF(H3486&gt;10.1,"Good","Low"))</f>
        <v>Excellent</v>
      </c>
    </row>
    <row r="3487" spans="1:9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 s="2">
        <v>3584</v>
      </c>
      <c r="G3487">
        <v>940.88</v>
      </c>
      <c r="H3487" s="2">
        <f>Table1[[#This Row],[Profit]]/Table1[[#This Row],[Sales]]*100</f>
        <v>26.252232142857139</v>
      </c>
      <c r="I3487" t="str">
        <f>IF(Table1[[#This Row],[Profit %]]&gt;20,"Excellent",IF(H3487&gt;10.1,"Good","Low"))</f>
        <v>Excellent</v>
      </c>
    </row>
    <row r="3488" spans="1:9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 s="2">
        <v>1254</v>
      </c>
      <c r="G3488">
        <v>205.57</v>
      </c>
      <c r="H3488" s="2">
        <f>Table1[[#This Row],[Profit]]/Table1[[#This Row],[Sales]]*100</f>
        <v>16.393141945773522</v>
      </c>
      <c r="I3488" t="str">
        <f>IF(Table1[[#This Row],[Profit %]]&gt;20,"Excellent",IF(H3488&gt;10.1,"Good","Low"))</f>
        <v>Good</v>
      </c>
    </row>
    <row r="3489" spans="1:9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 s="2">
        <v>2410</v>
      </c>
      <c r="G3489">
        <v>636.83000000000004</v>
      </c>
      <c r="H3489" s="2">
        <f>Table1[[#This Row],[Profit]]/Table1[[#This Row],[Sales]]*100</f>
        <v>26.42448132780083</v>
      </c>
      <c r="I3489" t="str">
        <f>IF(Table1[[#This Row],[Profit %]]&gt;20,"Excellent",IF(H3489&gt;10.1,"Good","Low"))</f>
        <v>Excellent</v>
      </c>
    </row>
    <row r="3490" spans="1:9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 s="2">
        <v>800</v>
      </c>
      <c r="G3490">
        <v>118.68</v>
      </c>
      <c r="H3490" s="2">
        <f>Table1[[#This Row],[Profit]]/Table1[[#This Row],[Sales]]*100</f>
        <v>14.835000000000001</v>
      </c>
      <c r="I3490" t="str">
        <f>IF(Table1[[#This Row],[Profit %]]&gt;20,"Excellent",IF(H3490&gt;10.1,"Good","Low"))</f>
        <v>Good</v>
      </c>
    </row>
    <row r="3491" spans="1:9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 s="2">
        <v>990</v>
      </c>
      <c r="G3491">
        <v>87.61</v>
      </c>
      <c r="H3491" s="2">
        <f>Table1[[#This Row],[Profit]]/Table1[[#This Row],[Sales]]*100</f>
        <v>8.8494949494949484</v>
      </c>
      <c r="I3491" t="str">
        <f>IF(Table1[[#This Row],[Profit %]]&gt;20,"Excellent",IF(H3491&gt;10.1,"Good","Low"))</f>
        <v>Low</v>
      </c>
    </row>
    <row r="3492" spans="1:9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 s="2">
        <v>9702</v>
      </c>
      <c r="G3492">
        <v>2771.49</v>
      </c>
      <c r="H3492" s="2">
        <f>Table1[[#This Row],[Profit]]/Table1[[#This Row],[Sales]]*100</f>
        <v>28.566171923314776</v>
      </c>
      <c r="I3492" t="str">
        <f>IF(Table1[[#This Row],[Profit %]]&gt;20,"Excellent",IF(H3492&gt;10.1,"Good","Low"))</f>
        <v>Excellent</v>
      </c>
    </row>
    <row r="3493" spans="1:9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 s="2">
        <v>5888</v>
      </c>
      <c r="G3493">
        <v>354.27</v>
      </c>
      <c r="H3493" s="2">
        <f>Table1[[#This Row],[Profit]]/Table1[[#This Row],[Sales]]*100</f>
        <v>6.0168138586956523</v>
      </c>
      <c r="I3493" t="str">
        <f>IF(Table1[[#This Row],[Profit %]]&gt;20,"Excellent",IF(H3493&gt;10.1,"Good","Low"))</f>
        <v>Low</v>
      </c>
    </row>
    <row r="3494" spans="1:9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 s="2">
        <v>1768</v>
      </c>
      <c r="G3494">
        <v>345.33</v>
      </c>
      <c r="H3494" s="2">
        <f>Table1[[#This Row],[Profit]]/Table1[[#This Row],[Sales]]*100</f>
        <v>19.532239819004523</v>
      </c>
      <c r="I3494" t="str">
        <f>IF(Table1[[#This Row],[Profit %]]&gt;20,"Excellent",IF(H3494&gt;10.1,"Good","Low"))</f>
        <v>Good</v>
      </c>
    </row>
    <row r="3495" spans="1:9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 s="2">
        <v>1022</v>
      </c>
      <c r="G3495">
        <v>76.040000000000006</v>
      </c>
      <c r="H3495" s="2">
        <f>Table1[[#This Row],[Profit]]/Table1[[#This Row],[Sales]]*100</f>
        <v>7.4403131115459891</v>
      </c>
      <c r="I3495" t="str">
        <f>IF(Table1[[#This Row],[Profit %]]&gt;20,"Excellent",IF(H3495&gt;10.1,"Good","Low"))</f>
        <v>Low</v>
      </c>
    </row>
    <row r="3496" spans="1:9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 s="2">
        <v>2883</v>
      </c>
      <c r="G3496">
        <v>671.91</v>
      </c>
      <c r="H3496" s="2">
        <f>Table1[[#This Row],[Profit]]/Table1[[#This Row],[Sales]]*100</f>
        <v>23.305931321540061</v>
      </c>
      <c r="I3496" t="str">
        <f>IF(Table1[[#This Row],[Profit %]]&gt;20,"Excellent",IF(H3496&gt;10.1,"Good","Low"))</f>
        <v>Excellent</v>
      </c>
    </row>
    <row r="3497" spans="1:9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 s="2">
        <v>4064</v>
      </c>
      <c r="G3497">
        <v>771.16</v>
      </c>
      <c r="H3497" s="2">
        <f>Table1[[#This Row],[Profit]]/Table1[[#This Row],[Sales]]*100</f>
        <v>18.9753937007874</v>
      </c>
      <c r="I3497" t="str">
        <f>IF(Table1[[#This Row],[Profit %]]&gt;20,"Excellent",IF(H3497&gt;10.1,"Good","Low"))</f>
        <v>Good</v>
      </c>
    </row>
    <row r="3498" spans="1:9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 s="2">
        <v>1117</v>
      </c>
      <c r="G3498">
        <v>119.89</v>
      </c>
      <c r="H3498" s="2">
        <f>Table1[[#This Row],[Profit]]/Table1[[#This Row],[Sales]]*100</f>
        <v>10.733213965980305</v>
      </c>
      <c r="I3498" t="str">
        <f>IF(Table1[[#This Row],[Profit %]]&gt;20,"Excellent",IF(H3498&gt;10.1,"Good","Low"))</f>
        <v>Good</v>
      </c>
    </row>
    <row r="3499" spans="1:9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 s="2">
        <v>260</v>
      </c>
      <c r="G3499">
        <v>66.02</v>
      </c>
      <c r="H3499" s="2">
        <f>Table1[[#This Row],[Profit]]/Table1[[#This Row],[Sales]]*100</f>
        <v>25.392307692307693</v>
      </c>
      <c r="I3499" t="str">
        <f>IF(Table1[[#This Row],[Profit %]]&gt;20,"Excellent",IF(H3499&gt;10.1,"Good","Low"))</f>
        <v>Excellent</v>
      </c>
    </row>
    <row r="3500" spans="1:9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 s="2">
        <v>222</v>
      </c>
      <c r="G3500">
        <v>50.28</v>
      </c>
      <c r="H3500" s="2">
        <f>Table1[[#This Row],[Profit]]/Table1[[#This Row],[Sales]]*100</f>
        <v>22.648648648648649</v>
      </c>
      <c r="I3500" t="str">
        <f>IF(Table1[[#This Row],[Profit %]]&gt;20,"Excellent",IF(H3500&gt;10.1,"Good","Low"))</f>
        <v>Excellent</v>
      </c>
    </row>
    <row r="3501" spans="1:9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 s="2">
        <v>10530</v>
      </c>
      <c r="G3501">
        <v>1777.32</v>
      </c>
      <c r="H3501" s="2">
        <f>Table1[[#This Row],[Profit]]/Table1[[#This Row],[Sales]]*100</f>
        <v>16.878632478632476</v>
      </c>
      <c r="I3501" t="str">
        <f>IF(Table1[[#This Row],[Profit %]]&gt;20,"Excellent",IF(H3501&gt;10.1,"Good","Low"))</f>
        <v>Good</v>
      </c>
    </row>
  </sheetData>
  <mergeCells count="10">
    <mergeCell ref="P19:X19"/>
    <mergeCell ref="Q21:V21"/>
    <mergeCell ref="P13:Z13"/>
    <mergeCell ref="Q15:Y15"/>
    <mergeCell ref="K2:L2"/>
    <mergeCell ref="L10:N10"/>
    <mergeCell ref="P3:Y3"/>
    <mergeCell ref="Q5:V5"/>
    <mergeCell ref="P8:V8"/>
    <mergeCell ref="Q10:V10"/>
  </mergeCells>
  <conditionalFormatting sqref="C2:C3501">
    <cfRule type="containsText" dxfId="1" priority="5" operator="containsText" text="Office">
      <formula>NOT(ISERROR(SEARCH("Office",C2)))</formula>
    </cfRule>
  </conditionalFormatting>
  <conditionalFormatting sqref="H2:H3501">
    <cfRule type="cellIs" dxfId="0" priority="1" operator="greaterThan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913E-B311-4D8C-9EEC-E5586C54B8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D6C6B-3B00-4CAC-A3A2-5473E7DF7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sales &amp; profit trend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agalya s</dc:creator>
  <cp:lastModifiedBy>agalya s</cp:lastModifiedBy>
  <dcterms:created xsi:type="dcterms:W3CDTF">2026-06-30T07:09:08Z</dcterms:created>
  <dcterms:modified xsi:type="dcterms:W3CDTF">2026-07-15T14:48:41Z</dcterms:modified>
</cp:coreProperties>
</file>